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-105" yWindow="-105" windowWidth="23250" windowHeight="12450" tabRatio="984"/>
  </bookViews>
  <sheets>
    <sheet name="Tổng hợp" sheetId="1" r:id="rId1"/>
    <sheet name="Tổng hợp tiền thu theo mã U" sheetId="13" state="hidden" r:id="rId2"/>
    <sheet name="Báo cáo cọc" sheetId="3" state="hidden" r:id="rId3"/>
    <sheet name="Yucho Arai" sheetId="4" r:id="rId4"/>
    <sheet name="GMO" sheetId="6" r:id="rId5"/>
    <sheet name="SBI" sheetId="5" state="hidden" r:id="rId6"/>
    <sheet name="Arai 7121" sheetId="8" r:id="rId7"/>
  </sheets>
  <definedNames>
    <definedName name="_xlnm._FilterDatabase" localSheetId="6" hidden="1">'Arai 7121'!$A$2:$P$62</definedName>
    <definedName name="_xlnm._FilterDatabase" localSheetId="4" hidden="1">GMO!$A$2:$Q$942</definedName>
    <definedName name="_xlnm._FilterDatabase" localSheetId="5" hidden="1">SBI!$A$2:$J$201</definedName>
    <definedName name="_xlnm._FilterDatabase" localSheetId="1" hidden="1">'Tổng hợp tiền thu theo mã U'!$O$1:$R$465</definedName>
    <definedName name="_xlnm._FilterDatabase" localSheetId="3" hidden="1">'Yucho Arai'!$A$2:$V$751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3" l="1"/>
  <c r="H2" i="13"/>
  <c r="F3" i="13"/>
  <c r="F4" i="13"/>
  <c r="F5" i="13"/>
  <c r="F6" i="13"/>
  <c r="F7" i="13"/>
  <c r="F8" i="13"/>
  <c r="F9" i="13"/>
  <c r="F10" i="13"/>
  <c r="F11" i="13"/>
  <c r="F2" i="13" s="1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G461" i="13"/>
  <c r="G462" i="13"/>
  <c r="G463" i="13"/>
  <c r="G464" i="13"/>
  <c r="G465" i="13"/>
  <c r="G458" i="13"/>
  <c r="G459" i="13"/>
  <c r="G460" i="13"/>
  <c r="G457" i="13"/>
  <c r="G456" i="13"/>
  <c r="H461" i="13" l="1"/>
  <c r="H462" i="13"/>
  <c r="H465" i="13"/>
  <c r="H464" i="13"/>
  <c r="H463" i="13"/>
  <c r="H456" i="13"/>
  <c r="H460" i="13"/>
  <c r="H459" i="13"/>
  <c r="H458" i="13"/>
  <c r="H457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" i="13"/>
  <c r="G5" i="13"/>
  <c r="G6" i="13"/>
  <c r="G7" i="13"/>
  <c r="G8" i="13"/>
  <c r="G9" i="13"/>
  <c r="G10" i="13"/>
  <c r="G3" i="13"/>
  <c r="H8" i="13" l="1"/>
  <c r="H454" i="13"/>
  <c r="H448" i="13"/>
  <c r="H442" i="13"/>
  <c r="H436" i="13"/>
  <c r="H430" i="13"/>
  <c r="H424" i="13"/>
  <c r="H418" i="13"/>
  <c r="H412" i="13"/>
  <c r="H406" i="13"/>
  <c r="H400" i="13"/>
  <c r="H394" i="13"/>
  <c r="H388" i="13"/>
  <c r="H382" i="13"/>
  <c r="H376" i="13"/>
  <c r="H370" i="13"/>
  <c r="H364" i="13"/>
  <c r="H358" i="13"/>
  <c r="H352" i="13"/>
  <c r="H346" i="13"/>
  <c r="H340" i="13"/>
  <c r="H334" i="13"/>
  <c r="H328" i="13"/>
  <c r="H322" i="13"/>
  <c r="H310" i="13"/>
  <c r="H304" i="13"/>
  <c r="H298" i="13"/>
  <c r="H7" i="13"/>
  <c r="H453" i="13"/>
  <c r="H447" i="13"/>
  <c r="H441" i="13"/>
  <c r="H435" i="13"/>
  <c r="H429" i="13"/>
  <c r="H423" i="13"/>
  <c r="H417" i="13"/>
  <c r="H411" i="13"/>
  <c r="H405" i="13"/>
  <c r="H399" i="13"/>
  <c r="H393" i="13"/>
  <c r="H387" i="13"/>
  <c r="H381" i="13"/>
  <c r="H375" i="13"/>
  <c r="H369" i="13"/>
  <c r="H363" i="13"/>
  <c r="H357" i="13"/>
  <c r="H351" i="13"/>
  <c r="H345" i="13"/>
  <c r="H339" i="13"/>
  <c r="H333" i="13"/>
  <c r="H327" i="13"/>
  <c r="H321" i="13"/>
  <c r="H315" i="13"/>
  <c r="H309" i="13"/>
  <c r="H303" i="13"/>
  <c r="H297" i="13"/>
  <c r="H291" i="13"/>
  <c r="H285" i="13"/>
  <c r="H279" i="13"/>
  <c r="H273" i="13"/>
  <c r="H267" i="13"/>
  <c r="H261" i="13"/>
  <c r="H255" i="13"/>
  <c r="H249" i="13"/>
  <c r="H243" i="13"/>
  <c r="H237" i="13"/>
  <c r="H231" i="13"/>
  <c r="H225" i="13"/>
  <c r="H219" i="13"/>
  <c r="H213" i="13"/>
  <c r="H207" i="13"/>
  <c r="H201" i="13"/>
  <c r="H195" i="13"/>
  <c r="H189" i="13"/>
  <c r="H183" i="13"/>
  <c r="H177" i="13"/>
  <c r="H171" i="13"/>
  <c r="H165" i="13"/>
  <c r="H159" i="13"/>
  <c r="H153" i="13"/>
  <c r="H147" i="13"/>
  <c r="H141" i="13"/>
  <c r="H135" i="13"/>
  <c r="H129" i="13"/>
  <c r="H123" i="13"/>
  <c r="H117" i="13"/>
  <c r="H111" i="13"/>
  <c r="H105" i="13"/>
  <c r="H99" i="13"/>
  <c r="H93" i="13"/>
  <c r="H87" i="13"/>
  <c r="H81" i="13"/>
  <c r="H75" i="13"/>
  <c r="H69" i="13"/>
  <c r="H63" i="13"/>
  <c r="H57" i="13"/>
  <c r="H51" i="13"/>
  <c r="H45" i="13"/>
  <c r="H39" i="13"/>
  <c r="H33" i="13"/>
  <c r="H27" i="13"/>
  <c r="H21" i="13"/>
  <c r="H292" i="13"/>
  <c r="H286" i="13"/>
  <c r="H280" i="13"/>
  <c r="H274" i="13"/>
  <c r="H268" i="13"/>
  <c r="H262" i="13"/>
  <c r="H256" i="13"/>
  <c r="H250" i="13"/>
  <c r="H244" i="13"/>
  <c r="H238" i="13"/>
  <c r="H232" i="13"/>
  <c r="H226" i="13"/>
  <c r="H220" i="13"/>
  <c r="H214" i="13"/>
  <c r="H208" i="13"/>
  <c r="H202" i="13"/>
  <c r="H196" i="13"/>
  <c r="H190" i="13"/>
  <c r="H184" i="13"/>
  <c r="H178" i="13"/>
  <c r="H172" i="13"/>
  <c r="H166" i="13"/>
  <c r="H160" i="13"/>
  <c r="H154" i="13"/>
  <c r="H148" i="13"/>
  <c r="H142" i="13"/>
  <c r="H136" i="13"/>
  <c r="H130" i="13"/>
  <c r="H124" i="13"/>
  <c r="H118" i="13"/>
  <c r="H112" i="13"/>
  <c r="H106" i="13"/>
  <c r="H100" i="13"/>
  <c r="H94" i="13"/>
  <c r="H88" i="13"/>
  <c r="H82" i="13"/>
  <c r="H76" i="13"/>
  <c r="H70" i="13"/>
  <c r="H64" i="13"/>
  <c r="H58" i="13"/>
  <c r="H52" i="13"/>
  <c r="H46" i="13"/>
  <c r="H40" i="13"/>
  <c r="H34" i="13"/>
  <c r="H28" i="13"/>
  <c r="H22" i="13"/>
  <c r="H16" i="13"/>
  <c r="H316" i="13"/>
  <c r="H12" i="13"/>
  <c r="H15" i="13"/>
  <c r="H6" i="13"/>
  <c r="H452" i="13"/>
  <c r="H446" i="13"/>
  <c r="H440" i="13"/>
  <c r="H434" i="13"/>
  <c r="H428" i="13"/>
  <c r="H422" i="13"/>
  <c r="H365" i="13"/>
  <c r="H359" i="13"/>
  <c r="H353" i="13"/>
  <c r="H311" i="13"/>
  <c r="H305" i="13"/>
  <c r="H299" i="13"/>
  <c r="H293" i="13"/>
  <c r="H287" i="13"/>
  <c r="H281" i="13"/>
  <c r="H275" i="13"/>
  <c r="H269" i="13"/>
  <c r="H263" i="13"/>
  <c r="H257" i="13"/>
  <c r="H251" i="13"/>
  <c r="H245" i="13"/>
  <c r="H239" i="13"/>
  <c r="H233" i="13"/>
  <c r="H227" i="13"/>
  <c r="H221" i="13"/>
  <c r="H215" i="13"/>
  <c r="H209" i="13"/>
  <c r="H203" i="13"/>
  <c r="H17" i="13"/>
  <c r="H11" i="13"/>
  <c r="H416" i="13"/>
  <c r="H410" i="13"/>
  <c r="H404" i="13"/>
  <c r="H398" i="13"/>
  <c r="H392" i="13"/>
  <c r="H386" i="13"/>
  <c r="H380" i="13"/>
  <c r="H374" i="13"/>
  <c r="H368" i="13"/>
  <c r="H362" i="13"/>
  <c r="H356" i="13"/>
  <c r="H350" i="13"/>
  <c r="H344" i="13"/>
  <c r="H338" i="13"/>
  <c r="H332" i="13"/>
  <c r="H326" i="13"/>
  <c r="H320" i="13"/>
  <c r="H314" i="13"/>
  <c r="H308" i="13"/>
  <c r="H302" i="13"/>
  <c r="H296" i="13"/>
  <c r="H290" i="13"/>
  <c r="H284" i="13"/>
  <c r="H278" i="13"/>
  <c r="H272" i="13"/>
  <c r="H266" i="13"/>
  <c r="H260" i="13"/>
  <c r="H254" i="13"/>
  <c r="H248" i="13"/>
  <c r="H242" i="13"/>
  <c r="H236" i="13"/>
  <c r="H230" i="13"/>
  <c r="H224" i="13"/>
  <c r="H218" i="13"/>
  <c r="H212" i="13"/>
  <c r="H206" i="13"/>
  <c r="H200" i="13"/>
  <c r="H194" i="13"/>
  <c r="H188" i="13"/>
  <c r="H182" i="13"/>
  <c r="H176" i="13"/>
  <c r="H164" i="13"/>
  <c r="H158" i="13"/>
  <c r="H152" i="13"/>
  <c r="H146" i="13"/>
  <c r="H140" i="13"/>
  <c r="H134" i="13"/>
  <c r="H128" i="13"/>
  <c r="H122" i="13"/>
  <c r="H116" i="13"/>
  <c r="H110" i="13"/>
  <c r="H104" i="13"/>
  <c r="H98" i="13"/>
  <c r="H92" i="13"/>
  <c r="H86" i="13"/>
  <c r="H80" i="13"/>
  <c r="H74" i="13"/>
  <c r="H68" i="13"/>
  <c r="H62" i="13"/>
  <c r="H56" i="13"/>
  <c r="H50" i="13"/>
  <c r="H44" i="13"/>
  <c r="H38" i="13"/>
  <c r="H32" i="13"/>
  <c r="H26" i="13"/>
  <c r="H14" i="13"/>
  <c r="H9" i="13"/>
  <c r="H455" i="13"/>
  <c r="H449" i="13"/>
  <c r="H443" i="13"/>
  <c r="H437" i="13"/>
  <c r="H431" i="13"/>
  <c r="H425" i="13"/>
  <c r="H419" i="13"/>
  <c r="H413" i="13"/>
  <c r="H407" i="13"/>
  <c r="H401" i="13"/>
  <c r="H395" i="13"/>
  <c r="H389" i="13"/>
  <c r="H383" i="13"/>
  <c r="H377" i="13"/>
  <c r="H371" i="13"/>
  <c r="H347" i="13"/>
  <c r="H341" i="13"/>
  <c r="H335" i="13"/>
  <c r="H329" i="13"/>
  <c r="H323" i="13"/>
  <c r="H317" i="13"/>
  <c r="H197" i="13"/>
  <c r="H191" i="13"/>
  <c r="H185" i="13"/>
  <c r="H179" i="13"/>
  <c r="H173" i="13"/>
  <c r="H167" i="13"/>
  <c r="H161" i="13"/>
  <c r="H155" i="13"/>
  <c r="H53" i="13"/>
  <c r="H29" i="13"/>
  <c r="H23" i="13"/>
  <c r="H170" i="13"/>
  <c r="H3" i="13"/>
  <c r="H5" i="13"/>
  <c r="H451" i="13"/>
  <c r="H445" i="13"/>
  <c r="H439" i="13"/>
  <c r="H433" i="13"/>
  <c r="H427" i="13"/>
  <c r="H421" i="13"/>
  <c r="H415" i="13"/>
  <c r="H409" i="13"/>
  <c r="H403" i="13"/>
  <c r="H397" i="13"/>
  <c r="H391" i="13"/>
  <c r="H385" i="13"/>
  <c r="H379" i="13"/>
  <c r="H373" i="13"/>
  <c r="H367" i="13"/>
  <c r="H361" i="13"/>
  <c r="H355" i="13"/>
  <c r="H349" i="13"/>
  <c r="H343" i="13"/>
  <c r="H337" i="13"/>
  <c r="H331" i="13"/>
  <c r="H325" i="13"/>
  <c r="H319" i="13"/>
  <c r="H313" i="13"/>
  <c r="H307" i="13"/>
  <c r="H301" i="13"/>
  <c r="H295" i="13"/>
  <c r="H289" i="13"/>
  <c r="H283" i="13"/>
  <c r="H277" i="13"/>
  <c r="H271" i="13"/>
  <c r="H265" i="13"/>
  <c r="H259" i="13"/>
  <c r="H253" i="13"/>
  <c r="H247" i="13"/>
  <c r="H241" i="13"/>
  <c r="H235" i="13"/>
  <c r="H229" i="13"/>
  <c r="H223" i="13"/>
  <c r="H217" i="13"/>
  <c r="H211" i="13"/>
  <c r="H205" i="13"/>
  <c r="H199" i="13"/>
  <c r="H193" i="13"/>
  <c r="H187" i="13"/>
  <c r="H181" i="13"/>
  <c r="H175" i="13"/>
  <c r="H169" i="13"/>
  <c r="H163" i="13"/>
  <c r="H157" i="13"/>
  <c r="H151" i="13"/>
  <c r="H145" i="13"/>
  <c r="H139" i="13"/>
  <c r="H133" i="13"/>
  <c r="H127" i="13"/>
  <c r="H121" i="13"/>
  <c r="H115" i="13"/>
  <c r="H109" i="13"/>
  <c r="H103" i="13"/>
  <c r="H97" i="13"/>
  <c r="H91" i="13"/>
  <c r="H85" i="13"/>
  <c r="H79" i="13"/>
  <c r="H73" i="13"/>
  <c r="H67" i="13"/>
  <c r="H61" i="13"/>
  <c r="H55" i="13"/>
  <c r="H49" i="13"/>
  <c r="H43" i="13"/>
  <c r="H37" i="13"/>
  <c r="H31" i="13"/>
  <c r="H25" i="13"/>
  <c r="H19" i="13"/>
  <c r="H13" i="13"/>
  <c r="H20" i="13"/>
  <c r="H10" i="13"/>
  <c r="H4" i="13"/>
  <c r="H450" i="13"/>
  <c r="H444" i="13"/>
  <c r="H438" i="13"/>
  <c r="H432" i="13"/>
  <c r="H426" i="13"/>
  <c r="H420" i="13"/>
  <c r="H414" i="13"/>
  <c r="H408" i="13"/>
  <c r="H402" i="13"/>
  <c r="H396" i="13"/>
  <c r="H390" i="13"/>
  <c r="H384" i="13"/>
  <c r="H378" i="13"/>
  <c r="H372" i="13"/>
  <c r="H366" i="13"/>
  <c r="H360" i="13"/>
  <c r="H354" i="13"/>
  <c r="H348" i="13"/>
  <c r="H342" i="13"/>
  <c r="H336" i="13"/>
  <c r="H330" i="13"/>
  <c r="H324" i="13"/>
  <c r="H318" i="13"/>
  <c r="H312" i="13"/>
  <c r="H306" i="13"/>
  <c r="H300" i="13"/>
  <c r="H294" i="13"/>
  <c r="H288" i="13"/>
  <c r="H282" i="13"/>
  <c r="H276" i="13"/>
  <c r="H270" i="13"/>
  <c r="H264" i="13"/>
  <c r="H258" i="13"/>
  <c r="H252" i="13"/>
  <c r="H246" i="13"/>
  <c r="H240" i="13"/>
  <c r="H234" i="13"/>
  <c r="H228" i="13"/>
  <c r="H222" i="13"/>
  <c r="H216" i="13"/>
  <c r="H210" i="13"/>
  <c r="H204" i="13"/>
  <c r="H198" i="13"/>
  <c r="H192" i="13"/>
  <c r="H186" i="13"/>
  <c r="H180" i="13"/>
  <c r="H174" i="13"/>
  <c r="H168" i="13"/>
  <c r="H162" i="13"/>
  <c r="H156" i="13"/>
  <c r="H150" i="13"/>
  <c r="H144" i="13"/>
  <c r="H138" i="13"/>
  <c r="H132" i="13"/>
  <c r="H126" i="13"/>
  <c r="H120" i="13"/>
  <c r="H114" i="13"/>
  <c r="H108" i="13"/>
  <c r="H102" i="13"/>
  <c r="H96" i="13"/>
  <c r="H90" i="13"/>
  <c r="H84" i="13"/>
  <c r="H78" i="13"/>
  <c r="H72" i="13"/>
  <c r="H66" i="13"/>
  <c r="H60" i="13"/>
  <c r="H54" i="13"/>
  <c r="H48" i="13"/>
  <c r="H42" i="13"/>
  <c r="H36" i="13"/>
  <c r="H30" i="13"/>
  <c r="H24" i="13"/>
  <c r="H18" i="13"/>
  <c r="H149" i="13"/>
  <c r="H143" i="13"/>
  <c r="H137" i="13"/>
  <c r="H131" i="13"/>
  <c r="H125" i="13"/>
  <c r="H119" i="13"/>
  <c r="H113" i="13"/>
  <c r="H107" i="13"/>
  <c r="H101" i="13"/>
  <c r="H95" i="13"/>
  <c r="H89" i="13"/>
  <c r="H83" i="13"/>
  <c r="H77" i="13"/>
  <c r="H71" i="13"/>
  <c r="H65" i="13"/>
  <c r="H59" i="13"/>
  <c r="H47" i="13"/>
  <c r="H41" i="13"/>
  <c r="H35" i="13"/>
  <c r="E13" i="3"/>
  <c r="C6" i="1" l="1"/>
  <c r="B6" i="1"/>
  <c r="C5" i="1"/>
  <c r="B5" i="1"/>
  <c r="D4" i="8"/>
  <c r="E4" i="8"/>
  <c r="D5" i="8"/>
  <c r="E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E3" i="8"/>
  <c r="D3" i="8"/>
  <c r="A4" i="8"/>
  <c r="B4" i="8"/>
  <c r="C4" i="8"/>
  <c r="A5" i="8"/>
  <c r="B5" i="8"/>
  <c r="C5" i="8"/>
  <c r="A6" i="8"/>
  <c r="B6" i="8"/>
  <c r="C6" i="8"/>
  <c r="A7" i="8"/>
  <c r="B7" i="8"/>
  <c r="C7" i="8"/>
  <c r="A8" i="8"/>
  <c r="B8" i="8"/>
  <c r="C8" i="8"/>
  <c r="A9" i="8"/>
  <c r="B9" i="8"/>
  <c r="C9" i="8"/>
  <c r="A10" i="8"/>
  <c r="B10" i="8"/>
  <c r="C10" i="8"/>
  <c r="A11" i="8"/>
  <c r="B11" i="8"/>
  <c r="C11" i="8"/>
  <c r="A12" i="8"/>
  <c r="B12" i="8"/>
  <c r="C12" i="8"/>
  <c r="A13" i="8"/>
  <c r="B13" i="8"/>
  <c r="C13" i="8"/>
  <c r="A14" i="8"/>
  <c r="B14" i="8"/>
  <c r="C14" i="8"/>
  <c r="A15" i="8"/>
  <c r="B15" i="8"/>
  <c r="C15" i="8"/>
  <c r="A16" i="8"/>
  <c r="B16" i="8"/>
  <c r="C16" i="8"/>
  <c r="A17" i="8"/>
  <c r="B17" i="8"/>
  <c r="C17" i="8"/>
  <c r="A18" i="8"/>
  <c r="B18" i="8"/>
  <c r="C18" i="8"/>
  <c r="A19" i="8"/>
  <c r="B19" i="8"/>
  <c r="C19" i="8"/>
  <c r="A20" i="8"/>
  <c r="B20" i="8"/>
  <c r="C20" i="8"/>
  <c r="A21" i="8"/>
  <c r="B21" i="8"/>
  <c r="C21" i="8"/>
  <c r="A22" i="8"/>
  <c r="B22" i="8"/>
  <c r="C22" i="8"/>
  <c r="A23" i="8"/>
  <c r="B23" i="8"/>
  <c r="C23" i="8"/>
  <c r="A24" i="8"/>
  <c r="B24" i="8"/>
  <c r="C24" i="8"/>
  <c r="A25" i="8"/>
  <c r="B25" i="8"/>
  <c r="C25" i="8"/>
  <c r="A26" i="8"/>
  <c r="B26" i="8"/>
  <c r="C26" i="8"/>
  <c r="A27" i="8"/>
  <c r="B27" i="8"/>
  <c r="C27" i="8"/>
  <c r="A28" i="8"/>
  <c r="B28" i="8"/>
  <c r="C28" i="8"/>
  <c r="A29" i="8"/>
  <c r="B29" i="8"/>
  <c r="C29" i="8"/>
  <c r="A30" i="8"/>
  <c r="B30" i="8"/>
  <c r="C30" i="8"/>
  <c r="A31" i="8"/>
  <c r="B31" i="8"/>
  <c r="C31" i="8"/>
  <c r="A32" i="8"/>
  <c r="B32" i="8"/>
  <c r="C32" i="8"/>
  <c r="A33" i="8"/>
  <c r="B33" i="8"/>
  <c r="C33" i="8"/>
  <c r="A34" i="8"/>
  <c r="B34" i="8"/>
  <c r="C34" i="8"/>
  <c r="A35" i="8"/>
  <c r="B35" i="8"/>
  <c r="C35" i="8"/>
  <c r="A36" i="8"/>
  <c r="B36" i="8"/>
  <c r="C36" i="8"/>
  <c r="A37" i="8"/>
  <c r="B37" i="8"/>
  <c r="C37" i="8"/>
  <c r="A38" i="8"/>
  <c r="B38" i="8"/>
  <c r="C38" i="8"/>
  <c r="A39" i="8"/>
  <c r="B39" i="8"/>
  <c r="C39" i="8"/>
  <c r="A40" i="8"/>
  <c r="B40" i="8"/>
  <c r="C40" i="8"/>
  <c r="A41" i="8"/>
  <c r="B41" i="8"/>
  <c r="C41" i="8"/>
  <c r="A42" i="8"/>
  <c r="B42" i="8"/>
  <c r="C42" i="8"/>
  <c r="A43" i="8"/>
  <c r="B43" i="8"/>
  <c r="C43" i="8"/>
  <c r="A44" i="8"/>
  <c r="B44" i="8"/>
  <c r="C44" i="8"/>
  <c r="A45" i="8"/>
  <c r="B45" i="8"/>
  <c r="C45" i="8"/>
  <c r="A46" i="8"/>
  <c r="B46" i="8"/>
  <c r="C46" i="8"/>
  <c r="A47" i="8"/>
  <c r="B47" i="8"/>
  <c r="C47" i="8"/>
  <c r="A48" i="8"/>
  <c r="B48" i="8"/>
  <c r="C48" i="8"/>
  <c r="A49" i="8"/>
  <c r="B49" i="8"/>
  <c r="C49" i="8"/>
  <c r="A50" i="8"/>
  <c r="B50" i="8"/>
  <c r="C50" i="8"/>
  <c r="A51" i="8"/>
  <c r="B51" i="8"/>
  <c r="C51" i="8"/>
  <c r="A52" i="8"/>
  <c r="B52" i="8"/>
  <c r="C52" i="8"/>
  <c r="A53" i="8"/>
  <c r="B53" i="8"/>
  <c r="C53" i="8"/>
  <c r="A54" i="8"/>
  <c r="B54" i="8"/>
  <c r="C54" i="8"/>
  <c r="A55" i="8"/>
  <c r="B55" i="8"/>
  <c r="C55" i="8"/>
  <c r="A56" i="8"/>
  <c r="B56" i="8"/>
  <c r="C56" i="8"/>
  <c r="A57" i="8"/>
  <c r="B57" i="8"/>
  <c r="C57" i="8"/>
  <c r="A58" i="8"/>
  <c r="B58" i="8"/>
  <c r="C58" i="8"/>
  <c r="A59" i="8"/>
  <c r="B59" i="8"/>
  <c r="C59" i="8"/>
  <c r="A60" i="8"/>
  <c r="B60" i="8"/>
  <c r="C60" i="8"/>
  <c r="A61" i="8"/>
  <c r="B61" i="8"/>
  <c r="C61" i="8"/>
  <c r="A62" i="8"/>
  <c r="B62" i="8"/>
  <c r="C62" i="8"/>
  <c r="C3" i="8"/>
  <c r="B3" i="8"/>
  <c r="B2" i="8" s="1"/>
  <c r="A3" i="8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H58" i="5"/>
  <c r="I58" i="5"/>
  <c r="H59" i="5"/>
  <c r="I59" i="5"/>
  <c r="H60" i="5"/>
  <c r="I60" i="5"/>
  <c r="H61" i="5"/>
  <c r="I61" i="5"/>
  <c r="H62" i="5"/>
  <c r="I62" i="5"/>
  <c r="H63" i="5"/>
  <c r="I63" i="5"/>
  <c r="H64" i="5"/>
  <c r="I64" i="5"/>
  <c r="H65" i="5"/>
  <c r="I65" i="5"/>
  <c r="H66" i="5"/>
  <c r="I66" i="5"/>
  <c r="H67" i="5"/>
  <c r="I67" i="5"/>
  <c r="H68" i="5"/>
  <c r="I68" i="5"/>
  <c r="H69" i="5"/>
  <c r="I69" i="5"/>
  <c r="H70" i="5"/>
  <c r="I70" i="5"/>
  <c r="H71" i="5"/>
  <c r="I71" i="5"/>
  <c r="H72" i="5"/>
  <c r="I72" i="5"/>
  <c r="H73" i="5"/>
  <c r="I73" i="5"/>
  <c r="H74" i="5"/>
  <c r="I74" i="5"/>
  <c r="H75" i="5"/>
  <c r="I75" i="5"/>
  <c r="H76" i="5"/>
  <c r="I76" i="5"/>
  <c r="H77" i="5"/>
  <c r="I77" i="5"/>
  <c r="H78" i="5"/>
  <c r="I78" i="5"/>
  <c r="H79" i="5"/>
  <c r="I79" i="5"/>
  <c r="H80" i="5"/>
  <c r="I80" i="5"/>
  <c r="H81" i="5"/>
  <c r="I81" i="5"/>
  <c r="H82" i="5"/>
  <c r="I82" i="5"/>
  <c r="H83" i="5"/>
  <c r="I83" i="5"/>
  <c r="H84" i="5"/>
  <c r="I84" i="5"/>
  <c r="H85" i="5"/>
  <c r="I85" i="5"/>
  <c r="H86" i="5"/>
  <c r="I86" i="5"/>
  <c r="H87" i="5"/>
  <c r="I87" i="5"/>
  <c r="H88" i="5"/>
  <c r="I88" i="5"/>
  <c r="H89" i="5"/>
  <c r="I89" i="5"/>
  <c r="H90" i="5"/>
  <c r="I90" i="5"/>
  <c r="H91" i="5"/>
  <c r="I91" i="5"/>
  <c r="H92" i="5"/>
  <c r="I92" i="5"/>
  <c r="H93" i="5"/>
  <c r="I93" i="5"/>
  <c r="H94" i="5"/>
  <c r="I94" i="5"/>
  <c r="H95" i="5"/>
  <c r="I95" i="5"/>
  <c r="H96" i="5"/>
  <c r="I96" i="5"/>
  <c r="H97" i="5"/>
  <c r="I97" i="5"/>
  <c r="H98" i="5"/>
  <c r="I98" i="5"/>
  <c r="H99" i="5"/>
  <c r="I99" i="5"/>
  <c r="H100" i="5"/>
  <c r="I100" i="5"/>
  <c r="H101" i="5"/>
  <c r="I101" i="5"/>
  <c r="H102" i="5"/>
  <c r="I102" i="5"/>
  <c r="H103" i="5"/>
  <c r="I103" i="5"/>
  <c r="H104" i="5"/>
  <c r="I104" i="5"/>
  <c r="H105" i="5"/>
  <c r="I105" i="5"/>
  <c r="H106" i="5"/>
  <c r="I106" i="5"/>
  <c r="H107" i="5"/>
  <c r="I107" i="5"/>
  <c r="H108" i="5"/>
  <c r="I108" i="5"/>
  <c r="H109" i="5"/>
  <c r="I109" i="5"/>
  <c r="H110" i="5"/>
  <c r="I110" i="5"/>
  <c r="H111" i="5"/>
  <c r="I111" i="5"/>
  <c r="H112" i="5"/>
  <c r="I112" i="5"/>
  <c r="H113" i="5"/>
  <c r="I113" i="5"/>
  <c r="H114" i="5"/>
  <c r="I114" i="5"/>
  <c r="H115" i="5"/>
  <c r="I115" i="5"/>
  <c r="H116" i="5"/>
  <c r="I116" i="5"/>
  <c r="H117" i="5"/>
  <c r="I117" i="5"/>
  <c r="H118" i="5"/>
  <c r="I118" i="5"/>
  <c r="H119" i="5"/>
  <c r="I119" i="5"/>
  <c r="H120" i="5"/>
  <c r="I120" i="5"/>
  <c r="H121" i="5"/>
  <c r="I121" i="5"/>
  <c r="H122" i="5"/>
  <c r="I122" i="5"/>
  <c r="H123" i="5"/>
  <c r="I123" i="5"/>
  <c r="H124" i="5"/>
  <c r="I124" i="5"/>
  <c r="H125" i="5"/>
  <c r="I125" i="5"/>
  <c r="H126" i="5"/>
  <c r="I126" i="5"/>
  <c r="H127" i="5"/>
  <c r="I127" i="5"/>
  <c r="H128" i="5"/>
  <c r="I128" i="5"/>
  <c r="H129" i="5"/>
  <c r="I129" i="5"/>
  <c r="H130" i="5"/>
  <c r="I130" i="5"/>
  <c r="H131" i="5"/>
  <c r="I131" i="5"/>
  <c r="H132" i="5"/>
  <c r="I132" i="5"/>
  <c r="H133" i="5"/>
  <c r="I133" i="5"/>
  <c r="H134" i="5"/>
  <c r="I134" i="5"/>
  <c r="H135" i="5"/>
  <c r="I135" i="5"/>
  <c r="H136" i="5"/>
  <c r="I136" i="5"/>
  <c r="H137" i="5"/>
  <c r="I137" i="5"/>
  <c r="H138" i="5"/>
  <c r="I138" i="5"/>
  <c r="H139" i="5"/>
  <c r="I139" i="5"/>
  <c r="H140" i="5"/>
  <c r="I140" i="5"/>
  <c r="H141" i="5"/>
  <c r="I141" i="5"/>
  <c r="H142" i="5"/>
  <c r="I142" i="5"/>
  <c r="H143" i="5"/>
  <c r="I143" i="5"/>
  <c r="H144" i="5"/>
  <c r="I144" i="5"/>
  <c r="H145" i="5"/>
  <c r="I145" i="5"/>
  <c r="H146" i="5"/>
  <c r="I146" i="5"/>
  <c r="H147" i="5"/>
  <c r="I147" i="5"/>
  <c r="H148" i="5"/>
  <c r="I148" i="5"/>
  <c r="H149" i="5"/>
  <c r="I149" i="5"/>
  <c r="H150" i="5"/>
  <c r="I150" i="5"/>
  <c r="H151" i="5"/>
  <c r="I151" i="5"/>
  <c r="H152" i="5"/>
  <c r="I152" i="5"/>
  <c r="H153" i="5"/>
  <c r="I153" i="5"/>
  <c r="H154" i="5"/>
  <c r="I154" i="5"/>
  <c r="H155" i="5"/>
  <c r="I155" i="5"/>
  <c r="H156" i="5"/>
  <c r="I156" i="5"/>
  <c r="H157" i="5"/>
  <c r="I157" i="5"/>
  <c r="H158" i="5"/>
  <c r="I158" i="5"/>
  <c r="H159" i="5"/>
  <c r="I159" i="5"/>
  <c r="H160" i="5"/>
  <c r="I160" i="5"/>
  <c r="H161" i="5"/>
  <c r="I161" i="5"/>
  <c r="H162" i="5"/>
  <c r="I162" i="5"/>
  <c r="H163" i="5"/>
  <c r="I163" i="5"/>
  <c r="H164" i="5"/>
  <c r="I164" i="5"/>
  <c r="H165" i="5"/>
  <c r="I165" i="5"/>
  <c r="H166" i="5"/>
  <c r="I166" i="5"/>
  <c r="H167" i="5"/>
  <c r="I167" i="5"/>
  <c r="H168" i="5"/>
  <c r="I168" i="5"/>
  <c r="H169" i="5"/>
  <c r="I169" i="5"/>
  <c r="H170" i="5"/>
  <c r="I170" i="5"/>
  <c r="H171" i="5"/>
  <c r="I171" i="5"/>
  <c r="H172" i="5"/>
  <c r="I172" i="5"/>
  <c r="H173" i="5"/>
  <c r="I173" i="5"/>
  <c r="H174" i="5"/>
  <c r="I174" i="5"/>
  <c r="H175" i="5"/>
  <c r="I175" i="5"/>
  <c r="H176" i="5"/>
  <c r="I176" i="5"/>
  <c r="H177" i="5"/>
  <c r="I177" i="5"/>
  <c r="H178" i="5"/>
  <c r="I178" i="5"/>
  <c r="H179" i="5"/>
  <c r="I179" i="5"/>
  <c r="H180" i="5"/>
  <c r="I180" i="5"/>
  <c r="H181" i="5"/>
  <c r="I181" i="5"/>
  <c r="H182" i="5"/>
  <c r="I182" i="5"/>
  <c r="H183" i="5"/>
  <c r="I183" i="5"/>
  <c r="H184" i="5"/>
  <c r="I184" i="5"/>
  <c r="H185" i="5"/>
  <c r="I185" i="5"/>
  <c r="H186" i="5"/>
  <c r="I186" i="5"/>
  <c r="H187" i="5"/>
  <c r="I187" i="5"/>
  <c r="H188" i="5"/>
  <c r="I188" i="5"/>
  <c r="H189" i="5"/>
  <c r="I189" i="5"/>
  <c r="H190" i="5"/>
  <c r="I190" i="5"/>
  <c r="H191" i="5"/>
  <c r="I191" i="5"/>
  <c r="H192" i="5"/>
  <c r="I192" i="5"/>
  <c r="H193" i="5"/>
  <c r="I193" i="5"/>
  <c r="H194" i="5"/>
  <c r="I194" i="5"/>
  <c r="H195" i="5"/>
  <c r="I195" i="5"/>
  <c r="H196" i="5"/>
  <c r="I196" i="5"/>
  <c r="H197" i="5"/>
  <c r="I197" i="5"/>
  <c r="H198" i="5"/>
  <c r="I198" i="5"/>
  <c r="H199" i="5"/>
  <c r="I199" i="5"/>
  <c r="H200" i="5"/>
  <c r="I200" i="5"/>
  <c r="H201" i="5"/>
  <c r="I201" i="5"/>
  <c r="I3" i="5"/>
  <c r="H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3" i="5"/>
  <c r="G2" i="6"/>
  <c r="H2" i="6"/>
  <c r="F2" i="6"/>
  <c r="H2" i="4"/>
  <c r="I2" i="4"/>
  <c r="J2" i="4"/>
  <c r="K2" i="4"/>
  <c r="G2" i="4"/>
  <c r="E6" i="3" l="1"/>
  <c r="E8" i="3"/>
  <c r="C2" i="8"/>
  <c r="I2" i="5" l="1"/>
  <c r="H2" i="5"/>
  <c r="E11" i="3"/>
  <c r="C8" i="1"/>
  <c r="E4" i="3"/>
  <c r="E12" i="3"/>
  <c r="E3" i="3"/>
  <c r="E14" i="3"/>
  <c r="E5" i="3"/>
  <c r="B9" i="1" l="1"/>
  <c r="C9" i="1"/>
  <c r="C10" i="1" s="1"/>
</calcChain>
</file>

<file path=xl/sharedStrings.xml><?xml version="1.0" encoding="utf-8"?>
<sst xmlns="http://schemas.openxmlformats.org/spreadsheetml/2006/main" count="11635" uniqueCount="4269">
  <si>
    <t>TÀI KHOẢN NHẬN
Bank account</t>
  </si>
  <si>
    <t>THU HỘ KHÁCH WIFI CỐ ĐỊNH CỦA ĐẠI LÝ
Collect fixed Wi-Fi payments from the agent’s customers</t>
  </si>
  <si>
    <t xml:space="preserve"> WIFI CẦM TAY</t>
  </si>
  <si>
    <t>Other</t>
  </si>
  <si>
    <t>Chưa xác định/Not yet determined</t>
  </si>
  <si>
    <t>TỔNG/ TOTAL</t>
  </si>
  <si>
    <t xml:space="preserve"> Cọc/ Deposit</t>
  </si>
  <si>
    <t>Cước/Monthly fee</t>
  </si>
  <si>
    <t>Khách sử dụng từ tháng 7
Customer has been using it since July.</t>
  </si>
  <si>
    <t>Khách sử dụng trước tháng 7
Customer used it before July</t>
  </si>
  <si>
    <t>Cước/ Monthly fee</t>
  </si>
  <si>
    <t>GMO</t>
  </si>
  <si>
    <t>Yucho Arai</t>
  </si>
  <si>
    <t>SBI</t>
  </si>
  <si>
    <t>Arai 7121</t>
  </si>
  <si>
    <t>TỔNG</t>
  </si>
  <si>
    <t>Tiền cần trả cho đại lý</t>
  </si>
  <si>
    <t>STT</t>
  </si>
  <si>
    <t>ID</t>
  </si>
  <si>
    <t>Yucho</t>
  </si>
  <si>
    <t>TOTAL</t>
  </si>
  <si>
    <t>U00007833136</t>
  </si>
  <si>
    <t>U00007819941</t>
  </si>
  <si>
    <t>U00007835648</t>
  </si>
  <si>
    <t>U00007839036</t>
  </si>
  <si>
    <t>U00007830494</t>
  </si>
  <si>
    <t>U00007766415</t>
  </si>
  <si>
    <t>U00007821917</t>
  </si>
  <si>
    <t>U00007854564</t>
  </si>
  <si>
    <t>U00007832568</t>
  </si>
  <si>
    <t>U00007807764</t>
  </si>
  <si>
    <t>U00007824109</t>
  </si>
  <si>
    <t>U00007819670</t>
  </si>
  <si>
    <t>U00007797907</t>
  </si>
  <si>
    <t>U00007839293</t>
  </si>
  <si>
    <t>U00007811162</t>
  </si>
  <si>
    <t>U00007822655</t>
  </si>
  <si>
    <t>U00007825999</t>
  </si>
  <si>
    <t>U00007819949</t>
  </si>
  <si>
    <t>U00007820482</t>
  </si>
  <si>
    <t>U00007842252</t>
  </si>
  <si>
    <t>U00007828034</t>
  </si>
  <si>
    <t>U00007831813</t>
  </si>
  <si>
    <t>U00007835742</t>
  </si>
  <si>
    <t>U00007832610</t>
  </si>
  <si>
    <t>U00007836020</t>
  </si>
  <si>
    <t>U00007802820</t>
  </si>
  <si>
    <t>U00007797875</t>
  </si>
  <si>
    <t>U00007852718</t>
  </si>
  <si>
    <t>U00007852610</t>
  </si>
  <si>
    <t>U00007838960</t>
  </si>
  <si>
    <t>U00007804022</t>
  </si>
  <si>
    <t>U00007803100</t>
  </si>
  <si>
    <t>U00007797925</t>
  </si>
  <si>
    <t>U00007835165</t>
  </si>
  <si>
    <t>U00007802607</t>
  </si>
  <si>
    <t>U00007835652</t>
  </si>
  <si>
    <t>U00007817327</t>
  </si>
  <si>
    <t>U00007847300</t>
  </si>
  <si>
    <t>U00007825674</t>
  </si>
  <si>
    <t>U00007803481</t>
  </si>
  <si>
    <t>U00007812874</t>
  </si>
  <si>
    <t>U00003128556</t>
  </si>
  <si>
    <t>U00007797888</t>
  </si>
  <si>
    <t>U00007817306</t>
  </si>
  <si>
    <t>U00007826033</t>
  </si>
  <si>
    <t>U00007797866</t>
  </si>
  <si>
    <t>U00007831281</t>
  </si>
  <si>
    <t>U00007803718</t>
  </si>
  <si>
    <t>U00007818265</t>
  </si>
  <si>
    <t>U00007853638</t>
  </si>
  <si>
    <t>U00007812836</t>
  </si>
  <si>
    <t>U00007811810</t>
  </si>
  <si>
    <t>U00007820424</t>
  </si>
  <si>
    <t>U00007778935</t>
  </si>
  <si>
    <t>U00007855326</t>
  </si>
  <si>
    <t>U00007813346</t>
  </si>
  <si>
    <t>U00007815988</t>
  </si>
  <si>
    <t>U00007798601</t>
  </si>
  <si>
    <t>U00007821818</t>
  </si>
  <si>
    <t>U00007834807</t>
  </si>
  <si>
    <t>U00007802598</t>
  </si>
  <si>
    <t>U00007810178</t>
  </si>
  <si>
    <t>U00007812236</t>
  </si>
  <si>
    <t>U00007855931</t>
  </si>
  <si>
    <t>U00007820353</t>
  </si>
  <si>
    <t>U00007846214</t>
  </si>
  <si>
    <t>U00007802832</t>
  </si>
  <si>
    <t>U00007855077</t>
  </si>
  <si>
    <t>U00007814548</t>
  </si>
  <si>
    <t>U00007825013</t>
  </si>
  <si>
    <t>U00007799781</t>
  </si>
  <si>
    <t>U00007856595</t>
  </si>
  <si>
    <t>U00007856224</t>
  </si>
  <si>
    <t>U00007835136</t>
  </si>
  <si>
    <t>U00007785517</t>
  </si>
  <si>
    <t>U00007857706</t>
  </si>
  <si>
    <t>U00003125160</t>
  </si>
  <si>
    <t>U00007826714</t>
  </si>
  <si>
    <t>U00007838767</t>
  </si>
  <si>
    <t>U00007859443</t>
  </si>
  <si>
    <t>U00007824893</t>
  </si>
  <si>
    <t>U00007854593</t>
  </si>
  <si>
    <t>U00007818869</t>
  </si>
  <si>
    <t>U00007874320</t>
  </si>
  <si>
    <t>U00007840616</t>
  </si>
  <si>
    <t>U00007804726</t>
  </si>
  <si>
    <t>U00007818722</t>
  </si>
  <si>
    <t>U00007827392</t>
  </si>
  <si>
    <t>U00007785284</t>
  </si>
  <si>
    <t>U00007819933</t>
  </si>
  <si>
    <t>U00007842893</t>
  </si>
  <si>
    <t>U00007830761</t>
  </si>
  <si>
    <t>U00007803677</t>
  </si>
  <si>
    <t>U00007859275</t>
  </si>
  <si>
    <t>U00007852730</t>
  </si>
  <si>
    <t>U00007847304</t>
  </si>
  <si>
    <t>U00007840826</t>
  </si>
  <si>
    <t>U00007826967</t>
  </si>
  <si>
    <t>U00007855255</t>
  </si>
  <si>
    <t>U00007853993</t>
  </si>
  <si>
    <t>U00007827928</t>
  </si>
  <si>
    <t>U00007794721</t>
  </si>
  <si>
    <t>U00007817115</t>
  </si>
  <si>
    <t>U00007833057</t>
  </si>
  <si>
    <t>U00007812840</t>
  </si>
  <si>
    <t>U00007833248</t>
  </si>
  <si>
    <t>U00007818803</t>
  </si>
  <si>
    <t>U00007855877</t>
  </si>
  <si>
    <t>U00007837243</t>
  </si>
  <si>
    <t>U00007843797</t>
  </si>
  <si>
    <t>U00007857811</t>
  </si>
  <si>
    <t>U00007849048</t>
  </si>
  <si>
    <t>U00007858458</t>
  </si>
  <si>
    <t>NOTE</t>
  </si>
  <si>
    <t>Tiền cọc tính đến hết tháng 6</t>
  </si>
  <si>
    <t>Total customer deposit balance as of the end of January</t>
  </si>
  <si>
    <t>Doanh thu tháng 7</t>
  </si>
  <si>
    <t>Total sales received in February, broken down by account (Yucho / SBI / GMO)</t>
  </si>
  <si>
    <t>Cọc tháng 7</t>
  </si>
  <si>
    <t>Total customer deposits collected in February, broken down by account (Yucho / SBI / GMO)</t>
  </si>
  <si>
    <t>Tiền hoàn cọc tháng 7</t>
  </si>
  <si>
    <t>Total customer deposit refunds made in February</t>
  </si>
  <si>
    <t>Tiền cọc chuyển thành doanh thu trong tháng 7</t>
  </si>
  <si>
    <t>Total amount of previously held customer deposits that were recognized as sales during February</t>
  </si>
  <si>
    <t>Tiền cọc tính đến hết tháng 7</t>
  </si>
  <si>
    <t>Total customer deposit balance as of the end of February</t>
  </si>
  <si>
    <t>Các phần khác về thu tiền</t>
  </si>
  <si>
    <t>Any other notable items regarding sales receipts or refunds</t>
  </si>
  <si>
    <t>Gồm các khoản luân chuyển, Hoa hồng Sonet, phí vận chuyển được hoàn về</t>
  </si>
  <si>
    <t>Tiền wifi cố định đại lý chuyển nhờ</t>
  </si>
  <si>
    <t>ĐƠN VỊ</t>
  </si>
  <si>
    <t>NGÀY THÁNG</t>
  </si>
  <si>
    <t>MÃ KHÁCH HÀNG</t>
  </si>
  <si>
    <t>TÊN KHÁCH HÀNG</t>
  </si>
  <si>
    <t>LOẠI DỊCH VỤ</t>
  </si>
  <si>
    <t>THU</t>
  </si>
  <si>
    <t>CỌC</t>
  </si>
  <si>
    <t>CƯỚC</t>
  </si>
  <si>
    <t>KHÁC/KHÔNG RÕ</t>
  </si>
  <si>
    <t>CHI</t>
  </si>
  <si>
    <t>Mã U (NTT)</t>
  </si>
  <si>
    <t>Công ty</t>
  </si>
  <si>
    <t>KH01145</t>
  </si>
  <si>
    <t>Hoangtrung Nguyen</t>
  </si>
  <si>
    <t>Cầm tay</t>
  </si>
  <si>
    <t>Khách cũ</t>
  </si>
  <si>
    <t>送金</t>
  </si>
  <si>
    <t>ＮＧＵＹＥＮ Ｓ</t>
  </si>
  <si>
    <t>ＨＯＡＮＧ ＶＡ</t>
  </si>
  <si>
    <t>KH02948</t>
  </si>
  <si>
    <t>Norwin Tesnado</t>
  </si>
  <si>
    <t>ĐLý Hoàng</t>
  </si>
  <si>
    <t>KH03098</t>
  </si>
  <si>
    <t>Trần Phương</t>
  </si>
  <si>
    <t>Đơn mới</t>
  </si>
  <si>
    <t>ĐLý tecno</t>
  </si>
  <si>
    <t>KH02322</t>
  </si>
  <si>
    <t>Đại lý Kiên- Luân JP</t>
  </si>
  <si>
    <t>Cố định</t>
  </si>
  <si>
    <t>ĐLý Việt</t>
  </si>
  <si>
    <t>KH03101</t>
  </si>
  <si>
    <t>Jinky Casuela</t>
  </si>
  <si>
    <t>ＣＡＳＵＥＬＡ</t>
  </si>
  <si>
    <t>振込</t>
  </si>
  <si>
    <t>KH01151</t>
  </si>
  <si>
    <t>Tuấn Hà</t>
  </si>
  <si>
    <t>Chưa xác định</t>
  </si>
  <si>
    <t>Không rõ</t>
  </si>
  <si>
    <t>ＴＲＵＯＮＧ Ｈ</t>
  </si>
  <si>
    <t>ＬＥ ＴＨＩ Ｔ</t>
  </si>
  <si>
    <t>KH01155</t>
  </si>
  <si>
    <t>Thu Cúc</t>
  </si>
  <si>
    <t>ＴＲＡＮ ＴＨＩ</t>
  </si>
  <si>
    <t>KH03039</t>
  </si>
  <si>
    <t>Tufoin Jude</t>
  </si>
  <si>
    <t>KH03105</t>
  </si>
  <si>
    <t>Lê Bá Tùng</t>
  </si>
  <si>
    <t>ＬＥ ＢＡ ＴＵ</t>
  </si>
  <si>
    <t>KH03119</t>
  </si>
  <si>
    <t>Haydz Chazee</t>
  </si>
  <si>
    <t>KH03112</t>
  </si>
  <si>
    <t>Kyle Denzel Mamac</t>
  </si>
  <si>
    <t>KH01225</t>
  </si>
  <si>
    <t>Đức Nguyễn Hữu</t>
  </si>
  <si>
    <t>ＮＧＵＹＥＮ Ｈ</t>
  </si>
  <si>
    <t>KH01436</t>
  </si>
  <si>
    <t>Mai Trinh</t>
  </si>
  <si>
    <t>ＮＧＵＹＥＮ Ｔ</t>
  </si>
  <si>
    <t>KH03120</t>
  </si>
  <si>
    <t>SAJJAD HOSSAIN FARUKI</t>
  </si>
  <si>
    <t>KH00262</t>
  </si>
  <si>
    <t>Lê Văn Sơn</t>
  </si>
  <si>
    <t>ＬＥ ＶＡＮ Ｓ</t>
  </si>
  <si>
    <t>KH02600</t>
  </si>
  <si>
    <t>Đại lý AKIKO</t>
  </si>
  <si>
    <t>KH02750</t>
  </si>
  <si>
    <t>Ramyaka Bowatta</t>
  </si>
  <si>
    <t>KH01343</t>
  </si>
  <si>
    <t>Phan Sơn Tùng</t>
  </si>
  <si>
    <t>ＰＨＡＮ ＳＯＮ</t>
  </si>
  <si>
    <t>ＬＥ ＮＧＯ Ｔ</t>
  </si>
  <si>
    <t>KH00498</t>
  </si>
  <si>
    <t>Đỗ Phong</t>
  </si>
  <si>
    <t>KH02748</t>
  </si>
  <si>
    <t>Pyaephyo Kyaw</t>
  </si>
  <si>
    <t>ＰＹＡＥ ＰＨＹ</t>
  </si>
  <si>
    <t>KH00176</t>
  </si>
  <si>
    <t>Tâm Antôn</t>
  </si>
  <si>
    <t>ＴＡ ＶＡＮ Ｔ</t>
  </si>
  <si>
    <t>KH03127</t>
  </si>
  <si>
    <t>Michelle Dadoy</t>
  </si>
  <si>
    <t>ＤＡＤＯＹ ＭＩ</t>
  </si>
  <si>
    <t>KH03145</t>
  </si>
  <si>
    <t>ｱﾗｲﾀｶｱｷ</t>
  </si>
  <si>
    <t>KH03036</t>
  </si>
  <si>
    <t>Sug'z Cabrera</t>
  </si>
  <si>
    <t>KH03037</t>
  </si>
  <si>
    <t>もせ じょねる</t>
  </si>
  <si>
    <t>ｱﾗｲ ﾀｶｱｷ</t>
  </si>
  <si>
    <t>KH03151</t>
  </si>
  <si>
    <t>Kris Mariel Davin Barioga</t>
  </si>
  <si>
    <t>KH03152</t>
  </si>
  <si>
    <t>Romelito Mata Lavador</t>
  </si>
  <si>
    <t>KH00622</t>
  </si>
  <si>
    <t>CTV Nguyễn Thu</t>
  </si>
  <si>
    <t>ＤＡＮＧ ＴＨＩ</t>
  </si>
  <si>
    <t>KH00807</t>
  </si>
  <si>
    <t>Quốc Việt</t>
  </si>
  <si>
    <t>ＴＲＡＮ ＱＵＯ</t>
  </si>
  <si>
    <t>KH00570</t>
  </si>
  <si>
    <t>Nguyễn Sang</t>
  </si>
  <si>
    <t>ＬＵＯＮＧ ＴＨ</t>
  </si>
  <si>
    <t>KH01260</t>
  </si>
  <si>
    <t>Sơn Thack</t>
  </si>
  <si>
    <t>ＨＡ ＳＯＮ Ｔ</t>
  </si>
  <si>
    <t>KH01275</t>
  </si>
  <si>
    <t>Văn Sỹ</t>
  </si>
  <si>
    <t>ＨＡ ＶＡＮ Ｓ</t>
  </si>
  <si>
    <t>KH01406</t>
  </si>
  <si>
    <t>Lý Hưng</t>
  </si>
  <si>
    <t>ＢＵＩ ＣＯＮＧ</t>
  </si>
  <si>
    <t>KH00525</t>
  </si>
  <si>
    <t>CTV Huy Khánh XKLĐ</t>
  </si>
  <si>
    <t>ＮＧＵＹＥＮ Ｖ</t>
  </si>
  <si>
    <t>KH00470</t>
  </si>
  <si>
    <t>CTV Lương Trọng Thân</t>
  </si>
  <si>
    <t>KH00584</t>
  </si>
  <si>
    <t>Nguyễn Thị Trang</t>
  </si>
  <si>
    <t>ＮＡＩＬＩ ＡＲ</t>
  </si>
  <si>
    <t>KH01355</t>
  </si>
  <si>
    <t>Naili Arifiyah</t>
  </si>
  <si>
    <t>TB01219</t>
  </si>
  <si>
    <t>KH02921</t>
  </si>
  <si>
    <t>AGENDIA BERINIS NJUNDONG</t>
  </si>
  <si>
    <t>ＦＯＮＯＣＨＯ</t>
  </si>
  <si>
    <t>ＤＡＯ ＮＧＯＣ</t>
  </si>
  <si>
    <t>ＬＵＯＮＧ ＴＲ</t>
  </si>
  <si>
    <t>ＴＲＡＮ ＴＩＥ</t>
  </si>
  <si>
    <t>KH00249</t>
  </si>
  <si>
    <t>TÀi S</t>
  </si>
  <si>
    <t>ＨＡ ＶＡＮ Ｐ</t>
  </si>
  <si>
    <t>KH00291</t>
  </si>
  <si>
    <t>Trọng Nguyễn</t>
  </si>
  <si>
    <t>KH00275</t>
  </si>
  <si>
    <t>Phương Hà</t>
  </si>
  <si>
    <t>ＰＨＡＭ ＶＡＮ</t>
  </si>
  <si>
    <t>KH01103</t>
  </si>
  <si>
    <t>Nguyễn Thị Xuân</t>
  </si>
  <si>
    <t>KH01345</t>
  </si>
  <si>
    <t>Chien Ngoc</t>
  </si>
  <si>
    <t>ＨＯ ＮＧＯＣ</t>
  </si>
  <si>
    <t>KH00013</t>
  </si>
  <si>
    <t>Tuấn Lê Đăng</t>
  </si>
  <si>
    <t>KH00462</t>
  </si>
  <si>
    <t>Hoàng Huy</t>
  </si>
  <si>
    <t>KH00560</t>
  </si>
  <si>
    <t>Phan Thinh</t>
  </si>
  <si>
    <t>KH00485</t>
  </si>
  <si>
    <t>Nguyễn Thị Thùy Dung</t>
  </si>
  <si>
    <t>ＤＡＯ ＴＨＩ</t>
  </si>
  <si>
    <t>KH03139</t>
  </si>
  <si>
    <t>Pj Pulloc</t>
  </si>
  <si>
    <t>KH01440</t>
  </si>
  <si>
    <t>Vân Lucky</t>
  </si>
  <si>
    <t>ＨＯＡＮＧ ＴＨ</t>
  </si>
  <si>
    <t>KH00765</t>
  </si>
  <si>
    <t>Lê Hiếu</t>
  </si>
  <si>
    <t>ＬＥ ＶＡＮ Ｈ</t>
  </si>
  <si>
    <t>KH03176</t>
  </si>
  <si>
    <t>Yamamoto Kussudo Marcos Massatoshi</t>
  </si>
  <si>
    <t>ＹＡＭＡＭＯＴＯ</t>
  </si>
  <si>
    <t>KH02195</t>
  </si>
  <si>
    <t>Jhay Buen</t>
  </si>
  <si>
    <t>ＢＵＥＮ ＪＯＨ</t>
  </si>
  <si>
    <t>KH00208</t>
  </si>
  <si>
    <t>Đỗ Hảo</t>
  </si>
  <si>
    <t>ＤＯ ＴＨＩＥＮ</t>
  </si>
  <si>
    <t>KH00595</t>
  </si>
  <si>
    <t>Vũ Việt Cường</t>
  </si>
  <si>
    <t>ＶＵ ＶＩＥＴ</t>
  </si>
  <si>
    <t>KH00495</t>
  </si>
  <si>
    <t>CTV Hana Trần</t>
  </si>
  <si>
    <t>ＮＧＵＹＥＮ Ｄ</t>
  </si>
  <si>
    <t>KH01328</t>
  </si>
  <si>
    <t>Huỳnh Nhung</t>
  </si>
  <si>
    <t>KH01031</t>
  </si>
  <si>
    <t>Long Nguyễn</t>
  </si>
  <si>
    <t>KH00984</t>
  </si>
  <si>
    <t>Diệu Linh 2</t>
  </si>
  <si>
    <t>ＨＵＹＮＨ ＴＨ</t>
  </si>
  <si>
    <t>KH00990</t>
  </si>
  <si>
    <t>Dương Vương Linh</t>
  </si>
  <si>
    <t>ＤＵＯＮＧ ＶＵ</t>
  </si>
  <si>
    <t>KH00820</t>
  </si>
  <si>
    <t>Đức Trường</t>
  </si>
  <si>
    <t>ＬＡＩ ＣＯＮＧ</t>
  </si>
  <si>
    <t>KH03137</t>
  </si>
  <si>
    <t>Eduardo Yudi Machida</t>
  </si>
  <si>
    <t>ﾁﾔﾝ ﾃｲ ﾎｱ</t>
  </si>
  <si>
    <t>KH03196</t>
  </si>
  <si>
    <t>Nikko Nuezca</t>
  </si>
  <si>
    <t>KH00538</t>
  </si>
  <si>
    <t>Củ Cải</t>
  </si>
  <si>
    <t>ＬＵＵ ＤＩＮＨ</t>
  </si>
  <si>
    <t>KH03012</t>
  </si>
  <si>
    <t>団結Jb</t>
  </si>
  <si>
    <t>KH03110</t>
  </si>
  <si>
    <t>Ronald Along</t>
  </si>
  <si>
    <t>KH03124</t>
  </si>
  <si>
    <t>Tatat Estrada</t>
  </si>
  <si>
    <t>KH00896</t>
  </si>
  <si>
    <t>Kim Ngân</t>
  </si>
  <si>
    <t>ＢＵＩ ＣＡＯ</t>
  </si>
  <si>
    <t>ＮＧＵＹＥＮ Ｋ</t>
  </si>
  <si>
    <t>KH01097</t>
  </si>
  <si>
    <t>Hoàng Sơn</t>
  </si>
  <si>
    <t>ＤＡＮＧ ＨＯＡ</t>
  </si>
  <si>
    <t>ＣＡＯ ＴＨＩ</t>
  </si>
  <si>
    <t>ことら</t>
  </si>
  <si>
    <t>Khác</t>
  </si>
  <si>
    <t>Ann Ril</t>
  </si>
  <si>
    <t>KH03178</t>
  </si>
  <si>
    <t>Alvin Garcia</t>
  </si>
  <si>
    <t>KH03175</t>
  </si>
  <si>
    <t>තරිඳු අයේෂ් දිසානායක</t>
  </si>
  <si>
    <t>KH03130</t>
  </si>
  <si>
    <t>Vianca Vernice</t>
  </si>
  <si>
    <t>KH03114</t>
  </si>
  <si>
    <t>Charlie Caparoso</t>
  </si>
  <si>
    <t>Edson Menezes</t>
  </si>
  <si>
    <t>KH03173</t>
  </si>
  <si>
    <t>Arif Sakib</t>
  </si>
  <si>
    <t>KH03166</t>
  </si>
  <si>
    <t>Shinzi Kaneko</t>
  </si>
  <si>
    <t>KH03195</t>
  </si>
  <si>
    <t>Cindy Campos Macheca</t>
  </si>
  <si>
    <t>KH03186</t>
  </si>
  <si>
    <t>Mìss Celestial Mae</t>
  </si>
  <si>
    <t>KH03182</t>
  </si>
  <si>
    <t>Ade Sukarna</t>
  </si>
  <si>
    <t>KH03154</t>
  </si>
  <si>
    <t>Joseff Perez</t>
  </si>
  <si>
    <t>KH03219</t>
  </si>
  <si>
    <t>Mark Mahinay Valenzuela</t>
  </si>
  <si>
    <t>ＶＡＬＥＮＺＵＥ</t>
  </si>
  <si>
    <t>KH02358</t>
  </si>
  <si>
    <t>Đại lý Thủy Phạm</t>
  </si>
  <si>
    <t>KH00567</t>
  </si>
  <si>
    <t>Diệu Linh</t>
  </si>
  <si>
    <t>ＮＧＯ ＴＨＩ</t>
  </si>
  <si>
    <t>KH02336</t>
  </si>
  <si>
    <t>Đại Lý Kiên- Hữu Hoàng</t>
  </si>
  <si>
    <t>ＴＲＡＮ ＶＡＮ</t>
  </si>
  <si>
    <t>U00007885566</t>
  </si>
  <si>
    <t>KH01866</t>
  </si>
  <si>
    <t>Aida Balbuena Mizunaga</t>
  </si>
  <si>
    <t>水長 アイダシー</t>
  </si>
  <si>
    <t>KH03194</t>
  </si>
  <si>
    <t>Paulo Henrique Faustino</t>
  </si>
  <si>
    <t>U00007881904</t>
  </si>
  <si>
    <t>KH02151</t>
  </si>
  <si>
    <t>フィリップ ゴロシノ</t>
  </si>
  <si>
    <t>ＧＯＬＯＳＩＮＯ</t>
  </si>
  <si>
    <t>KH01179</t>
  </si>
  <si>
    <t>Hương Bui</t>
  </si>
  <si>
    <t>ＢＵＩ ＴＨＩ</t>
  </si>
  <si>
    <t>ＫＯＧＡ ＭＡＲ</t>
  </si>
  <si>
    <t>KH00221</t>
  </si>
  <si>
    <t>CTV Huyền Trang</t>
  </si>
  <si>
    <t>KH00373</t>
  </si>
  <si>
    <t>Nguyen Quoc Huy</t>
  </si>
  <si>
    <t>ＮＧＵＹＥＮ Ｑ</t>
  </si>
  <si>
    <t>KH00362</t>
  </si>
  <si>
    <t>Huyền Trang</t>
  </si>
  <si>
    <t>KH01633</t>
  </si>
  <si>
    <t>Quyền Trang</t>
  </si>
  <si>
    <t>ＰＨＡＮ ＴＨＩ</t>
  </si>
  <si>
    <t>KH00381</t>
  </si>
  <si>
    <t>CTV Tạ Văn Giang</t>
  </si>
  <si>
    <t>KH00423</t>
  </si>
  <si>
    <t>Nguyễn Chung</t>
  </si>
  <si>
    <t>KH00185</t>
  </si>
  <si>
    <t>Hên Ni Buôn Yă</t>
  </si>
  <si>
    <t>Ｙ ＹＡＮＧ Ｂ</t>
  </si>
  <si>
    <t>KH00283</t>
  </si>
  <si>
    <t>Út Chung</t>
  </si>
  <si>
    <t>ＤＵＯＮＧ ＭＩ</t>
  </si>
  <si>
    <t>ＤＡＮＧ ＶＡＮ</t>
  </si>
  <si>
    <t>KH00242</t>
  </si>
  <si>
    <t>Triệu Duy</t>
  </si>
  <si>
    <t>ＰＨＡＭ ＰＨＵ</t>
  </si>
  <si>
    <t>KH01167</t>
  </si>
  <si>
    <t>Chúc Phương</t>
  </si>
  <si>
    <t>ＨＯ ＴＨＩ Ｃ</t>
  </si>
  <si>
    <t>KH00008</t>
  </si>
  <si>
    <t>Phương Nguyễn</t>
  </si>
  <si>
    <t>ｸﾞｴﾝ ﾌｵﾝ ｳﾞｱﾝ</t>
  </si>
  <si>
    <t>U00003129605</t>
  </si>
  <si>
    <t>KH03209</t>
  </si>
  <si>
    <t>Nyoman Shintya</t>
  </si>
  <si>
    <t>KH03208</t>
  </si>
  <si>
    <t>Zuikaku Takahashi</t>
  </si>
  <si>
    <t>KH03227</t>
  </si>
  <si>
    <t>Mendoza Ramoncito</t>
  </si>
  <si>
    <t>ＮＧＯ ＴＵＡＮ</t>
  </si>
  <si>
    <t>KH00640</t>
  </si>
  <si>
    <t>Nghĩa Hà</t>
  </si>
  <si>
    <t>KH00551</t>
  </si>
  <si>
    <t>Bình Nguyễn Văn</t>
  </si>
  <si>
    <t>Huy Phạm</t>
  </si>
  <si>
    <t>KH00086</t>
  </si>
  <si>
    <t>Thắm Phạm</t>
  </si>
  <si>
    <t>ＰＨＡＭ ＨＵＹ</t>
  </si>
  <si>
    <t>KH01022</t>
  </si>
  <si>
    <t>Quyên Quyên</t>
  </si>
  <si>
    <t>ＬＥ ＴＨＩ Ｈ</t>
  </si>
  <si>
    <t>KH00465</t>
  </si>
  <si>
    <t>Văn Trọng 2</t>
  </si>
  <si>
    <t>KH00953</t>
  </si>
  <si>
    <t>Đặngg Ý.</t>
  </si>
  <si>
    <t>ＤＡＮＧ ＨＵＹ</t>
  </si>
  <si>
    <t>KH00773</t>
  </si>
  <si>
    <t>Minh Hiếu</t>
  </si>
  <si>
    <t>ＴＲＡＮ ＭＩＮ</t>
  </si>
  <si>
    <t>KH01632</t>
  </si>
  <si>
    <t>Thu Thảo</t>
  </si>
  <si>
    <t>ＤＯ ＴＨＩ Ｂ</t>
  </si>
  <si>
    <t>KH00591</t>
  </si>
  <si>
    <t>Be's Do's Do</t>
  </si>
  <si>
    <t>ＴＲＩＮＨ ＴＨ</t>
  </si>
  <si>
    <t>KH03258</t>
  </si>
  <si>
    <t>Glaiza Diama Baya</t>
  </si>
  <si>
    <t>ＢＡＹＡ ＧＬＡ</t>
  </si>
  <si>
    <t>KH03232</t>
  </si>
  <si>
    <t>Sumino Ai</t>
  </si>
  <si>
    <t>KH03214</t>
  </si>
  <si>
    <t>Ghinna G. Enoya</t>
  </si>
  <si>
    <t>CTY</t>
  </si>
  <si>
    <t>ｽﾘ-ｴﾑｲﾝﾌﾗ(ｶ</t>
  </si>
  <si>
    <t>料 金</t>
  </si>
  <si>
    <t>KH02031</t>
  </si>
  <si>
    <t>Reyner Almonicar</t>
  </si>
  <si>
    <t>KH01680</t>
  </si>
  <si>
    <t>Nguyễn Dương Nam</t>
  </si>
  <si>
    <t>U00007876823</t>
  </si>
  <si>
    <t>KH01198</t>
  </si>
  <si>
    <t>Linh Hang</t>
  </si>
  <si>
    <t>ｱﾙﾓﾆｶ-ﾚｲﾈﾙﾀﾞﾝ</t>
  </si>
  <si>
    <t>KH01196</t>
  </si>
  <si>
    <t>Huỳnh Như</t>
  </si>
  <si>
    <t>ＰＨＡＭ ＴＨＩ</t>
  </si>
  <si>
    <t>KH01277</t>
  </si>
  <si>
    <t>Dinh Loc</t>
  </si>
  <si>
    <t>KH00150</t>
  </si>
  <si>
    <t>Tiệm Mõ</t>
  </si>
  <si>
    <t>KH00623</t>
  </si>
  <si>
    <t>CTV Phuong Nguyen</t>
  </si>
  <si>
    <t>ＮＧＯ ＴＲＩ</t>
  </si>
  <si>
    <t>KH01109</t>
  </si>
  <si>
    <t>Phương Thảo 2</t>
  </si>
  <si>
    <t>ＶＯ ＴＨＩ Ｐ</t>
  </si>
  <si>
    <t>KH00847</t>
  </si>
  <si>
    <t>Ngoc Anh</t>
  </si>
  <si>
    <t>ＴＲＡＮ ＮＧＯ</t>
  </si>
  <si>
    <t>KH02930</t>
  </si>
  <si>
    <t>Nguyễn Thị Thanh Ngân</t>
  </si>
  <si>
    <t>KH00703</t>
  </si>
  <si>
    <t>Bảo ngọc - TTS</t>
  </si>
  <si>
    <t>KH01180</t>
  </si>
  <si>
    <t>Quỳnh Hoa</t>
  </si>
  <si>
    <t>ＶＯ ＴＨＩ Ｈ</t>
  </si>
  <si>
    <t>KH01157</t>
  </si>
  <si>
    <t>Nguyễn Hải Ninh</t>
  </si>
  <si>
    <t>KH02799</t>
  </si>
  <si>
    <t>Xoan</t>
  </si>
  <si>
    <t>稲田 ロシータ</t>
  </si>
  <si>
    <t>KH03047</t>
  </si>
  <si>
    <t>MYAT THIRI TUN</t>
  </si>
  <si>
    <t>KH01568</t>
  </si>
  <si>
    <t>Minh Thy</t>
  </si>
  <si>
    <t>ＮＧＵＹＥＮ Ｍ</t>
  </si>
  <si>
    <t>KH01382</t>
  </si>
  <si>
    <t>Nudel Liily</t>
  </si>
  <si>
    <t>KH01442</t>
  </si>
  <si>
    <t>Văn Lý</t>
  </si>
  <si>
    <t>ＶＯ ＶＡＮ Ｌ</t>
  </si>
  <si>
    <t>KH01671</t>
  </si>
  <si>
    <t>Rosita Inata</t>
  </si>
  <si>
    <t>KH00704</t>
  </si>
  <si>
    <t>Ngân Hà</t>
  </si>
  <si>
    <t>KH01383</t>
  </si>
  <si>
    <t>Đen Hoa Hong</t>
  </si>
  <si>
    <t>ＬＥ ＫＩＭ Ｌ</t>
  </si>
  <si>
    <t>KH00935</t>
  </si>
  <si>
    <t>Linh Anh</t>
  </si>
  <si>
    <t>ＰＨＡＭ ＤＡＣ</t>
  </si>
  <si>
    <t>KH00323</t>
  </si>
  <si>
    <t>Thùy Trang</t>
  </si>
  <si>
    <t>KH01570</t>
  </si>
  <si>
    <t>Quảng Phạm</t>
  </si>
  <si>
    <t>KH00378</t>
  </si>
  <si>
    <t>Thành Luân Nguyễn</t>
  </si>
  <si>
    <t>KH01305</t>
  </si>
  <si>
    <t>Nhã Kiều</t>
  </si>
  <si>
    <t>KH00120</t>
  </si>
  <si>
    <t>Pham Thuan</t>
  </si>
  <si>
    <t>ＰＨＡＭ ＴＨＡ</t>
  </si>
  <si>
    <t>KH02667</t>
  </si>
  <si>
    <t>Kent Jervee Lontoc</t>
  </si>
  <si>
    <t>ＬＯＮＴＯＣ Ｋ</t>
  </si>
  <si>
    <t>KH00714</t>
  </si>
  <si>
    <t>Cậu Bé Ăn Hàng</t>
  </si>
  <si>
    <t>KH01360</t>
  </si>
  <si>
    <t>Bắc Nguyễn</t>
  </si>
  <si>
    <t>KH01490</t>
  </si>
  <si>
    <t>Zeanzei Lozano</t>
  </si>
  <si>
    <t>ＬＯＺＡＮＯ Ｖ</t>
  </si>
  <si>
    <t>ＴＨＡＣＨ ＴＨ</t>
  </si>
  <si>
    <t>KH00706</t>
  </si>
  <si>
    <t>Di-yan Cha</t>
  </si>
  <si>
    <t>KH01036</t>
  </si>
  <si>
    <t>Truc Pham</t>
  </si>
  <si>
    <t>ＰＨＡＭ ＮＧＵ</t>
  </si>
  <si>
    <t>KH01133</t>
  </si>
  <si>
    <t>Nhi Nguyễn</t>
  </si>
  <si>
    <t>ＶＯ ＭＩＮＨ</t>
  </si>
  <si>
    <t>KH01808</t>
  </si>
  <si>
    <t>Kawakami Lita</t>
  </si>
  <si>
    <t>ＫＡＷＡＫＡＭＩ</t>
  </si>
  <si>
    <t>KH02555</t>
  </si>
  <si>
    <t>Joyce Asis</t>
  </si>
  <si>
    <t>ＨＥＲＮＡＮＤＥ</t>
  </si>
  <si>
    <t>KH01171</t>
  </si>
  <si>
    <t>SAW SAY THAW</t>
  </si>
  <si>
    <t>ＳＡＷ ＳＡＹ</t>
  </si>
  <si>
    <t>KH00799</t>
  </si>
  <si>
    <t>Hạ Vũ</t>
  </si>
  <si>
    <t>KH01320</t>
  </si>
  <si>
    <t>Trung Vũ</t>
  </si>
  <si>
    <t>KH00872</t>
  </si>
  <si>
    <t>Cẩm Liên</t>
  </si>
  <si>
    <t>ＮＧＯ ＭＩＮＨ</t>
  </si>
  <si>
    <t>KH02155</t>
  </si>
  <si>
    <t>Mon Lay</t>
  </si>
  <si>
    <t>KH00819</t>
  </si>
  <si>
    <t>Nguyễn Tuyển</t>
  </si>
  <si>
    <t>KH00738</t>
  </si>
  <si>
    <t>Tuấn Nghệ An Oka</t>
  </si>
  <si>
    <t>KH03292</t>
  </si>
  <si>
    <t>Yến Linh</t>
  </si>
  <si>
    <t>KH01287</t>
  </si>
  <si>
    <t>Hoàng Hải 2</t>
  </si>
  <si>
    <t>KH02455</t>
  </si>
  <si>
    <t>Quang Tuan</t>
  </si>
  <si>
    <t>KH00861</t>
  </si>
  <si>
    <t>Lê Thị Ban</t>
  </si>
  <si>
    <t>ＬＥ ＴＨＩ Ｂ</t>
  </si>
  <si>
    <t>KH00477</t>
  </si>
  <si>
    <t>Bùi Đình Hưng</t>
  </si>
  <si>
    <t>ＢＵＩ ＤＩＮＨ</t>
  </si>
  <si>
    <t>KH02203</t>
  </si>
  <si>
    <t>Tôn Bùi</t>
  </si>
  <si>
    <t>ＢＵＩ ＴＨＥ</t>
  </si>
  <si>
    <t>KH00641</t>
  </si>
  <si>
    <t>Nguyễn Trọng Nghĩa</t>
  </si>
  <si>
    <t>KH01296</t>
  </si>
  <si>
    <t>Nguyễn Trường</t>
  </si>
  <si>
    <t>ＮＧＵＹＥＮ Ｘ</t>
  </si>
  <si>
    <t>KH01030</t>
  </si>
  <si>
    <t>Bùi Quang Linh</t>
  </si>
  <si>
    <t>KH01344</t>
  </si>
  <si>
    <t>Đoàn Thiện</t>
  </si>
  <si>
    <t>ﾌﾞｲ ｸｱﾝ ﾘﾝ</t>
  </si>
  <si>
    <t>KH01665</t>
  </si>
  <si>
    <t>Thu Dam Trung</t>
  </si>
  <si>
    <t>ＤＡＭ ＴＲＵＮ</t>
  </si>
  <si>
    <t>KH02631</t>
  </si>
  <si>
    <t>Dedeng Novandri</t>
  </si>
  <si>
    <t>KH01885</t>
  </si>
  <si>
    <t>Nguyễn Thị Ly Trà</t>
  </si>
  <si>
    <t>KH01915</t>
  </si>
  <si>
    <t>TRAN THI VAN</t>
  </si>
  <si>
    <t>ＬＥ ＴＨＩ Ｄ</t>
  </si>
  <si>
    <t>KH01120</t>
  </si>
  <si>
    <t>Phạm Văn Nam</t>
  </si>
  <si>
    <t>KH00891</t>
  </si>
  <si>
    <t>Le Trung Hiếu</t>
  </si>
  <si>
    <t>ﾚﾁﾖﾝ ﾋｳ</t>
  </si>
  <si>
    <t>KH02912</t>
  </si>
  <si>
    <t>Tâm Kobe Art</t>
  </si>
  <si>
    <t>KH00046</t>
  </si>
  <si>
    <t>Trang Phung</t>
  </si>
  <si>
    <t>ＰＨＵＮＧ ＰＨ</t>
  </si>
  <si>
    <t>KH00122</t>
  </si>
  <si>
    <t>Lê Minh Thư</t>
  </si>
  <si>
    <t>ＬＥ ＴＨＩ Ｍ</t>
  </si>
  <si>
    <t>KH01444</t>
  </si>
  <si>
    <t>CTV Huấn Quỳnh</t>
  </si>
  <si>
    <t>ﾙｵﾝ ﾁﾕﾝ ｷｴﾝ</t>
  </si>
  <si>
    <t>KH02891</t>
  </si>
  <si>
    <t>イシハラナンシ</t>
  </si>
  <si>
    <t>KH03241</t>
  </si>
  <si>
    <t>May Joon</t>
  </si>
  <si>
    <t>U00007883130</t>
  </si>
  <si>
    <t>KH03237</t>
  </si>
  <si>
    <t>Charlyn Montano</t>
  </si>
  <si>
    <t>KH03246</t>
  </si>
  <si>
    <t>Ambet Rupanan</t>
  </si>
  <si>
    <t>KH03239</t>
  </si>
  <si>
    <t>Tininha Cris</t>
  </si>
  <si>
    <t>KH03279</t>
  </si>
  <si>
    <t>Jan Agonia</t>
  </si>
  <si>
    <t>KH03206</t>
  </si>
  <si>
    <t>Zin Zin</t>
  </si>
  <si>
    <t>KH03315</t>
  </si>
  <si>
    <t>An Yên</t>
  </si>
  <si>
    <t>KH01492</t>
  </si>
  <si>
    <t>Febri Adika</t>
  </si>
  <si>
    <t>KH01626</t>
  </si>
  <si>
    <t>Parash Manandhar</t>
  </si>
  <si>
    <t>KH02610</t>
  </si>
  <si>
    <t>Miguel Eda</t>
  </si>
  <si>
    <t>ＥＤＡ ＰＡＬＡ</t>
  </si>
  <si>
    <t>KH00139</t>
  </si>
  <si>
    <t>Đào Văn Thịnh</t>
  </si>
  <si>
    <t>ＤＡＯ ＶＡＮ</t>
  </si>
  <si>
    <t>ＴＲＵＯＮＧ Ｋ</t>
  </si>
  <si>
    <t>KH01743</t>
  </si>
  <si>
    <t>Irwan Subaragoi</t>
  </si>
  <si>
    <t>ＦＥＢＲＩ ＡＤ</t>
  </si>
  <si>
    <t>KH01190</t>
  </si>
  <si>
    <t>ドン ヴァンハイ</t>
  </si>
  <si>
    <t>ＤＯＮＧ ＶＡＮ</t>
  </si>
  <si>
    <t>KH00919</t>
  </si>
  <si>
    <t>Định Tâm</t>
  </si>
  <si>
    <t>ＣＨＡＵ ＤＩＮ</t>
  </si>
  <si>
    <t>KH02509</t>
  </si>
  <si>
    <t>Nguyễn Văn Thuân</t>
  </si>
  <si>
    <t>KH01351</t>
  </si>
  <si>
    <t>Mai Thị Vân</t>
  </si>
  <si>
    <t>ＭＡＩ ＴＨＩ</t>
  </si>
  <si>
    <t>KH00895</t>
  </si>
  <si>
    <t>Dau Cach</t>
  </si>
  <si>
    <t>KH00199</t>
  </si>
  <si>
    <t>DuyLinh Bùi</t>
  </si>
  <si>
    <t>ＢＵＩ ＤＵＹ</t>
  </si>
  <si>
    <t>KH00449</t>
  </si>
  <si>
    <t>Ba Vân</t>
  </si>
  <si>
    <t>ＢＵＩ ＶＡＮ</t>
  </si>
  <si>
    <t>KH01451</t>
  </si>
  <si>
    <t>Truong Le</t>
  </si>
  <si>
    <t>KH00338</t>
  </si>
  <si>
    <t>nguyễn quốc huy</t>
  </si>
  <si>
    <t>KH01333</t>
  </si>
  <si>
    <t>Trung Kiên</t>
  </si>
  <si>
    <t>KH01048</t>
  </si>
  <si>
    <t>Trọng Huỳnh</t>
  </si>
  <si>
    <t>ＨＵＹＮＨ ＫＩ</t>
  </si>
  <si>
    <t>KH00266</t>
  </si>
  <si>
    <t>Quang Hưng Nguyễn</t>
  </si>
  <si>
    <t>KH00852</t>
  </si>
  <si>
    <t>Trang Hoàng</t>
  </si>
  <si>
    <t>ﾎｱﾝ ﾃｲ ﾏｲ ｸﾞｴ</t>
  </si>
  <si>
    <t>KH02551</t>
  </si>
  <si>
    <t>Nguyễn Thị Sen</t>
  </si>
  <si>
    <t>ＤＵＯＮＧ ＴＨ</t>
  </si>
  <si>
    <t>KH01787</t>
  </si>
  <si>
    <t>thơm</t>
  </si>
  <si>
    <t>ＮＯＮＧ ＴＨＩ</t>
  </si>
  <si>
    <t>KH00585</t>
  </si>
  <si>
    <t>Đinh Thành Tuấn</t>
  </si>
  <si>
    <t>ＤＩＮＨ ＴＨＡ</t>
  </si>
  <si>
    <t>KH01141</t>
  </si>
  <si>
    <t>Lý Hải</t>
  </si>
  <si>
    <t>ＬＹ ＴＨＩ Ｈ</t>
  </si>
  <si>
    <t>ＤＡＮＧ ＤＩＮ</t>
  </si>
  <si>
    <t>KH01873</t>
  </si>
  <si>
    <t>Nam Nguyễn</t>
  </si>
  <si>
    <t>Linh Nguyễn</t>
  </si>
  <si>
    <t>ｸﾞｴﾝ ｳﾞｱﾝ ﾘﾝ</t>
  </si>
  <si>
    <t>KH01280</t>
  </si>
  <si>
    <t>Hùng Lương</t>
  </si>
  <si>
    <t>ＬＵＯＮＧ ＭＩ</t>
  </si>
  <si>
    <t>KH00757</t>
  </si>
  <si>
    <t>Cánh Diều Ngày Ấy</t>
  </si>
  <si>
    <t>KH00723</t>
  </si>
  <si>
    <t>Nguyễn Văn Hiệu</t>
  </si>
  <si>
    <t>KH01455</t>
  </si>
  <si>
    <t>Đặng Hường</t>
  </si>
  <si>
    <t>KH01000</t>
  </si>
  <si>
    <t>KH00759</t>
  </si>
  <si>
    <t>Diem Tran</t>
  </si>
  <si>
    <t>KH01708</t>
  </si>
  <si>
    <t>ＰＨＡＭ ＱＵＡ</t>
  </si>
  <si>
    <t>KH00733</t>
  </si>
  <si>
    <t>Lieu Le</t>
  </si>
  <si>
    <t>KH01448</t>
  </si>
  <si>
    <t>Nguyễn Diệu</t>
  </si>
  <si>
    <t>KH02188</t>
  </si>
  <si>
    <t>Pitriyani</t>
  </si>
  <si>
    <t>ﾋﾟﾄﾘﾔﾆ</t>
  </si>
  <si>
    <t>KH00860</t>
  </si>
  <si>
    <t>Tuân Kent</t>
  </si>
  <si>
    <t>ﾀ-ｲ ﾃｲ ﾄｳｲ ｶﾞ</t>
  </si>
  <si>
    <t>U00007874935</t>
  </si>
  <si>
    <t>KH03269</t>
  </si>
  <si>
    <t>Win Wynn</t>
  </si>
  <si>
    <t>KH02180</t>
  </si>
  <si>
    <t>Sunny Thùy Linh</t>
  </si>
  <si>
    <t>KH02742</t>
  </si>
  <si>
    <t>Paulo Tiba</t>
  </si>
  <si>
    <t>ＴＩＢＡ ＰＡＵ</t>
  </si>
  <si>
    <t>KH01922</t>
  </si>
  <si>
    <t>Anh Loan Bùi</t>
  </si>
  <si>
    <t>ＢＵＩ ＬＯＡＮ</t>
  </si>
  <si>
    <t>KH02696</t>
  </si>
  <si>
    <t>Tiểu Yến</t>
  </si>
  <si>
    <t>KH00710</t>
  </si>
  <si>
    <t>Nguyễn Huân</t>
  </si>
  <si>
    <t>ＡＧＵＳ ＳＵＭ</t>
  </si>
  <si>
    <t>KH00033</t>
  </si>
  <si>
    <t>Minh Thành</t>
  </si>
  <si>
    <t>ﾃﾞｲﾝ ｳﾞｱﾝ ﾀｲﾝ</t>
  </si>
  <si>
    <t>Ｙ ＨＥＮ ＮＩ</t>
  </si>
  <si>
    <t>KH00510</t>
  </si>
  <si>
    <t>Thanh Son</t>
  </si>
  <si>
    <t>ＤＯＡＮ ＴＨＩ</t>
  </si>
  <si>
    <t>KH03031</t>
  </si>
  <si>
    <t>Ngọc Trâm</t>
  </si>
  <si>
    <t>ｳﾞ- ﾐﾝ ﾊｲ</t>
  </si>
  <si>
    <t>KH00204</t>
  </si>
  <si>
    <t>Minh Hải</t>
  </si>
  <si>
    <t>KH00620</t>
  </si>
  <si>
    <t>Dieu Ngo</t>
  </si>
  <si>
    <t>ＮＧＯ ＸＵＡＮ</t>
  </si>
  <si>
    <t>ｸﾞｴﾝ ﾃｲ ﾌｵﾝ ｱ</t>
  </si>
  <si>
    <t>KH00132</t>
  </si>
  <si>
    <t>Dung Pham</t>
  </si>
  <si>
    <t>ＤＡＮＧ ＤＵＣ</t>
  </si>
  <si>
    <t>KH01593</t>
  </si>
  <si>
    <t>Ngọc Liễu</t>
  </si>
  <si>
    <t>梨元 ビルマ</t>
  </si>
  <si>
    <t>KH00346</t>
  </si>
  <si>
    <t>Trương Yến</t>
  </si>
  <si>
    <t>ＴＲＵＯＮＧ Ｎ</t>
  </si>
  <si>
    <t>KH02161</t>
  </si>
  <si>
    <t>Siti Masitoh</t>
  </si>
  <si>
    <t>ＳＩＴＩ ＭＡＳ</t>
  </si>
  <si>
    <t>KH01991</t>
  </si>
  <si>
    <t>Saw Myint Thu Rain</t>
  </si>
  <si>
    <t>ＳＡＷ ＭＹＩＮ</t>
  </si>
  <si>
    <t>KH01321</t>
  </si>
  <si>
    <t>Anh Thu</t>
  </si>
  <si>
    <t>KH02159</t>
  </si>
  <si>
    <t>Phương Anh</t>
  </si>
  <si>
    <t>KH03337</t>
  </si>
  <si>
    <t>Nguyễn Tuấn</t>
  </si>
  <si>
    <t>KH01502</t>
  </si>
  <si>
    <t>Huy松山</t>
  </si>
  <si>
    <t>KH01478</t>
  </si>
  <si>
    <t>Hoàng Tú</t>
  </si>
  <si>
    <t>ＴＡ ＴＨＩ Ｔ</t>
  </si>
  <si>
    <t>KH01594</t>
  </si>
  <si>
    <t>Sang Phạm</t>
  </si>
  <si>
    <t>ＰＨＡＭ ＭＩＮ</t>
  </si>
  <si>
    <t>KH02657</t>
  </si>
  <si>
    <t>Raymart Adove</t>
  </si>
  <si>
    <t>ＡＤＯＶＥ ＲＡ</t>
  </si>
  <si>
    <t>KH01174</t>
  </si>
  <si>
    <t>Ho Mai</t>
  </si>
  <si>
    <t>ＤＡＮＧ ＣＡＣ</t>
  </si>
  <si>
    <t>KH00754</t>
  </si>
  <si>
    <t>Yến Ngoc</t>
  </si>
  <si>
    <t>KH02498</t>
  </si>
  <si>
    <t>Bích Vân</t>
  </si>
  <si>
    <t>KH00600</t>
  </si>
  <si>
    <t>Vân Kumo</t>
  </si>
  <si>
    <t>KH02516</t>
  </si>
  <si>
    <t>Cherry Swe</t>
  </si>
  <si>
    <t>ＴＨＥＴ ＨＴＡ</t>
  </si>
  <si>
    <t>ＮＨＡＮ ＴＨＩ</t>
  </si>
  <si>
    <t>KH01544</t>
  </si>
  <si>
    <t>Raazesh Adin</t>
  </si>
  <si>
    <t>ＮＥＰＡＬＩ Ｒ</t>
  </si>
  <si>
    <t>ＲＡＦＩ ＭＤ</t>
  </si>
  <si>
    <t>U00007875126</t>
  </si>
  <si>
    <t>KH01189</t>
  </si>
  <si>
    <t>Hoàng Huệ</t>
  </si>
  <si>
    <t>ﾚﾃｲﾎｱﾝﾌｴ</t>
  </si>
  <si>
    <t>KH02703</t>
  </si>
  <si>
    <t>Shwe Yee Hnin</t>
  </si>
  <si>
    <t>ＨＴＥＴ ＰＡＩ</t>
  </si>
  <si>
    <t>KH01218</t>
  </si>
  <si>
    <t>Hoàng Khánh Anh</t>
  </si>
  <si>
    <t>ＤＯ ＨＯＡＮＧ</t>
  </si>
  <si>
    <t>ＶＵ ＴＵＮＧ</t>
  </si>
  <si>
    <t>KH01480</t>
  </si>
  <si>
    <t>Nashimoto B. Mikko</t>
  </si>
  <si>
    <t>KH00973</t>
  </si>
  <si>
    <t>Nam Nguyen 2</t>
  </si>
  <si>
    <t>KH02008</t>
  </si>
  <si>
    <t>Zv Mi</t>
  </si>
  <si>
    <t>KH01476</t>
  </si>
  <si>
    <t>Lê Thị Diệu Hiền</t>
  </si>
  <si>
    <t>KH00728</t>
  </si>
  <si>
    <t>Hoàng Oanh</t>
  </si>
  <si>
    <t>KH00016</t>
  </si>
  <si>
    <t>Ngọc Ánh</t>
  </si>
  <si>
    <t>KH02450</t>
  </si>
  <si>
    <t>Bứtt Phượng</t>
  </si>
  <si>
    <t>ｸﾞｴﾝ ﾀﾞﾂﾄ ﾌｱﾝ</t>
  </si>
  <si>
    <t>ﾌﾞｲ ﾎｱﾝ ｵｱﾝ</t>
  </si>
  <si>
    <t>KH01221</t>
  </si>
  <si>
    <t>Tài Ngân</t>
  </si>
  <si>
    <t>ＣＯ ＫＩＭ Ｎ</t>
  </si>
  <si>
    <t>KH00674</t>
  </si>
  <si>
    <t>An Nhiên</t>
  </si>
  <si>
    <t>KH00546</t>
  </si>
  <si>
    <t>Phuonglan Nguyen</t>
  </si>
  <si>
    <t>KH00982</t>
  </si>
  <si>
    <t>Cường Nguyễn</t>
  </si>
  <si>
    <t>ＬＥ ＴＨＩ Ｋ</t>
  </si>
  <si>
    <t>KH01185</t>
  </si>
  <si>
    <t>Tô T. Phương Hiên</t>
  </si>
  <si>
    <t>ＴＯ ＴＨＩ Ｈ</t>
  </si>
  <si>
    <t>KH00862</t>
  </si>
  <si>
    <t>Dii Thảo</t>
  </si>
  <si>
    <t>KH02510</t>
  </si>
  <si>
    <t>Minh Hà</t>
  </si>
  <si>
    <t>ﾒﾊﾘﾄ ｱﾙﾉﾙﾄﾞ ｱ</t>
  </si>
  <si>
    <t>KH01177</t>
  </si>
  <si>
    <t>Van Cao</t>
  </si>
  <si>
    <t>U00007882321</t>
  </si>
  <si>
    <t>U00007881864</t>
  </si>
  <si>
    <t>KH03084</t>
  </si>
  <si>
    <t>YUZAWA NELSON HARUO</t>
  </si>
  <si>
    <t>ＹＵＺＡＷＡ Ｎ</t>
  </si>
  <si>
    <t>ＴＲＡＮ ＤＩＮ</t>
  </si>
  <si>
    <t>KH00376</t>
  </si>
  <si>
    <t>Hai Nguyen</t>
  </si>
  <si>
    <t>KH00142</t>
  </si>
  <si>
    <t>Đinh Phượng</t>
  </si>
  <si>
    <t>ＤＩＮＨ ＴＨＩ</t>
  </si>
  <si>
    <t>KH01977</t>
  </si>
  <si>
    <t>Ngọc Hân</t>
  </si>
  <si>
    <t>KH00041</t>
  </si>
  <si>
    <t>Linh Phan</t>
  </si>
  <si>
    <t>KH02532</t>
  </si>
  <si>
    <t>Arnold Almodiel Mejarito</t>
  </si>
  <si>
    <t>小宮山 サルベ</t>
  </si>
  <si>
    <t>KH00951</t>
  </si>
  <si>
    <t>Thanh Huyền Nguyễn</t>
  </si>
  <si>
    <t>KH02021</t>
  </si>
  <si>
    <t>Salve Komiyama</t>
  </si>
  <si>
    <t>KH01378</t>
  </si>
  <si>
    <t>Luong Mien</t>
  </si>
  <si>
    <t>KH03356</t>
  </si>
  <si>
    <t>Kewal Ghimire</t>
  </si>
  <si>
    <t>KH01033</t>
  </si>
  <si>
    <t>Hữu Thành</t>
  </si>
  <si>
    <t>ＤＯＡＮ ＨＵＵ</t>
  </si>
  <si>
    <t>KH01023</t>
  </si>
  <si>
    <t>Lê Thúy An</t>
  </si>
  <si>
    <t>ＬＥ ＴＨＵＹ</t>
  </si>
  <si>
    <t>KH02059</t>
  </si>
  <si>
    <t>Meye Chang</t>
  </si>
  <si>
    <t>ＭＡＴＳＵＯ Ｍ</t>
  </si>
  <si>
    <t>ＭＡＹ ＴＨＡＺ</t>
  </si>
  <si>
    <t>KH02849</t>
  </si>
  <si>
    <t>Lê Đức Dũng</t>
  </si>
  <si>
    <t>ﾚ-ﾄﾞﾂｸｽﾞﾝ</t>
  </si>
  <si>
    <t>KH01450</t>
  </si>
  <si>
    <t>Hoà Hoàng</t>
  </si>
  <si>
    <t>KH00746</t>
  </si>
  <si>
    <t>Điệp Tu</t>
  </si>
  <si>
    <t>KH02827</t>
  </si>
  <si>
    <t>Khin Yadanar Kyaw</t>
  </si>
  <si>
    <t>ＫＨＩＮ ＹＡＤ</t>
  </si>
  <si>
    <t>ＶＡＺＨＡＫＯＤ</t>
  </si>
  <si>
    <t>KH01426</t>
  </si>
  <si>
    <t>Phúc Nguyễn</t>
  </si>
  <si>
    <t>KH00067</t>
  </si>
  <si>
    <t>Nguyễn Thái</t>
  </si>
  <si>
    <t>KH01274</t>
  </si>
  <si>
    <t>Hoà Dũng</t>
  </si>
  <si>
    <t>KH00583</t>
  </si>
  <si>
    <t>Nguyễn Danh Việt</t>
  </si>
  <si>
    <t>ﾁﾖ ﾘﾝ ﾓｳ</t>
  </si>
  <si>
    <t>KH02848</t>
  </si>
  <si>
    <t>Tri Đạo</t>
  </si>
  <si>
    <t>KH00140</t>
  </si>
  <si>
    <t>Mai Anh</t>
  </si>
  <si>
    <t>KH01414</t>
  </si>
  <si>
    <t>Nguyễn Văn Thọ</t>
  </si>
  <si>
    <t>ＬＥ ＨＵＵ Ｈ</t>
  </si>
  <si>
    <t>KH01297</t>
  </si>
  <si>
    <t>Lành Văn</t>
  </si>
  <si>
    <t>KH01148</t>
  </si>
  <si>
    <t>Dương Lê</t>
  </si>
  <si>
    <t>ＬＥ ＭＩＮＨ</t>
  </si>
  <si>
    <t>KH00442</t>
  </si>
  <si>
    <t>Nguyễn Thị Quỳnh Nga</t>
  </si>
  <si>
    <t>KH01983</t>
  </si>
  <si>
    <t>Md. Atiar Rahman</t>
  </si>
  <si>
    <t>ＡＤＥ ＹＵＹＵ</t>
  </si>
  <si>
    <t>KH02456</t>
  </si>
  <si>
    <t>Adinda Yumarnis</t>
  </si>
  <si>
    <t>ＬＵＮＩ ＤＷＩ</t>
  </si>
  <si>
    <t>KH01416</t>
  </si>
  <si>
    <t>Saito Ca</t>
  </si>
  <si>
    <t>KH02103</t>
  </si>
  <si>
    <t>Lê Huỳnh</t>
  </si>
  <si>
    <t>KH01161</t>
  </si>
  <si>
    <t>Thuỷ Thủy</t>
  </si>
  <si>
    <t>KH01441</t>
  </si>
  <si>
    <t>Huy Tuấn</t>
  </si>
  <si>
    <t>KH01074</t>
  </si>
  <si>
    <t>Thảo Nguyễn</t>
  </si>
  <si>
    <t>KH01265</t>
  </si>
  <si>
    <t>Cho Lwin Moe</t>
  </si>
  <si>
    <t>KH01242</t>
  </si>
  <si>
    <t>Lê Bá CHủ</t>
  </si>
  <si>
    <t>KH02865</t>
  </si>
  <si>
    <t>ワーユディン ユユ アデ</t>
  </si>
  <si>
    <t>KH02464</t>
  </si>
  <si>
    <t>Aliza Dela Cruz</t>
  </si>
  <si>
    <t>KH01654</t>
  </si>
  <si>
    <t>Vũ Duẩn</t>
  </si>
  <si>
    <t>KH01940</t>
  </si>
  <si>
    <t>Lacoste JaiMar</t>
  </si>
  <si>
    <t>毛利 雪夫</t>
  </si>
  <si>
    <t>KH01213</t>
  </si>
  <si>
    <t>Phan Nguyễn</t>
  </si>
  <si>
    <t>ＰＨＡＮ ＣＯＮ</t>
  </si>
  <si>
    <t>KH02487</t>
  </si>
  <si>
    <t>Tú Cẩm</t>
  </si>
  <si>
    <t>ＶＵ ＶＡＮ Ｄ</t>
  </si>
  <si>
    <t>KH01112</t>
  </si>
  <si>
    <t>Nguyễn Sakura</t>
  </si>
  <si>
    <t>ＴＡＫＩＳＨＩＴ</t>
  </si>
  <si>
    <t>KH00586</t>
  </si>
  <si>
    <t>Vương Xuân Trường</t>
  </si>
  <si>
    <t>ＶＵＯＮＧ ＸＵ</t>
  </si>
  <si>
    <t>ＫＩＥＮ ＴＨＩ</t>
  </si>
  <si>
    <t>KH00213</t>
  </si>
  <si>
    <t>Nguyễn Hưng (Toản Lê)</t>
  </si>
  <si>
    <t>ｵﾍﾞﾝｹ ﾏ-ｸ ｼﾞｲ</t>
  </si>
  <si>
    <t>KH01721</t>
  </si>
  <si>
    <t>Đặng Quang</t>
  </si>
  <si>
    <t>ＤＡＮＧ ＭＩＮ</t>
  </si>
  <si>
    <t>KH01113</t>
  </si>
  <si>
    <t>An Civic</t>
  </si>
  <si>
    <t>KH02630</t>
  </si>
  <si>
    <t>Mayu Reiko</t>
  </si>
  <si>
    <t>KH01849</t>
  </si>
  <si>
    <t>Maria Jovita Apostol</t>
  </si>
  <si>
    <t>KH01102</t>
  </si>
  <si>
    <t>Tuan Trinh Quang</t>
  </si>
  <si>
    <t>ＴＲＩＮＨ ＱＵ</t>
  </si>
  <si>
    <t>KH02271</t>
  </si>
  <si>
    <t>Đại Lý Kiên- Sơn Tùng</t>
  </si>
  <si>
    <t>KH01046</t>
  </si>
  <si>
    <t>Hồng Nguyễn</t>
  </si>
  <si>
    <t>KH01868</t>
  </si>
  <si>
    <t>Yukio Mori</t>
  </si>
  <si>
    <t>ﾄｺｼﾏ ｱｲﾋﾟ- ｼﾞ</t>
  </si>
  <si>
    <t>KH01072</t>
  </si>
  <si>
    <t>Hanh Phuc Ao</t>
  </si>
  <si>
    <t>KH00606</t>
  </si>
  <si>
    <t>Linh Na</t>
  </si>
  <si>
    <t>KH01599</t>
  </si>
  <si>
    <t>Miki Siquian</t>
  </si>
  <si>
    <t>KH00750</t>
  </si>
  <si>
    <t>キム チー</t>
  </si>
  <si>
    <t>KH00948</t>
  </si>
  <si>
    <t>Nguyễn Rồng</t>
  </si>
  <si>
    <t>KH00460</t>
  </si>
  <si>
    <t>Quang trường</t>
  </si>
  <si>
    <t>ＳＡＳＡＫＩ Ｍ</t>
  </si>
  <si>
    <t>KH01508</t>
  </si>
  <si>
    <t>Julio Hatsugai</t>
  </si>
  <si>
    <t>ＨＡＴＳＵＧＡＩ</t>
  </si>
  <si>
    <t>KH00194</t>
  </si>
  <si>
    <t>Ngoclinh Tran</t>
  </si>
  <si>
    <t>KH01209</t>
  </si>
  <si>
    <t>Đinh Ngọc Đô</t>
  </si>
  <si>
    <t>KH01644</t>
  </si>
  <si>
    <t>Đậu Thảo</t>
  </si>
  <si>
    <t>ＤＡＵ ＴＨＩ</t>
  </si>
  <si>
    <t>Phạm Sơn</t>
  </si>
  <si>
    <t>ＰＨＡＭ ＣＡＯ</t>
  </si>
  <si>
    <t>KH02878</t>
  </si>
  <si>
    <t>ジ ェ イ</t>
  </si>
  <si>
    <t>KH03413</t>
  </si>
  <si>
    <t>Thanh Ngân</t>
  </si>
  <si>
    <t>ｸﾞｴﾝｱｲﾝﾎﾝ</t>
  </si>
  <si>
    <t>KH02986</t>
  </si>
  <si>
    <t>Grace Faith Abatayo</t>
  </si>
  <si>
    <t>ＣＡＬＡＴＲＡＶ</t>
  </si>
  <si>
    <t>ﾏ-ﾃｲﾝ ｸﾘｻﾝﾃｲ</t>
  </si>
  <si>
    <t>ＳＨＩＮＴＹＡ</t>
  </si>
  <si>
    <t>KH01359</t>
  </si>
  <si>
    <t>Hà Ánh</t>
  </si>
  <si>
    <t>ＨＡ ＮＧＯＣ</t>
  </si>
  <si>
    <t>ＢＵＥＮＡＶＥＮ</t>
  </si>
  <si>
    <t>KH02568</t>
  </si>
  <si>
    <t>SARU JYOTISH</t>
  </si>
  <si>
    <t>ｻﾙ ｼﾞﾖﾃｲｽ</t>
  </si>
  <si>
    <t>KH01757</t>
  </si>
  <si>
    <t>Alex Ik</t>
  </si>
  <si>
    <t>ＯＫＵＤＯ ＩＫ</t>
  </si>
  <si>
    <t>KH02140</t>
  </si>
  <si>
    <t>Marcelino Mean</t>
  </si>
  <si>
    <t>ﾌｲﾝ ﾀﾝ ﾁﾔﾑ</t>
  </si>
  <si>
    <t>KH01143</t>
  </si>
  <si>
    <t>Hiền Anh Nguyễn</t>
  </si>
  <si>
    <t>ｸﾞｴﾝ ﾃｲ ﾋｴﾝ ｱ</t>
  </si>
  <si>
    <t>KH03357</t>
  </si>
  <si>
    <t>Prasad Tharindu Matharage</t>
  </si>
  <si>
    <t>U00007884047</t>
  </si>
  <si>
    <t>U00007883392</t>
  </si>
  <si>
    <t>U00007883142</t>
  </si>
  <si>
    <t>KH03350</t>
  </si>
  <si>
    <t>Phạm Hải</t>
  </si>
  <si>
    <t>KH03344</t>
  </si>
  <si>
    <t>Sharon Durta</t>
  </si>
  <si>
    <t>KH01933</t>
  </si>
  <si>
    <t>Madha Ha</t>
  </si>
  <si>
    <t>ＡＨＭＡＤ ＨＡ</t>
  </si>
  <si>
    <t>KH01293</t>
  </si>
  <si>
    <t>LeeLee Chung</t>
  </si>
  <si>
    <t>KH03428</t>
  </si>
  <si>
    <t>Suparuk pimbowtum</t>
  </si>
  <si>
    <t>Văn Trọng</t>
  </si>
  <si>
    <t>U00007883663</t>
  </si>
  <si>
    <t>KH01337</t>
  </si>
  <si>
    <t>カントル Jelly</t>
  </si>
  <si>
    <t>ＬＡＮＴＡＹＯＮ</t>
  </si>
  <si>
    <t>KH01807</t>
  </si>
  <si>
    <t>Crisa Mae</t>
  </si>
  <si>
    <t>ＣＡＮＴＯＲ Ｊ</t>
  </si>
  <si>
    <t>KH00816</t>
  </si>
  <si>
    <t>Vantra Bui</t>
  </si>
  <si>
    <t>KH02026</t>
  </si>
  <si>
    <t>Ashok Yonjan Tamang</t>
  </si>
  <si>
    <t>ﾗﾏ ｱｿﾂｸ ｸﾏﾙ</t>
  </si>
  <si>
    <t>KH03457</t>
  </si>
  <si>
    <t>Samjhana Karki</t>
  </si>
  <si>
    <t>KH02701</t>
  </si>
  <si>
    <t>Bryan Roy Banquicio</t>
  </si>
  <si>
    <t>ＢＡＮＱＵＩＣＩ</t>
  </si>
  <si>
    <t>KH02889</t>
  </si>
  <si>
    <t>Nguyễn Văn Đức</t>
  </si>
  <si>
    <t>KH01434</t>
  </si>
  <si>
    <t>Mongg Camm</t>
  </si>
  <si>
    <t>KH01563</t>
  </si>
  <si>
    <t>Hoàng (Văn Chiều)</t>
  </si>
  <si>
    <t>ﾌﾞｲ ｳﾞｱﾝ ﾎｱﾝ</t>
  </si>
  <si>
    <t>KH03348</t>
  </si>
  <si>
    <t>MG Tapuroc</t>
  </si>
  <si>
    <t>KH03458</t>
  </si>
  <si>
    <t>Ar Kar</t>
  </si>
  <si>
    <t>U00007885485</t>
  </si>
  <si>
    <t>KH01491</t>
  </si>
  <si>
    <t>Hằng Bé</t>
  </si>
  <si>
    <t>KH03360</t>
  </si>
  <si>
    <t>Ran Jea</t>
  </si>
  <si>
    <t>KH01638</t>
  </si>
  <si>
    <t>Arminder Singh Kareer</t>
  </si>
  <si>
    <t>ＡＲＭＩＮＤＥＲ</t>
  </si>
  <si>
    <t>KH03473</t>
  </si>
  <si>
    <t>Juka Sasaki</t>
  </si>
  <si>
    <t>U00007885516</t>
  </si>
  <si>
    <t>KH01262</t>
  </si>
  <si>
    <t>Vũ Chí Phát</t>
  </si>
  <si>
    <t>KH03398</t>
  </si>
  <si>
    <t>Tuấn Phạm</t>
  </si>
  <si>
    <t>KH03439</t>
  </si>
  <si>
    <t>Akash Arafat</t>
  </si>
  <si>
    <t>KH01489</t>
  </si>
  <si>
    <t>Bảo Bảo</t>
  </si>
  <si>
    <t>KH01619</t>
  </si>
  <si>
    <t>Văn Nguyễn</t>
  </si>
  <si>
    <t>ＬＥ ＣＯＮＧ</t>
  </si>
  <si>
    <t>U00007885684</t>
  </si>
  <si>
    <t>NỘI DUNG</t>
  </si>
  <si>
    <t>MÃ KH</t>
  </si>
  <si>
    <t>TÊN KH</t>
  </si>
  <si>
    <t>3m intel</t>
  </si>
  <si>
    <t>-</t>
  </si>
  <si>
    <t>Ａｍａｚｏｎ</t>
  </si>
  <si>
    <t>振込＊カ）エムトラ</t>
  </si>
  <si>
    <t>Thu cước</t>
  </si>
  <si>
    <t>口座振替 シヤープフアイナンス</t>
  </si>
  <si>
    <t>振込＊チヤン テイ マイ チユオン</t>
  </si>
  <si>
    <t>振込手数料</t>
  </si>
  <si>
    <t>Phí ngân hàng</t>
  </si>
  <si>
    <t>振込＊ジーエムオーペイメントゲートウエイ</t>
  </si>
  <si>
    <t>KH00575</t>
  </si>
  <si>
    <t>振込＊テキ（カ</t>
  </si>
  <si>
    <t>総合振込手数料</t>
  </si>
  <si>
    <t>KH02634</t>
  </si>
  <si>
    <t>Tho Royal</t>
  </si>
  <si>
    <t>振込＊アキレス（カ）ケイヒ</t>
  </si>
  <si>
    <t>振込＊エヌテイキユーエツクス（ド</t>
  </si>
  <si>
    <t>Đại lý Trưởng</t>
  </si>
  <si>
    <t>振込＊アライ タカアキ</t>
  </si>
  <si>
    <t>振込＊ド）アシスト</t>
  </si>
  <si>
    <t>振込＊ド ドウツク フイ</t>
  </si>
  <si>
    <t>KH01005</t>
  </si>
  <si>
    <t>Huy Đỗ</t>
  </si>
  <si>
    <t>利息</t>
  </si>
  <si>
    <t>国税</t>
  </si>
  <si>
    <t>振込＊レー ヒユー デユイ</t>
  </si>
  <si>
    <t>KH00962</t>
  </si>
  <si>
    <t>Hữu Duy</t>
  </si>
  <si>
    <t>KH01182</t>
  </si>
  <si>
    <t>Thanh Thanh</t>
  </si>
  <si>
    <t>振込＊デイン ウ゛ タイン ガン</t>
  </si>
  <si>
    <t>KH01323</t>
  </si>
  <si>
    <t>Joao Meugmin</t>
  </si>
  <si>
    <t>振込＊オカダ エジバルド</t>
  </si>
  <si>
    <t>KH00427</t>
  </si>
  <si>
    <t>Ngọc Pupe</t>
  </si>
  <si>
    <t>振込＊グエン テイ ベ ハイ</t>
  </si>
  <si>
    <t>KH01673</t>
  </si>
  <si>
    <t>Alfred Herrera Espila</t>
  </si>
  <si>
    <t>振込＊エスピラ アルフレド ヘーレラ</t>
  </si>
  <si>
    <t>KH00529</t>
  </si>
  <si>
    <t>Heo Nguyen</t>
  </si>
  <si>
    <t>KH00171</t>
  </si>
  <si>
    <t>Trần Đức Huy</t>
  </si>
  <si>
    <t>口座振替 ＤＦ テイコクデータ</t>
  </si>
  <si>
    <t>口座振替 ＺＨゼイリシホウシユウ</t>
  </si>
  <si>
    <t>Hoàn cọc</t>
  </si>
  <si>
    <t>振込＊カ）ルナ</t>
  </si>
  <si>
    <t>振込＊カ）カレンダー</t>
  </si>
  <si>
    <t>振込＊カ．シーキヤスト</t>
  </si>
  <si>
    <t>Nộp thuế</t>
  </si>
  <si>
    <t>振込＊カ）エフブイジヤパン</t>
  </si>
  <si>
    <t>振込＊ホライズンインベストメント（カ</t>
  </si>
  <si>
    <t>振込＊カ）シーキヤスト</t>
  </si>
  <si>
    <t>Hoa hồng Sonet tháng 6</t>
  </si>
  <si>
    <t>DATE</t>
  </si>
  <si>
    <t>KH00901</t>
  </si>
  <si>
    <t>KH01759</t>
  </si>
  <si>
    <t>Priyantha Jayakody</t>
  </si>
  <si>
    <t>KH02461</t>
  </si>
  <si>
    <t>Deepak Ramtel</t>
  </si>
  <si>
    <t>U00007812090</t>
  </si>
  <si>
    <t>KH02037</t>
  </si>
  <si>
    <t>鈴木 ビビ</t>
  </si>
  <si>
    <t>U00007810144</t>
  </si>
  <si>
    <t>U00007855857</t>
  </si>
  <si>
    <t>KH02210</t>
  </si>
  <si>
    <t>ミン リー</t>
  </si>
  <si>
    <t>KH02179</t>
  </si>
  <si>
    <t>Wiwut Ruangpakdee</t>
  </si>
  <si>
    <t>KH02260</t>
  </si>
  <si>
    <t>Mer Cy</t>
  </si>
  <si>
    <t>KH00926</t>
  </si>
  <si>
    <t>Nhung Min's</t>
  </si>
  <si>
    <t>KH00794</t>
  </si>
  <si>
    <t>Nguyễn Cường</t>
  </si>
  <si>
    <t>U00007821888</t>
  </si>
  <si>
    <t>KH02974</t>
  </si>
  <si>
    <t>Ranzit Gurung</t>
  </si>
  <si>
    <t>KH02437</t>
  </si>
  <si>
    <t>Duminda Namal</t>
  </si>
  <si>
    <t>KH01973</t>
  </si>
  <si>
    <t>TasFiqul Ahmed</t>
  </si>
  <si>
    <t>U00007790110</t>
  </si>
  <si>
    <t>KH01334</t>
  </si>
  <si>
    <t>Quyền</t>
  </si>
  <si>
    <t>KH01861</t>
  </si>
  <si>
    <t>Jo Jay Ku</t>
  </si>
  <si>
    <t>KH02137</t>
  </si>
  <si>
    <t>Habib Ullah</t>
  </si>
  <si>
    <t>KH02331</t>
  </si>
  <si>
    <t>Shi Mi Watano</t>
  </si>
  <si>
    <t>KH02134</t>
  </si>
  <si>
    <t>Petit Willy</t>
  </si>
  <si>
    <t>KH03061</t>
  </si>
  <si>
    <t>Jhayne Cabutin</t>
  </si>
  <si>
    <t>U00007855937</t>
  </si>
  <si>
    <t>KH02858</t>
  </si>
  <si>
    <t>Samuel Yeboah</t>
  </si>
  <si>
    <t>KH02855</t>
  </si>
  <si>
    <t>Alma Barayuga</t>
  </si>
  <si>
    <t>KH03146</t>
  </si>
  <si>
    <t>PURJA LOKENDRA</t>
  </si>
  <si>
    <t>KH02655</t>
  </si>
  <si>
    <t>Murata Naravadee</t>
  </si>
  <si>
    <t>KH00781</t>
  </si>
  <si>
    <t>KH03003</t>
  </si>
  <si>
    <t>Shahid Islam</t>
  </si>
  <si>
    <t>U00007841237</t>
  </si>
  <si>
    <t>KH02263</t>
  </si>
  <si>
    <t>Kitchen Routeone</t>
  </si>
  <si>
    <t>KH00676</t>
  </si>
  <si>
    <t>Thúy An</t>
  </si>
  <si>
    <t>KH01059</t>
  </si>
  <si>
    <t>Nguyễn Bình</t>
  </si>
  <si>
    <t>KH02214</t>
  </si>
  <si>
    <t>Saman サマン</t>
  </si>
  <si>
    <t>KH00541</t>
  </si>
  <si>
    <t>XuanThanh Bui</t>
  </si>
  <si>
    <t>KH00780</t>
  </si>
  <si>
    <t>Nguyễn AhhTuấn</t>
  </si>
  <si>
    <t>KH01908</t>
  </si>
  <si>
    <t>Cornelius Z. Yoko II</t>
  </si>
  <si>
    <t>KH00850</t>
  </si>
  <si>
    <t>Nguyễn T. Hà</t>
  </si>
  <si>
    <t>KH00928</t>
  </si>
  <si>
    <t>Nguyenquang Hanh</t>
  </si>
  <si>
    <t>KH03083</t>
  </si>
  <si>
    <t>Sally Myat</t>
  </si>
  <si>
    <t>U00007850382</t>
  </si>
  <si>
    <t>KH02729</t>
  </si>
  <si>
    <t>Isuru Hiran Ranasinghe</t>
  </si>
  <si>
    <t>U00007820381</t>
  </si>
  <si>
    <t>KH03167</t>
  </si>
  <si>
    <t>Namrin Hana</t>
  </si>
  <si>
    <t>KH00074</t>
  </si>
  <si>
    <t>Phúc Lâm</t>
  </si>
  <si>
    <t>KH00113</t>
  </si>
  <si>
    <t>Quân Lê</t>
  </si>
  <si>
    <t>KH00610</t>
  </si>
  <si>
    <t>Trần Quỳnh</t>
  </si>
  <si>
    <t>KH01035</t>
  </si>
  <si>
    <t>Thành Chiêm</t>
  </si>
  <si>
    <t>KH01332</t>
  </si>
  <si>
    <t>Hải Lan</t>
  </si>
  <si>
    <t>KH02205</t>
  </si>
  <si>
    <t>Lablab Alexandra</t>
  </si>
  <si>
    <t>U00007847235</t>
  </si>
  <si>
    <t>KH02543</t>
  </si>
  <si>
    <t>Asam Ahamed</t>
  </si>
  <si>
    <t>KH02313</t>
  </si>
  <si>
    <t>Arthuro Yamaguchi</t>
  </si>
  <si>
    <t>KH01722</t>
  </si>
  <si>
    <t>Hoàn Xuân Nguyễn</t>
  </si>
  <si>
    <t>U00007851591</t>
  </si>
  <si>
    <t>KH02354</t>
  </si>
  <si>
    <t>Ashraful アラム</t>
  </si>
  <si>
    <t>KH03188</t>
  </si>
  <si>
    <t>Avator Lin</t>
  </si>
  <si>
    <t>KH03192</t>
  </si>
  <si>
    <t>マーク マーテン</t>
  </si>
  <si>
    <t>U00007856614</t>
  </si>
  <si>
    <t>KH00730</t>
  </si>
  <si>
    <t>Phú Nguyễn Ngọc</t>
  </si>
  <si>
    <t>KH01996</t>
  </si>
  <si>
    <t>Richie Richard</t>
  </si>
  <si>
    <t>U00007856134</t>
  </si>
  <si>
    <t>KH01751</t>
  </si>
  <si>
    <t>Wilson Diniz</t>
  </si>
  <si>
    <t>KH02211</t>
  </si>
  <si>
    <t>Jeffrey Resuello</t>
  </si>
  <si>
    <t>KH01927</t>
  </si>
  <si>
    <t>Haydee Bautista</t>
  </si>
  <si>
    <t>KH02318</t>
  </si>
  <si>
    <t>Sasaki Alex</t>
  </si>
  <si>
    <t>KH01634</t>
  </si>
  <si>
    <t>Garcia Bautista Juana</t>
  </si>
  <si>
    <t>U00007808095</t>
  </si>
  <si>
    <t>KH03092</t>
  </si>
  <si>
    <t>Saom Khalilullah</t>
  </si>
  <si>
    <t>U00007856364</t>
  </si>
  <si>
    <t>KH03164</t>
  </si>
  <si>
    <t>ペラルタ エバンジエリーナネオネス</t>
  </si>
  <si>
    <t>U00007850379</t>
  </si>
  <si>
    <t>KH03087</t>
  </si>
  <si>
    <t>Biswas Bappa</t>
  </si>
  <si>
    <t>U00007853112</t>
  </si>
  <si>
    <t>KH03096</t>
  </si>
  <si>
    <t>Mhii Jiin</t>
  </si>
  <si>
    <t>U00007853337</t>
  </si>
  <si>
    <t>U00007858648</t>
  </si>
  <si>
    <t>KH02590</t>
  </si>
  <si>
    <t>Elah Miraflor</t>
  </si>
  <si>
    <t>KH00515</t>
  </si>
  <si>
    <t>Hieu Luc</t>
  </si>
  <si>
    <t>KH01693</t>
  </si>
  <si>
    <t>Rose Botes</t>
  </si>
  <si>
    <t>KH01613</t>
  </si>
  <si>
    <t>Raymart Guno Coz</t>
  </si>
  <si>
    <t>U00007854150</t>
  </si>
  <si>
    <t>KH03238</t>
  </si>
  <si>
    <t>Thạc Hùng Nguyễn</t>
  </si>
  <si>
    <t>KH02299</t>
  </si>
  <si>
    <t>Enmir Castro</t>
  </si>
  <si>
    <t>KH01957</t>
  </si>
  <si>
    <t>Rachmad Nurrochim</t>
  </si>
  <si>
    <t>KH01916</t>
  </si>
  <si>
    <t>Alvian Argaginata</t>
  </si>
  <si>
    <t>KH01719</t>
  </si>
  <si>
    <t>Marly Bah</t>
  </si>
  <si>
    <t>KH02092</t>
  </si>
  <si>
    <t>Minh Thanh</t>
  </si>
  <si>
    <t>KH02223</t>
  </si>
  <si>
    <t>Iwata Goushi</t>
  </si>
  <si>
    <t>KH02838</t>
  </si>
  <si>
    <t>Janina Gail Ordaneza</t>
  </si>
  <si>
    <t>KH02405</t>
  </si>
  <si>
    <t>Hồ Ngọc Hải Vân</t>
  </si>
  <si>
    <t>KH01871</t>
  </si>
  <si>
    <t>Kevin Roces</t>
  </si>
  <si>
    <t>KH02305</t>
  </si>
  <si>
    <t>KH02594</t>
  </si>
  <si>
    <t>Alberto Polo</t>
  </si>
  <si>
    <t>KH01686</t>
  </si>
  <si>
    <t>Cornelius Okwudili Ufonna</t>
  </si>
  <si>
    <t>KH03018</t>
  </si>
  <si>
    <t>Fujimura Marcelo</t>
  </si>
  <si>
    <t>KH02648</t>
  </si>
  <si>
    <t>Mariah モリナ</t>
  </si>
  <si>
    <t>KH02145</t>
  </si>
  <si>
    <t>Leomark Catbagan</t>
  </si>
  <si>
    <t>KH02540</t>
  </si>
  <si>
    <t>朝井 マリリン</t>
  </si>
  <si>
    <t>KH02866</t>
  </si>
  <si>
    <t>Joemark Sernicula</t>
  </si>
  <si>
    <t>KH01550</t>
  </si>
  <si>
    <t>Tễu Long</t>
  </si>
  <si>
    <t>KH02326</t>
  </si>
  <si>
    <t>Ellis Dean S. Fabro</t>
  </si>
  <si>
    <t>KH01408</t>
  </si>
  <si>
    <t>Thương Quỳnh</t>
  </si>
  <si>
    <t>KH00353</t>
  </si>
  <si>
    <t>Nhã Nguyên</t>
  </si>
  <si>
    <t>KH01814</t>
  </si>
  <si>
    <t>Narayan Adhikari</t>
  </si>
  <si>
    <t>KH02537</t>
  </si>
  <si>
    <t>Ping Sumner</t>
  </si>
  <si>
    <t>KH02309</t>
  </si>
  <si>
    <t>Rie DG</t>
  </si>
  <si>
    <t>KH01144</t>
  </si>
  <si>
    <t>CTV HARI</t>
  </si>
  <si>
    <t>KH02982</t>
  </si>
  <si>
    <t>Analea Boston Valenia</t>
  </si>
  <si>
    <t>KH02883</t>
  </si>
  <si>
    <t>Tadz Sndn</t>
  </si>
  <si>
    <t>U00007848357</t>
  </si>
  <si>
    <t>KH02036</t>
  </si>
  <si>
    <t>Argie Domasig</t>
  </si>
  <si>
    <t>KH01410</t>
  </si>
  <si>
    <t>Alma Buslon Kinoshita</t>
  </si>
  <si>
    <t>KH01666</t>
  </si>
  <si>
    <t>Liezl Bitangcor</t>
  </si>
  <si>
    <t>KH01714</t>
  </si>
  <si>
    <t>Domzy Sidiz Okafor</t>
  </si>
  <si>
    <t>KH03255</t>
  </si>
  <si>
    <t>Albert Valerio</t>
  </si>
  <si>
    <t>KH02157</t>
  </si>
  <si>
    <t>Mery Sellah</t>
  </si>
  <si>
    <t>KH01993</t>
  </si>
  <si>
    <t>Oshan Rajapaksha</t>
  </si>
  <si>
    <t>KH02926</t>
  </si>
  <si>
    <t>Janadhi gamage</t>
  </si>
  <si>
    <t>KH02152</t>
  </si>
  <si>
    <t>Shiji Gori</t>
  </si>
  <si>
    <t>KH01040</t>
  </si>
  <si>
    <t>Nguyễn Hải 2</t>
  </si>
  <si>
    <t>KH01095</t>
  </si>
  <si>
    <t>Lê Đức</t>
  </si>
  <si>
    <t>KH00202</t>
  </si>
  <si>
    <t>Thi Huỳnh (Jin Huỳnh)</t>
  </si>
  <si>
    <t>KH01754</t>
  </si>
  <si>
    <t>ナオ nagoya</t>
  </si>
  <si>
    <t>KH02187</t>
  </si>
  <si>
    <t>Lawrence Gonzales</t>
  </si>
  <si>
    <t>KH02399</t>
  </si>
  <si>
    <t>Cristina kawamoto</t>
  </si>
  <si>
    <t>KH02939</t>
  </si>
  <si>
    <t>Misha J. Misha</t>
  </si>
  <si>
    <t>KH02268</t>
  </si>
  <si>
    <t>T.M.S.P. Senevirathne</t>
  </si>
  <si>
    <t>KH00968</t>
  </si>
  <si>
    <t>Huyh Hưg</t>
  </si>
  <si>
    <t>KH00798</t>
  </si>
  <si>
    <t>CTV Nyo</t>
  </si>
  <si>
    <t>KH02486</t>
  </si>
  <si>
    <t>Koga Leonildo Tohoki</t>
  </si>
  <si>
    <t>KH02823</t>
  </si>
  <si>
    <t>Mika Ito Fernandes</t>
  </si>
  <si>
    <t>KH02428</t>
  </si>
  <si>
    <t>Lan Anh</t>
  </si>
  <si>
    <t>KH02380</t>
  </si>
  <si>
    <t>Nhữ Thanh Hà</t>
  </si>
  <si>
    <t>KH03270</t>
  </si>
  <si>
    <t>ックソポタ ジョジョ</t>
  </si>
  <si>
    <t>KH02706</t>
  </si>
  <si>
    <t>Đồng Tiến Phát</t>
  </si>
  <si>
    <t>KH01311</t>
  </si>
  <si>
    <t>Việt Hòa</t>
  </si>
  <si>
    <t>KH00969</t>
  </si>
  <si>
    <t>Thuý Lê Hoàng</t>
  </si>
  <si>
    <t>KH01845</t>
  </si>
  <si>
    <t>Rafael Vaseli</t>
  </si>
  <si>
    <t>KH02789</t>
  </si>
  <si>
    <t>Teguh</t>
  </si>
  <si>
    <t>KH02086</t>
  </si>
  <si>
    <t>Mojica Michael</t>
  </si>
  <si>
    <t>KH02688</t>
  </si>
  <si>
    <t>Jefrey Celon</t>
  </si>
  <si>
    <t>KH01421</t>
  </si>
  <si>
    <t>Phương Linh</t>
  </si>
  <si>
    <t>KH01340</t>
  </si>
  <si>
    <t>Henrique Yamasata</t>
  </si>
  <si>
    <t>KH02862</t>
  </si>
  <si>
    <t>Rose Blare Heart</t>
  </si>
  <si>
    <t>KH02652</t>
  </si>
  <si>
    <t>Pinsuda Konwai</t>
  </si>
  <si>
    <t>KH02300</t>
  </si>
  <si>
    <t>カソナ 禅</t>
  </si>
  <si>
    <t>KH02240</t>
  </si>
  <si>
    <t>Tsutomu Shimabukuro</t>
  </si>
  <si>
    <t>KH01710</t>
  </si>
  <si>
    <t>Juliet Polintan Abuque</t>
  </si>
  <si>
    <t>KH02228</t>
  </si>
  <si>
    <t>Kim Leo Sulit</t>
  </si>
  <si>
    <t>Thanh Xuân</t>
  </si>
  <si>
    <t>KH01412</t>
  </si>
  <si>
    <t>Linh Xu</t>
  </si>
  <si>
    <t>KH01800</t>
  </si>
  <si>
    <t>Emz Fernandez Ladiana</t>
  </si>
  <si>
    <t>KH01862</t>
  </si>
  <si>
    <t>Olive Grace ラモス</t>
  </si>
  <si>
    <t>KH00827</t>
  </si>
  <si>
    <t>Bùi Tùng 2</t>
  </si>
  <si>
    <t>KH01730</t>
  </si>
  <si>
    <t>Jeff Klein</t>
  </si>
  <si>
    <t>KH02861</t>
  </si>
  <si>
    <t>Rey Jan T. Lumpot</t>
  </si>
  <si>
    <t>KH01531</t>
  </si>
  <si>
    <t>Rexie Lucas Salvador</t>
  </si>
  <si>
    <t>KH02453</t>
  </si>
  <si>
    <t>Erica Alaro</t>
  </si>
  <si>
    <t>KH02282</t>
  </si>
  <si>
    <t>SALAHUDDIN SHEIKH</t>
  </si>
  <si>
    <t>KH01628</t>
  </si>
  <si>
    <t>Elsajane Matas</t>
  </si>
  <si>
    <t>KH02346</t>
  </si>
  <si>
    <t>Bharat Rana</t>
  </si>
  <si>
    <t>KH02174</t>
  </si>
  <si>
    <t>Ariz</t>
  </si>
  <si>
    <t>KH00197</t>
  </si>
  <si>
    <t>NV Đức</t>
  </si>
  <si>
    <t>KH02824</t>
  </si>
  <si>
    <t>Angelie D. Alay-ay</t>
  </si>
  <si>
    <t>KH01669</t>
  </si>
  <si>
    <t>Cu Bin</t>
  </si>
  <si>
    <t>KH00090</t>
  </si>
  <si>
    <t>Phạm Văn Khiêm</t>
  </si>
  <si>
    <t>KH02829</t>
  </si>
  <si>
    <t>Angela Pascual</t>
  </si>
  <si>
    <t>KH00411</t>
  </si>
  <si>
    <t>Phạm Phú Ngọc</t>
  </si>
  <si>
    <t>KH00858</t>
  </si>
  <si>
    <t>グエン リエン</t>
  </si>
  <si>
    <t>KH02927</t>
  </si>
  <si>
    <t>Roel Manguilimotan</t>
  </si>
  <si>
    <t>KH02708</t>
  </si>
  <si>
    <t>NiÑo Robles</t>
  </si>
  <si>
    <t>KH01106</t>
  </si>
  <si>
    <t>Đông Phong</t>
  </si>
  <si>
    <t>KH01583</t>
  </si>
  <si>
    <t>レ ン</t>
  </si>
  <si>
    <t>KH02066</t>
  </si>
  <si>
    <t>Yolly Cepe Tayag</t>
  </si>
  <si>
    <t>KH02439</t>
  </si>
  <si>
    <t>Diana Maglasang</t>
  </si>
  <si>
    <t>KH02094</t>
  </si>
  <si>
    <t>Romel Atad Galinato</t>
  </si>
  <si>
    <t>KH02709</t>
  </si>
  <si>
    <t>Clarissa Ramos Delgado</t>
  </si>
  <si>
    <t>KH01396</t>
  </si>
  <si>
    <t>Trịnh Thanh Sơn</t>
  </si>
  <si>
    <t>KH01464</t>
  </si>
  <si>
    <t>Rasel Rojas Bulawan</t>
  </si>
  <si>
    <t>KH03035</t>
  </si>
  <si>
    <t>五十嵐 静</t>
  </si>
  <si>
    <t>KH01733</t>
  </si>
  <si>
    <t>Anh Tran</t>
  </si>
  <si>
    <t>KH03296</t>
  </si>
  <si>
    <t>Eugene King Mudahemuka Einstein II</t>
  </si>
  <si>
    <t>KH02329</t>
  </si>
  <si>
    <t>Poru Adenigu</t>
  </si>
  <si>
    <t>KH02702</t>
  </si>
  <si>
    <t>ARIES F. ALMAZAN</t>
  </si>
  <si>
    <t>KH02689</t>
  </si>
  <si>
    <t>フランシス ゲバラ</t>
  </si>
  <si>
    <t>KH00878</t>
  </si>
  <si>
    <t>Hoàng Lý Đinh</t>
  </si>
  <si>
    <t>KH00954</t>
  </si>
  <si>
    <t>Dinhvan Lan</t>
  </si>
  <si>
    <t>KH00927</t>
  </si>
  <si>
    <t>Zaw Win Kyaw</t>
  </si>
  <si>
    <t>KH01577</t>
  </si>
  <si>
    <t>Gilbert Domingo</t>
  </si>
  <si>
    <t>KH01312</t>
  </si>
  <si>
    <t>Chi Hung Nguyen</t>
  </si>
  <si>
    <t>KH03009</t>
  </si>
  <si>
    <t>Francis Catchero</t>
  </si>
  <si>
    <t>KH02430</t>
  </si>
  <si>
    <t>OHIRA RACQUEL</t>
  </si>
  <si>
    <t>KH02836</t>
  </si>
  <si>
    <t>Imam</t>
  </si>
  <si>
    <t>KH01080</t>
  </si>
  <si>
    <t>Dung Chill</t>
  </si>
  <si>
    <t>KH01832</t>
  </si>
  <si>
    <t>Ninomiya Aska</t>
  </si>
  <si>
    <t>KH03285</t>
  </si>
  <si>
    <t>Cesar Romero</t>
  </si>
  <si>
    <t>KH02290</t>
  </si>
  <si>
    <t>Nohjla Otiuqsap</t>
  </si>
  <si>
    <t>KH01976</t>
  </si>
  <si>
    <t>Ishmael Arthur</t>
  </si>
  <si>
    <t>KH01744</t>
  </si>
  <si>
    <t>Rose Kozuro</t>
  </si>
  <si>
    <t>KH02202</t>
  </si>
  <si>
    <t>Antonio Okumura</t>
  </si>
  <si>
    <t>KH02951</t>
  </si>
  <si>
    <t>Isko Guevarra</t>
  </si>
  <si>
    <t>KH01622</t>
  </si>
  <si>
    <t>Từ Hồng Thái</t>
  </si>
  <si>
    <t>KH01731</t>
  </si>
  <si>
    <t>Van Binh Mai</t>
  </si>
  <si>
    <t>KH01641</t>
  </si>
  <si>
    <t>Alves Alves</t>
  </si>
  <si>
    <t>KH02725</t>
  </si>
  <si>
    <t>Joyce madrilejo</t>
  </si>
  <si>
    <t>KH02433</t>
  </si>
  <si>
    <t>パサン ニルパ</t>
  </si>
  <si>
    <t>KH01772</t>
  </si>
  <si>
    <t>朝日 マリヴィック</t>
  </si>
  <si>
    <t>KH00267</t>
  </si>
  <si>
    <t>Ngọc Hòa Lê</t>
  </si>
  <si>
    <t>KH02463</t>
  </si>
  <si>
    <t>SILVA VARGAS EDUARDO</t>
  </si>
  <si>
    <t>KH02680</t>
  </si>
  <si>
    <t>Chula Manamperi</t>
  </si>
  <si>
    <t>KH01900</t>
  </si>
  <si>
    <t>Joffrey Nieves</t>
  </si>
  <si>
    <t>KH02286</t>
  </si>
  <si>
    <t>Martha Giribaldi</t>
  </si>
  <si>
    <t>KH00877</t>
  </si>
  <si>
    <t>Hùynh Vy</t>
  </si>
  <si>
    <t>KH01842</t>
  </si>
  <si>
    <t>Jini Okta Refo</t>
  </si>
  <si>
    <t>KH03024</t>
  </si>
  <si>
    <t>Francisco Meneses Dalistan</t>
  </si>
  <si>
    <t>U00007853021</t>
  </si>
  <si>
    <t>KH01865</t>
  </si>
  <si>
    <t>Ray Comenx Rudioping</t>
  </si>
  <si>
    <t>KH01883</t>
  </si>
  <si>
    <t>オフィ くん</t>
  </si>
  <si>
    <t>KH02404</t>
  </si>
  <si>
    <t>Juvy Rica Enero</t>
  </si>
  <si>
    <t>KH01965</t>
  </si>
  <si>
    <t>Florante Yadis</t>
  </si>
  <si>
    <t>KH03004</t>
  </si>
  <si>
    <t>Pulacan Kenjie</t>
  </si>
  <si>
    <t>KH02678</t>
  </si>
  <si>
    <t>Laiza Amata Toguchi</t>
  </si>
  <si>
    <t>KH02687</t>
  </si>
  <si>
    <t>ReGiena Cruz Noda</t>
  </si>
  <si>
    <t>KH00902</t>
  </si>
  <si>
    <t>Aye Thu Zar</t>
  </si>
  <si>
    <t>KH02215</t>
  </si>
  <si>
    <t>Tharushi</t>
  </si>
  <si>
    <t>KH01980</t>
  </si>
  <si>
    <t>Iris Mae Llamas</t>
  </si>
  <si>
    <t>KH02023</t>
  </si>
  <si>
    <t>Nathaniel Allan Sale</t>
  </si>
  <si>
    <t>KH01220</t>
  </si>
  <si>
    <t>Yuu Yuu</t>
  </si>
  <si>
    <t>KH02604</t>
  </si>
  <si>
    <t>Asma Wati AbdurahMan</t>
  </si>
  <si>
    <t>KH02344</t>
  </si>
  <si>
    <t>Acácia Uchiyama</t>
  </si>
  <si>
    <t>KH02892</t>
  </si>
  <si>
    <t>赤湾</t>
  </si>
  <si>
    <t>KH01960</t>
  </si>
  <si>
    <t>Bhawani Singh</t>
  </si>
  <si>
    <t>KH01703</t>
  </si>
  <si>
    <t>Olaojr Bong</t>
  </si>
  <si>
    <t>KH01115</t>
  </si>
  <si>
    <t>Trần AnhTuấn</t>
  </si>
  <si>
    <t>KH01573</t>
  </si>
  <si>
    <t>Joysu Desu</t>
  </si>
  <si>
    <t>KH01228</t>
  </si>
  <si>
    <t>Bước Sai Lối</t>
  </si>
  <si>
    <t>KH01087</t>
  </si>
  <si>
    <t>Vuhong Kien</t>
  </si>
  <si>
    <t>KH01116</t>
  </si>
  <si>
    <t>Phạm Chung</t>
  </si>
  <si>
    <t>KH02996</t>
  </si>
  <si>
    <t>BadVos Sirc</t>
  </si>
  <si>
    <t>KH00684</t>
  </si>
  <si>
    <t>Tô Duy Nghị</t>
  </si>
  <si>
    <t>KH01831</t>
  </si>
  <si>
    <t>Yubesh Sharma</t>
  </si>
  <si>
    <t>KH01281</t>
  </si>
  <si>
    <t>Trần Thoại</t>
  </si>
  <si>
    <t>KH02069</t>
  </si>
  <si>
    <t>Nazreen Nazeer</t>
  </si>
  <si>
    <t>KH02131</t>
  </si>
  <si>
    <t>Arce Cespedes Julie</t>
  </si>
  <si>
    <t>KH01948</t>
  </si>
  <si>
    <t>JM JM</t>
  </si>
  <si>
    <t>KH02993</t>
  </si>
  <si>
    <t>Ngoc Tan</t>
  </si>
  <si>
    <t>Nguyễn Quốc Huy</t>
  </si>
  <si>
    <t>KH02478</t>
  </si>
  <si>
    <t>Andrew Dayo</t>
  </si>
  <si>
    <t>KH02001</t>
  </si>
  <si>
    <t>チャド</t>
  </si>
  <si>
    <t>KH02670</t>
  </si>
  <si>
    <t>Mahmoud El Lethey</t>
  </si>
  <si>
    <t>KH01726</t>
  </si>
  <si>
    <t>Daniel 'Danz' Perez</t>
  </si>
  <si>
    <t>KH01653</t>
  </si>
  <si>
    <t>ア B. Poblete</t>
  </si>
  <si>
    <t>KH02985</t>
  </si>
  <si>
    <t>Almaa Al Ngala</t>
  </si>
  <si>
    <t>KH01647</t>
  </si>
  <si>
    <t>Trang Quỳnh</t>
  </si>
  <si>
    <t>KH01437</t>
  </si>
  <si>
    <t>Bhanuka Prageeth</t>
  </si>
  <si>
    <t>KH03007</t>
  </si>
  <si>
    <t>Nishantha Dananjaya Pathirathna</t>
  </si>
  <si>
    <t>KH01469</t>
  </si>
  <si>
    <t>Iyon Pordjo</t>
  </si>
  <si>
    <t>KH02692</t>
  </si>
  <si>
    <t>Ianne 幸せ</t>
  </si>
  <si>
    <t>KH01394</t>
  </si>
  <si>
    <t>Nguyễn Thiện Hiển</t>
  </si>
  <si>
    <t>KH02449</t>
  </si>
  <si>
    <t>Nga Vũ</t>
  </si>
  <si>
    <t>KH01251</t>
  </si>
  <si>
    <t>Phan Nhất Nam</t>
  </si>
  <si>
    <t>KH02920</t>
  </si>
  <si>
    <t>Jarelle Ann Koyano</t>
  </si>
  <si>
    <t>KH00126</t>
  </si>
  <si>
    <t>Lê Văn Hân</t>
  </si>
  <si>
    <t>KH01055</t>
  </si>
  <si>
    <t>Vo Quang Dao</t>
  </si>
  <si>
    <t>KH02736</t>
  </si>
  <si>
    <t>Tuấn Hoàng</t>
  </si>
  <si>
    <t>KH01860</t>
  </si>
  <si>
    <t>Mohamed Askar</t>
  </si>
  <si>
    <t>KH02025</t>
  </si>
  <si>
    <t>Sérgio Toshio Ito</t>
  </si>
  <si>
    <t>KH00528</t>
  </si>
  <si>
    <t>Phạm Minh Huy</t>
  </si>
  <si>
    <t>KH02624</t>
  </si>
  <si>
    <t>グエンアン。</t>
  </si>
  <si>
    <t>KH01596</t>
  </si>
  <si>
    <t>zHa リザ</t>
  </si>
  <si>
    <t>KH01069</t>
  </si>
  <si>
    <t>Vy Chibi</t>
  </si>
  <si>
    <t>KH02207</t>
  </si>
  <si>
    <t>P.B.C.V.RATHNAYAKA</t>
  </si>
  <si>
    <t>KH02519</t>
  </si>
  <si>
    <t>Rosette Aya Kho</t>
  </si>
  <si>
    <t>KH03273</t>
  </si>
  <si>
    <t>ジュリ 江川</t>
  </si>
  <si>
    <t>U00007855400</t>
  </si>
  <si>
    <t>KH01704</t>
  </si>
  <si>
    <t>Dotrandanh Nhan</t>
  </si>
  <si>
    <t>KH01454</t>
  </si>
  <si>
    <t>Vương Quang Tâm</t>
  </si>
  <si>
    <t>U00007846369</t>
  </si>
  <si>
    <t>Mare Leo</t>
  </si>
  <si>
    <t>KH02847</t>
  </si>
  <si>
    <t>Takeshi Iwase</t>
  </si>
  <si>
    <t>KH01395</t>
  </si>
  <si>
    <t>Hồng Ngọc</t>
  </si>
  <si>
    <t>KH01637</t>
  </si>
  <si>
    <t>Jig's Ceballos</t>
  </si>
  <si>
    <t>KH02120</t>
  </si>
  <si>
    <t>Dineth Ishan</t>
  </si>
  <si>
    <t>KH01430</t>
  </si>
  <si>
    <t>Dương Tuyển</t>
  </si>
  <si>
    <t>KH02579</t>
  </si>
  <si>
    <t>ランタホ アイリン</t>
  </si>
  <si>
    <t>KH01902</t>
  </si>
  <si>
    <t>April Gingoyon</t>
  </si>
  <si>
    <t>KH02292</t>
  </si>
  <si>
    <t>Helio Hatagani</t>
  </si>
  <si>
    <t>KH02389</t>
  </si>
  <si>
    <t>Shalika Madushani</t>
  </si>
  <si>
    <t>KH00469</t>
  </si>
  <si>
    <t>Ý Phát Kanashii</t>
  </si>
  <si>
    <t>KH01826</t>
  </si>
  <si>
    <t>Pangyani Suraj</t>
  </si>
  <si>
    <t>KH01028</t>
  </si>
  <si>
    <t>Anh Pham</t>
  </si>
  <si>
    <t>KH01847</t>
  </si>
  <si>
    <t>Eric Quiros</t>
  </si>
  <si>
    <t>U00007850854</t>
  </si>
  <si>
    <t>KH01181</t>
  </si>
  <si>
    <t>Mai Hoàng Kỳ Duyên</t>
  </si>
  <si>
    <t>KH01844</t>
  </si>
  <si>
    <t>Abdoul Aziz Ganemtoré</t>
  </si>
  <si>
    <t>KH02169</t>
  </si>
  <si>
    <t>Kobina</t>
  </si>
  <si>
    <t>KH01896</t>
  </si>
  <si>
    <t>Juliane Nicole Araojo</t>
  </si>
  <si>
    <t>KH03313</t>
  </si>
  <si>
    <t>Steven Rich Rich</t>
  </si>
  <si>
    <t>U00007846365</t>
  </si>
  <si>
    <t>KH02055</t>
  </si>
  <si>
    <t>YAMADA EDUARD YOSHIMI 様</t>
  </si>
  <si>
    <t>KH01701</t>
  </si>
  <si>
    <t>Williams Afoni Ranform</t>
  </si>
  <si>
    <t>KH01138</t>
  </si>
  <si>
    <t>Thuy Diem Tran</t>
  </si>
  <si>
    <t>KH01668</t>
  </si>
  <si>
    <t>James Su</t>
  </si>
  <si>
    <t>KH02501</t>
  </si>
  <si>
    <t>Juan Rafael Reyes Zafra</t>
  </si>
  <si>
    <t>KH03353</t>
  </si>
  <si>
    <t>Aglawa Riza</t>
  </si>
  <si>
    <t>KH02446</t>
  </si>
  <si>
    <t>Jen Jen Aviles</t>
  </si>
  <si>
    <t>KH02219</t>
  </si>
  <si>
    <t>Arniel Corpuz</t>
  </si>
  <si>
    <t>KH02659</t>
  </si>
  <si>
    <t>Shune Pa Pa Hlaing</t>
  </si>
  <si>
    <t>KH01595</t>
  </si>
  <si>
    <t>Love Lea Alvarez</t>
  </si>
  <si>
    <t>KH02632</t>
  </si>
  <si>
    <t>Deongi Dan</t>
  </si>
  <si>
    <t>KH02382</t>
  </si>
  <si>
    <t>Emilio Gushiken</t>
  </si>
  <si>
    <t>KH01984</t>
  </si>
  <si>
    <t>Carolina Ishida</t>
  </si>
  <si>
    <t>KH01105</t>
  </si>
  <si>
    <t>Muhammad wahid aryanto</t>
  </si>
  <si>
    <t>KH02832</t>
  </si>
  <si>
    <t>Kerby Arroyo</t>
  </si>
  <si>
    <t>KH02105</t>
  </si>
  <si>
    <t>Ron Ivler Posis Dichoso</t>
  </si>
  <si>
    <t>U00007847482</t>
  </si>
  <si>
    <t>KH02135</t>
  </si>
  <si>
    <t>Gilang pebriansah</t>
  </si>
  <si>
    <t>KH01612</t>
  </si>
  <si>
    <t>Minh Viet</t>
  </si>
  <si>
    <t>U00007854566</t>
  </si>
  <si>
    <t>KH01769</t>
  </si>
  <si>
    <t>Yurika Dimaculangan</t>
  </si>
  <si>
    <t>KH02609</t>
  </si>
  <si>
    <t>Eden Subteniente</t>
  </si>
  <si>
    <t>KH01627</t>
  </si>
  <si>
    <t>Rosemarie Takahashi</t>
  </si>
  <si>
    <t>รักครั้งสุดท้าย รักคุณนะ</t>
  </si>
  <si>
    <t>KH02330</t>
  </si>
  <si>
    <t>Marvie Sim Asano</t>
  </si>
  <si>
    <t>KH01925</t>
  </si>
  <si>
    <t>Vintrix Ethclivllyson</t>
  </si>
  <si>
    <t>KH00319</t>
  </si>
  <si>
    <t>Cao hoài tấn (Cao Hoai Tan)</t>
  </si>
  <si>
    <t>KH02033</t>
  </si>
  <si>
    <t>Pedro Puescas Goicochea</t>
  </si>
  <si>
    <t>KH02063</t>
  </si>
  <si>
    <t>Maymaya L Jesrael</t>
  </si>
  <si>
    <t>KH02602</t>
  </si>
  <si>
    <t>Abi Esh</t>
  </si>
  <si>
    <t>KH01084</t>
  </si>
  <si>
    <t>Thanh Đạt</t>
  </si>
  <si>
    <t>KH01052</t>
  </si>
  <si>
    <t>Sang Thanh</t>
  </si>
  <si>
    <t>KH02798</t>
  </si>
  <si>
    <t>AM.NAWSHAD</t>
  </si>
  <si>
    <t>KH01299</t>
  </si>
  <si>
    <t>Võ Nghị</t>
  </si>
  <si>
    <t>KH02175</t>
  </si>
  <si>
    <t>Cellou Barry</t>
  </si>
  <si>
    <t>KH00694</t>
  </si>
  <si>
    <t>Solmina Pham</t>
  </si>
  <si>
    <t>KH01569</t>
  </si>
  <si>
    <t>Nkems Gbelle Amors</t>
  </si>
  <si>
    <t>KH02058</t>
  </si>
  <si>
    <t>Gina Jane Fujimiya</t>
  </si>
  <si>
    <t>KH02503</t>
  </si>
  <si>
    <t>Diệp Thị Giang</t>
  </si>
  <si>
    <t>KH02242</t>
  </si>
  <si>
    <t>Sylvia Ganzo</t>
  </si>
  <si>
    <t>KH02186</t>
  </si>
  <si>
    <t>Chie Avena</t>
  </si>
  <si>
    <t>KH01709</t>
  </si>
  <si>
    <t>Lara Anna</t>
  </si>
  <si>
    <t>KH02919</t>
  </si>
  <si>
    <t>Jing Yanogacio</t>
  </si>
  <si>
    <t>KH01878</t>
  </si>
  <si>
    <t>Mendonça Jackie</t>
  </si>
  <si>
    <t>KH02864</t>
  </si>
  <si>
    <t>レモン サワー</t>
  </si>
  <si>
    <t>KH01995</t>
  </si>
  <si>
    <t>Lliway A. Cabrera</t>
  </si>
  <si>
    <t>KH02245</t>
  </si>
  <si>
    <t>Roger Alberto Puentes Mejia</t>
  </si>
  <si>
    <t>KH02287</t>
  </si>
  <si>
    <t>Joboy Otto Watanabe</t>
  </si>
  <si>
    <t>KH02959</t>
  </si>
  <si>
    <t>Selva Ganesh</t>
  </si>
  <si>
    <t>KH03336</t>
  </si>
  <si>
    <t>Yogesh Oli</t>
  </si>
  <si>
    <t>KH03062</t>
  </si>
  <si>
    <t>Maung Soe Win Sett</t>
  </si>
  <si>
    <t>KH01741</t>
  </si>
  <si>
    <t>Rolando Villegas</t>
  </si>
  <si>
    <t>U00007836431</t>
  </si>
  <si>
    <t>KH00178</t>
  </si>
  <si>
    <t>Lê Quang</t>
  </si>
  <si>
    <t>KH02937</t>
  </si>
  <si>
    <t>Archel Capisnon Cabahug</t>
  </si>
  <si>
    <t>KH02521</t>
  </si>
  <si>
    <t>Carlos Francisco Fernandez Calderon</t>
  </si>
  <si>
    <t>KH02285</t>
  </si>
  <si>
    <t>Rosell Diaz</t>
  </si>
  <si>
    <t>U00007818426</t>
  </si>
  <si>
    <t>KH02341</t>
  </si>
  <si>
    <t>Hendry StaAna</t>
  </si>
  <si>
    <t>KH02868</t>
  </si>
  <si>
    <t>สุภาพร คิชิโมโท๊</t>
  </si>
  <si>
    <t>KH02963</t>
  </si>
  <si>
    <t>Đặng Thảo</t>
  </si>
  <si>
    <t>KH02378</t>
  </si>
  <si>
    <t>Avenilda Liwacat</t>
  </si>
  <si>
    <t>KH01857</t>
  </si>
  <si>
    <t>Oyama Tokai</t>
  </si>
  <si>
    <t>KH02898</t>
  </si>
  <si>
    <t>Jaime Matsushita</t>
  </si>
  <si>
    <t>KH01836</t>
  </si>
  <si>
    <t>Mhila Morfon</t>
  </si>
  <si>
    <t>U00003128462</t>
  </si>
  <si>
    <t>KH00905</t>
  </si>
  <si>
    <t>Trần Anh Trưởng</t>
  </si>
  <si>
    <t>KH02903</t>
  </si>
  <si>
    <t>Babygin Diaz</t>
  </si>
  <si>
    <t>KH02752</t>
  </si>
  <si>
    <t>BANDAO JOSEPH JR BALAJO</t>
  </si>
  <si>
    <t>KH02863</t>
  </si>
  <si>
    <t>Aaron David Tengco</t>
  </si>
  <si>
    <t>KH01099</t>
  </si>
  <si>
    <t>Đỗ Quang Trung</t>
  </si>
  <si>
    <t>KH03014</t>
  </si>
  <si>
    <t>Duque Wilson</t>
  </si>
  <si>
    <t>KH01538</t>
  </si>
  <si>
    <t>Jenny Jennyk</t>
  </si>
  <si>
    <t>KH01998</t>
  </si>
  <si>
    <t>Maricel Agatep</t>
  </si>
  <si>
    <t>KH00399</t>
  </si>
  <si>
    <t>Nguyễn Tuân</t>
  </si>
  <si>
    <t>KH01114</t>
  </si>
  <si>
    <t>Trịnh Văn Tuấn</t>
  </si>
  <si>
    <t>U00007848056</t>
  </si>
  <si>
    <t>KH02401</t>
  </si>
  <si>
    <t>Nishimura Wenalyn Ever</t>
  </si>
  <si>
    <t>KH01771</t>
  </si>
  <si>
    <t>Junard Macario</t>
  </si>
  <si>
    <t>KH02256</t>
  </si>
  <si>
    <t>Samart Chansuek</t>
  </si>
  <si>
    <t>U00007835597</t>
  </si>
  <si>
    <t>KH01918</t>
  </si>
  <si>
    <t>みかずき</t>
  </si>
  <si>
    <t>KH01571</t>
  </si>
  <si>
    <t>Arif Dwi</t>
  </si>
  <si>
    <t>KH02944</t>
  </si>
  <si>
    <t>Victor Agari</t>
  </si>
  <si>
    <t>KH02442</t>
  </si>
  <si>
    <t>Tokuno Noboru</t>
  </si>
  <si>
    <t>KH02922</t>
  </si>
  <si>
    <t>Kimverly Soriano</t>
  </si>
  <si>
    <t>KH01811</t>
  </si>
  <si>
    <t>Rissa Hosshi</t>
  </si>
  <si>
    <t>KH02997</t>
  </si>
  <si>
    <t>Uriel LLoyd</t>
  </si>
  <si>
    <t>KH02522</t>
  </si>
  <si>
    <t>Pa Pa</t>
  </si>
  <si>
    <t>KH01890</t>
  </si>
  <si>
    <t>Coy Tay Yano</t>
  </si>
  <si>
    <t>KH01734</t>
  </si>
  <si>
    <t>Nguyễn Thị Duyên</t>
  </si>
  <si>
    <t>KH02366</t>
  </si>
  <si>
    <t>Melrose Laderas</t>
  </si>
  <si>
    <t>KH02534</t>
  </si>
  <si>
    <t>Nguyễn Tiến Đại</t>
  </si>
  <si>
    <t>KH01610</t>
  </si>
  <si>
    <t>Nana Adjei Sikapa</t>
  </si>
  <si>
    <t>KH01718</t>
  </si>
  <si>
    <t>Susantha Silva</t>
  </si>
  <si>
    <t>KH02016</t>
  </si>
  <si>
    <t>Rowena Dimagiba</t>
  </si>
  <si>
    <t>KH01696</t>
  </si>
  <si>
    <t>幸せ レアガス ルーカス</t>
  </si>
  <si>
    <t>KH00735</t>
  </si>
  <si>
    <t>Thu Hương</t>
  </si>
  <si>
    <t>KH01869</t>
  </si>
  <si>
    <t>Frank D Saito</t>
  </si>
  <si>
    <t>KH01821</t>
  </si>
  <si>
    <t>Anne Tao Salmon</t>
  </si>
  <si>
    <t>KH02101</t>
  </si>
  <si>
    <t>DIZON MARVIN LACUESTA</t>
  </si>
  <si>
    <t>KH01728</t>
  </si>
  <si>
    <t>Oscar Alfredo Gushiken</t>
  </si>
  <si>
    <t>KH01520</t>
  </si>
  <si>
    <t>Nguyễn Đông</t>
  </si>
  <si>
    <t>KH02351</t>
  </si>
  <si>
    <t>Sanju Timalsina</t>
  </si>
  <si>
    <t>KH01195</t>
  </si>
  <si>
    <t>Thanh Xuân 2</t>
  </si>
  <si>
    <t>KH02262</t>
  </si>
  <si>
    <t>Néo de Oliveira Nilton Paulo</t>
  </si>
  <si>
    <t>KH02928</t>
  </si>
  <si>
    <t>LoLai Lala</t>
  </si>
  <si>
    <t>KH01872</t>
  </si>
  <si>
    <t>Jubert B. To-ong</t>
  </si>
  <si>
    <t>KH01766</t>
  </si>
  <si>
    <t>Yuri Ken</t>
  </si>
  <si>
    <t>KH02393</t>
  </si>
  <si>
    <t>Kusu Cabrera Guianella Kaori</t>
  </si>
  <si>
    <t>KH00989</t>
  </si>
  <si>
    <t>Tran Anh Thế</t>
  </si>
  <si>
    <t>KH00608</t>
  </si>
  <si>
    <t>Phuong van Chien</t>
  </si>
  <si>
    <t>KH02821</t>
  </si>
  <si>
    <t>Japinay Gwapa Vlog</t>
  </si>
  <si>
    <t>U00007799786</t>
  </si>
  <si>
    <t>KH00318</t>
  </si>
  <si>
    <t>Thái Tông</t>
  </si>
  <si>
    <t>KH02813</t>
  </si>
  <si>
    <t>CHU DUC THOAI</t>
  </si>
  <si>
    <t>KH02267</t>
  </si>
  <si>
    <t>Hector Sasaki</t>
  </si>
  <si>
    <t>KH02704</t>
  </si>
  <si>
    <t>ネル カジェス</t>
  </si>
  <si>
    <t>KH02909</t>
  </si>
  <si>
    <t>Ronny Merabe Berja</t>
  </si>
  <si>
    <t>KH03364</t>
  </si>
  <si>
    <t>サム Luis</t>
  </si>
  <si>
    <t>KH01507</t>
  </si>
  <si>
    <t>Vũ Ví Von</t>
  </si>
  <si>
    <t>KH00082</t>
  </si>
  <si>
    <t>San Dar</t>
  </si>
  <si>
    <t>U00007868061</t>
  </si>
  <si>
    <t>KH02335</t>
  </si>
  <si>
    <t>Victor Victoria</t>
  </si>
  <si>
    <t>KH01688</t>
  </si>
  <si>
    <t>Celnor Panilagao</t>
  </si>
  <si>
    <t>KH01621</t>
  </si>
  <si>
    <t>Eyprilin Mirasol</t>
  </si>
  <si>
    <t>KH02605</t>
  </si>
  <si>
    <t>Namal Sandusen</t>
  </si>
  <si>
    <t>KH00228</t>
  </si>
  <si>
    <t>Kiên Nguyễn</t>
  </si>
  <si>
    <t>KH02452</t>
  </si>
  <si>
    <t>Fralaya Rose</t>
  </si>
  <si>
    <t>KH03386</t>
  </si>
  <si>
    <t>Ricardo Aoki</t>
  </si>
  <si>
    <t>KH02953</t>
  </si>
  <si>
    <t>Morita Heitor</t>
  </si>
  <si>
    <t>KH01362</t>
  </si>
  <si>
    <t>William Richard Espadin Shimabukuro</t>
  </si>
  <si>
    <t>KH01711</t>
  </si>
  <si>
    <t>Boyet C. Carlos</t>
  </si>
  <si>
    <t>KH01629</t>
  </si>
  <si>
    <t>Hoàng Dũng</t>
  </si>
  <si>
    <t>KH03382</t>
  </si>
  <si>
    <t>Troy Otto</t>
  </si>
  <si>
    <t>KH00686</t>
  </si>
  <si>
    <t>Nguyễn Phụng</t>
  </si>
  <si>
    <t>KH01687</t>
  </si>
  <si>
    <t>Aiko Seiya Velez</t>
  </si>
  <si>
    <t>KH02015</t>
  </si>
  <si>
    <t>Franz Myk Odreiced</t>
  </si>
  <si>
    <t>U00007856542</t>
  </si>
  <si>
    <t>KH02391</t>
  </si>
  <si>
    <t>Awah Rita</t>
  </si>
  <si>
    <t>KH02087</t>
  </si>
  <si>
    <t>Arlene Uy Rodrigo</t>
  </si>
  <si>
    <t>U00007817246</t>
  </si>
  <si>
    <t>KH02032</t>
  </si>
  <si>
    <t>Shoujie Tao</t>
  </si>
  <si>
    <t>U00007850853</t>
  </si>
  <si>
    <t>KH01498</t>
  </si>
  <si>
    <t>Jobs R Us</t>
  </si>
  <si>
    <t>KH01884</t>
  </si>
  <si>
    <t>Prasanna Meepe</t>
  </si>
  <si>
    <t>KH01926</t>
  </si>
  <si>
    <t>Paul Clyde Faustorilla</t>
  </si>
  <si>
    <t>KH02079</t>
  </si>
  <si>
    <t>Gbc Lakmal</t>
  </si>
  <si>
    <t>U00007855237</t>
  </si>
  <si>
    <t>KH01914</t>
  </si>
  <si>
    <t>Lina Ben</t>
  </si>
  <si>
    <t>KH02714</t>
  </si>
  <si>
    <t>Muhammad Usman Khanana</t>
  </si>
  <si>
    <t>KH01870</t>
  </si>
  <si>
    <t>सुबेदि सुदर्शन</t>
  </si>
  <si>
    <t>U00007861619</t>
  </si>
  <si>
    <t>KH03397</t>
  </si>
  <si>
    <t>Dumindu J Rajapaksha</t>
  </si>
  <si>
    <t>KH03440</t>
  </si>
  <si>
    <t>Dreads Shevo</t>
  </si>
  <si>
    <t>U00007852986</t>
  </si>
  <si>
    <t>U00007826902</t>
  </si>
  <si>
    <t>KH03451</t>
  </si>
  <si>
    <t>Dang Vizcarra- de Leon</t>
  </si>
  <si>
    <t>U00007885523</t>
  </si>
  <si>
    <t>U00007858451</t>
  </si>
  <si>
    <t>KH03427</t>
  </si>
  <si>
    <t>Sagun Magleo Jayven</t>
  </si>
  <si>
    <t>U00007856598</t>
  </si>
  <si>
    <t>KH03446</t>
  </si>
  <si>
    <t>Ferndo Acero</t>
  </si>
  <si>
    <t>KH03460</t>
  </si>
  <si>
    <t>シェイン ゴンザレス</t>
  </si>
  <si>
    <t>U00007884526</t>
  </si>
  <si>
    <t>U00007885676</t>
  </si>
  <si>
    <t>KH03455</t>
  </si>
  <si>
    <t>Yohan Randika</t>
  </si>
  <si>
    <t>U00007854720</t>
  </si>
  <si>
    <t>KH02334</t>
  </si>
  <si>
    <t>ARIDA ANABEL TIAM</t>
  </si>
  <si>
    <t>KH03465</t>
  </si>
  <si>
    <t>ファビアン バロン</t>
  </si>
  <si>
    <t>KH01816</t>
  </si>
  <si>
    <t>Gina Batobato</t>
  </si>
  <si>
    <t>KH02650</t>
  </si>
  <si>
    <t>Shrestha Kumar</t>
  </si>
  <si>
    <t>KH02156</t>
  </si>
  <si>
    <t>Trần Nhàn</t>
  </si>
  <si>
    <t>KH03421</t>
  </si>
  <si>
    <t>Patrick Gerald Matre</t>
  </si>
  <si>
    <t>U00007868674</t>
  </si>
  <si>
    <t>U00007857618</t>
  </si>
  <si>
    <t>KH03422</t>
  </si>
  <si>
    <t>An Is</t>
  </si>
  <si>
    <t>U00007857297</t>
  </si>
  <si>
    <t>KH02589</t>
  </si>
  <si>
    <t>Gremar Patimo</t>
  </si>
  <si>
    <t>KH02859</t>
  </si>
  <si>
    <t>Jaiworkshop Jaijai</t>
  </si>
  <si>
    <t>KH03484</t>
  </si>
  <si>
    <t>Qazi Noor Muhammad</t>
  </si>
  <si>
    <t>KH03492</t>
  </si>
  <si>
    <t>Che Che</t>
  </si>
  <si>
    <t>KH01541</t>
  </si>
  <si>
    <t>Gersie Suemitsu</t>
  </si>
  <si>
    <t>KH01839</t>
  </si>
  <si>
    <t>Carsper Ong</t>
  </si>
  <si>
    <t>KH02808</t>
  </si>
  <si>
    <t>Rabin Magar</t>
  </si>
  <si>
    <t>KH00156</t>
  </si>
  <si>
    <t>Phi Tran</t>
  </si>
  <si>
    <t>KH00387</t>
  </si>
  <si>
    <t>Thuyết Tộ</t>
  </si>
  <si>
    <t>KH03448</t>
  </si>
  <si>
    <t>田中 じゃいめ</t>
  </si>
  <si>
    <t>KH02841</t>
  </si>
  <si>
    <t>Dixcie Dusan Torrez Sejas</t>
  </si>
  <si>
    <t>U00007868584</t>
  </si>
  <si>
    <t>KH00530</t>
  </si>
  <si>
    <t>Huy Sở</t>
  </si>
  <si>
    <t>KH00545</t>
  </si>
  <si>
    <t>Đỗ Thành</t>
  </si>
  <si>
    <t>KH01706</t>
  </si>
  <si>
    <t>ADIGUNA SETYABUDI様</t>
  </si>
  <si>
    <t>KH01521</t>
  </si>
  <si>
    <t>KH00873</t>
  </si>
  <si>
    <t>Dương Thị Kiều Ngân</t>
  </si>
  <si>
    <t>KH00915</t>
  </si>
  <si>
    <t>Nguyễn Hữu Bắc</t>
  </si>
  <si>
    <t>KH00866</t>
  </si>
  <si>
    <t>Trung Đức 2</t>
  </si>
  <si>
    <t>Nguyễn Huy</t>
  </si>
  <si>
    <t>KH00823</t>
  </si>
  <si>
    <t>Thùy Dương</t>
  </si>
  <si>
    <t>KH00419</t>
  </si>
  <si>
    <t>KH01725</t>
  </si>
  <si>
    <t>Nguyễn Chi</t>
  </si>
  <si>
    <t xml:space="preserve"> THU </t>
  </si>
  <si>
    <t xml:space="preserve"> CHI </t>
  </si>
  <si>
    <t>ＫＡＭＩＴＡＮＩ</t>
  </si>
  <si>
    <t>ＲＡＪＡＰＡＫＳ</t>
  </si>
  <si>
    <t>ＭＵＮＡＭＢＡＭ</t>
  </si>
  <si>
    <t>ＨＯＳＳＡＩＮ</t>
  </si>
  <si>
    <t>ＲＩＢＥＩＲＯ</t>
  </si>
  <si>
    <t>ｶ)ｼ-ｷﾔｽﾄ</t>
  </si>
  <si>
    <t>通 帳</t>
  </si>
  <si>
    <t>ﾎｱﾝ ﾃｲ ﾎｱ</t>
  </si>
  <si>
    <t>ＭＩＡ ＳＵＪＡ</t>
  </si>
  <si>
    <t>ＮＥＰＡＬＩ Ｓ</t>
  </si>
  <si>
    <t>ＴＯＹＯＤＡ Ｔ</t>
  </si>
  <si>
    <t>ＴＯＹＯＮＡＧＡ</t>
  </si>
  <si>
    <t>ＢＡＵＴＩＳＴＡ</t>
  </si>
  <si>
    <t>ｱﾗｲ ｷﾖｱｷ</t>
  </si>
  <si>
    <t>ＫＯＵＥＭＥＮＩ</t>
  </si>
  <si>
    <t>ﾊｶﾞ ﾁｱｷ</t>
  </si>
  <si>
    <t>ＳＵＹＡＬ ＧＡ</t>
  </si>
  <si>
    <t>ﾐﾔｻｶ ﾐｹﾞ-ﾙ</t>
  </si>
  <si>
    <t>ＴＡＫＡＨＡＳＨ</t>
  </si>
  <si>
    <t>U00007812864</t>
  </si>
  <si>
    <t>U00007813154</t>
  </si>
  <si>
    <t>U00007803873</t>
  </si>
  <si>
    <t>U00007786628</t>
  </si>
  <si>
    <t>U00007827399</t>
  </si>
  <si>
    <t>U00007819758</t>
  </si>
  <si>
    <t>U00007834092</t>
  </si>
  <si>
    <t>U00007829188</t>
  </si>
  <si>
    <t>U00007837117</t>
  </si>
  <si>
    <t>U00007849155</t>
  </si>
  <si>
    <t>U00007821914</t>
  </si>
  <si>
    <t>U00007825197</t>
  </si>
  <si>
    <t>BÁO CÁO TIỀN THU VỀ TÀI KHOẢN THÁNG 7.2026/Collections received in July</t>
  </si>
  <si>
    <t>ＤＵＯＮＧ ＶＡ</t>
  </si>
  <si>
    <t>ＬＥ ＴＨＩ Ｓ</t>
  </si>
  <si>
    <t>ＳＡＮＣＨＥＺ</t>
  </si>
  <si>
    <t>ＬＵＯＮＧ ＶＡ</t>
  </si>
  <si>
    <t>81961912863ﾆﾂ</t>
  </si>
  <si>
    <t>81961912631ﾆﾂ</t>
  </si>
  <si>
    <t>81961912955ﾆﾂ</t>
  </si>
  <si>
    <t>81961912642ﾆﾂ</t>
  </si>
  <si>
    <t>81961912885ﾆﾂ</t>
  </si>
  <si>
    <t>81961912701ﾆﾂ</t>
  </si>
  <si>
    <t>81961912826ﾆﾂ</t>
  </si>
  <si>
    <t>81961912900ﾆﾂ</t>
  </si>
  <si>
    <t>81961912981ﾆﾂ</t>
  </si>
  <si>
    <t>81961912771ﾆﾂ</t>
  </si>
  <si>
    <t>81961912911ﾆﾂ</t>
  </si>
  <si>
    <t>81961913191ﾆﾂ</t>
  </si>
  <si>
    <t>81961912944ﾆﾂ</t>
  </si>
  <si>
    <t>81961913062ﾆﾂ</t>
  </si>
  <si>
    <t>81961912966ﾆﾂ</t>
  </si>
  <si>
    <t>81961913003ﾆﾂ</t>
  </si>
  <si>
    <t>81961913036ﾆﾂ</t>
  </si>
  <si>
    <t>81961912815ﾆﾂ</t>
  </si>
  <si>
    <t>ＴＲＩＮＨ ＤＡ</t>
  </si>
  <si>
    <t>ｶｳﾝ ﾐﾔﾂ ｻﾝ</t>
  </si>
  <si>
    <t>ＰＨＡＭ ＢＡ</t>
  </si>
  <si>
    <t>81961913025ﾆﾂ</t>
  </si>
  <si>
    <t>81961912896ﾆﾂ</t>
  </si>
  <si>
    <t>81961913073ﾆﾂ</t>
  </si>
  <si>
    <t>ﾊﾟﾗｼﾞﾔﾊﾟﾃｲ ﾑｹ</t>
  </si>
  <si>
    <t>81961912255ﾆﾂ</t>
  </si>
  <si>
    <t>81961912970ﾆﾂ</t>
  </si>
  <si>
    <t>81961913040ﾆﾂ</t>
  </si>
  <si>
    <t>81961912992ﾆﾂ</t>
  </si>
  <si>
    <t>81961913051ﾆﾂ</t>
  </si>
  <si>
    <t>81961910531ﾆﾂ</t>
  </si>
  <si>
    <t>81961913143ﾆﾂ</t>
  </si>
  <si>
    <t>81961913095ﾆﾂ</t>
  </si>
  <si>
    <t>ＬＥ ＴＨＩ Ｃ</t>
  </si>
  <si>
    <t>ﾀﾞﾝ ｺﾝｱﾝ</t>
  </si>
  <si>
    <t>ＰＡＮＧＩＬＩＮ</t>
  </si>
  <si>
    <t>81961910564ﾆﾂ</t>
  </si>
  <si>
    <t>81961912244ﾆﾂ</t>
  </si>
  <si>
    <t>81961910542ﾆﾂ</t>
  </si>
  <si>
    <t>81961910575ﾆﾂ</t>
  </si>
  <si>
    <t>81961913084ﾆﾂ</t>
  </si>
  <si>
    <t>81961912266ﾆﾂ</t>
  </si>
  <si>
    <t>81961912325ﾆﾂ</t>
  </si>
  <si>
    <t>81961913176ﾆﾂ</t>
  </si>
  <si>
    <t>81961913121ﾆﾂ</t>
  </si>
  <si>
    <t>81961912303ﾆﾂ</t>
  </si>
  <si>
    <t>81961913165ﾆﾂ</t>
  </si>
  <si>
    <t>ＬＥ ＶＡＮ Ｌ</t>
  </si>
  <si>
    <t>81961910516ﾆﾂ</t>
  </si>
  <si>
    <t>81961910601ﾆﾂ</t>
  </si>
  <si>
    <t>81961912270ﾆﾂ</t>
  </si>
  <si>
    <t>81961912314ﾆﾂ</t>
  </si>
  <si>
    <t>81961912281ﾆﾂ</t>
  </si>
  <si>
    <t>ＡＵＮＧ ＴＨＥ</t>
  </si>
  <si>
    <t>TB11313</t>
  </si>
  <si>
    <t>81961910553ﾆﾂ</t>
  </si>
  <si>
    <t>81961910623ﾆﾂ</t>
  </si>
  <si>
    <t>81961912152ﾆﾂ</t>
  </si>
  <si>
    <t>81961912174ﾆﾂ</t>
  </si>
  <si>
    <t>81961912292ﾆﾂ</t>
  </si>
  <si>
    <t>81961913154ﾆﾂ</t>
  </si>
  <si>
    <t>81961912126ﾆﾂ</t>
  </si>
  <si>
    <t>711072664433ﾆ</t>
  </si>
  <si>
    <t>81961912211ﾆﾂ</t>
  </si>
  <si>
    <t>711072664466ﾆ</t>
  </si>
  <si>
    <t>81961910612ﾆﾂ</t>
  </si>
  <si>
    <t>81961910671ﾆﾂ</t>
  </si>
  <si>
    <t>81961912233ﾆﾂ</t>
  </si>
  <si>
    <t>81961913014ﾆﾂ</t>
  </si>
  <si>
    <t>711072664470ﾆ</t>
  </si>
  <si>
    <t>81961912185ﾆﾂ</t>
  </si>
  <si>
    <t>711072664444ﾆ</t>
  </si>
  <si>
    <t>81961912222ﾆﾂ</t>
  </si>
  <si>
    <t>81961910645ﾆﾂ</t>
  </si>
  <si>
    <t>81961910726ﾆﾂ</t>
  </si>
  <si>
    <t>81961910730ﾆﾂ</t>
  </si>
  <si>
    <t>81961910682ﾆﾂ</t>
  </si>
  <si>
    <t>81961910752ﾆﾂ</t>
  </si>
  <si>
    <t>ﾀｶﾊｼ ｽﾞｲｶｸ</t>
  </si>
  <si>
    <t>ＮＡＮＧＡ ＥＭ</t>
  </si>
  <si>
    <t>ＭＡＲＡＮ ＷＩ</t>
  </si>
  <si>
    <t>ｳﾞ- ｳﾞｱﾝ ﾌﾝ</t>
  </si>
  <si>
    <t>ＴＯＮＧ ＴＨＩ</t>
  </si>
  <si>
    <t>ＥＤＷＩＮ ＫＵ</t>
  </si>
  <si>
    <t>ＤＡＮＧ ＨＯＮ</t>
  </si>
  <si>
    <t>81961910656ﾆﾂ</t>
  </si>
  <si>
    <t>81961912163ﾆﾂ</t>
  </si>
  <si>
    <t>81961910763ﾆﾂ</t>
  </si>
  <si>
    <t>81961910693ﾆﾂ</t>
  </si>
  <si>
    <t>81961910586ﾆﾂ</t>
  </si>
  <si>
    <t>81961910715ﾆﾂ</t>
  </si>
  <si>
    <t>81961910855ﾆﾂ</t>
  </si>
  <si>
    <t>81961910811ﾆﾂ</t>
  </si>
  <si>
    <t>81961912115ﾆﾂ</t>
  </si>
  <si>
    <t>81961910822ﾆﾂ</t>
  </si>
  <si>
    <t>81961910590ﾆﾂ</t>
  </si>
  <si>
    <t>81961912071ﾆﾂ</t>
  </si>
  <si>
    <t>1.002.602</t>
  </si>
  <si>
    <t>ｱﾊﾏﾂﾄﾞ ﾏﾊﾑ-ﾄﾞ</t>
  </si>
  <si>
    <t>1.003.102</t>
  </si>
  <si>
    <t>ＤＵＯＮＧ ＱＵ</t>
  </si>
  <si>
    <t>1.014.652</t>
  </si>
  <si>
    <t>ＡＲＳＡＮ ＡＢ</t>
  </si>
  <si>
    <t>1.018.652</t>
  </si>
  <si>
    <t>1.019.145</t>
  </si>
  <si>
    <t>1.026.845</t>
  </si>
  <si>
    <t>81961912034ﾆﾂ</t>
  </si>
  <si>
    <t>1.030.142</t>
  </si>
  <si>
    <t>81961912045ﾆﾂ</t>
  </si>
  <si>
    <t>1.036.129</t>
  </si>
  <si>
    <t>81961912104ﾆﾂ</t>
  </si>
  <si>
    <t>1.041.346</t>
  </si>
  <si>
    <t>81961910844ﾆﾂ</t>
  </si>
  <si>
    <t>1.044.643</t>
  </si>
  <si>
    <t>81961910800ﾆﾂ</t>
  </si>
  <si>
    <t>1.048.440</t>
  </si>
  <si>
    <t>81961912060ﾆﾂ</t>
  </si>
  <si>
    <t>1.052.230</t>
  </si>
  <si>
    <t>81961912056ﾆﾂ</t>
  </si>
  <si>
    <t>1.055.522</t>
  </si>
  <si>
    <t>ｶｵ ﾃｲ ｺﾞﾂｸ ﾗﾝ</t>
  </si>
  <si>
    <t>1.062.722</t>
  </si>
  <si>
    <t>ＫＩＲＩＷＩＴＡ</t>
  </si>
  <si>
    <t>1.066.722</t>
  </si>
  <si>
    <t>ＢＵＩ ＬＯＮＧ</t>
  </si>
  <si>
    <t>1.074.422</t>
  </si>
  <si>
    <t>1.081.272</t>
  </si>
  <si>
    <t>81961910785ﾆﾂ</t>
  </si>
  <si>
    <t>1.087.542</t>
  </si>
  <si>
    <t>81961910796ﾆﾂ</t>
  </si>
  <si>
    <t>1.092.757</t>
  </si>
  <si>
    <t>81961910704ﾆﾂ</t>
  </si>
  <si>
    <t>1.096.047</t>
  </si>
  <si>
    <t>81961911021ﾆﾂ</t>
  </si>
  <si>
    <t>1.102.032</t>
  </si>
  <si>
    <t>81961910833ﾆﾂ</t>
  </si>
  <si>
    <t>1.107.247</t>
  </si>
  <si>
    <t>81961910903ﾆﾂ</t>
  </si>
  <si>
    <t>1.111.537</t>
  </si>
  <si>
    <t>81961910936ﾆﾂ</t>
  </si>
  <si>
    <t>1.116.229</t>
  </si>
  <si>
    <t>81961912093ﾆﾂ</t>
  </si>
  <si>
    <t>1.121.446</t>
  </si>
  <si>
    <t>81961910892ﾆﾂ</t>
  </si>
  <si>
    <t>1.125.736</t>
  </si>
  <si>
    <t>81961913110ﾆﾂ</t>
  </si>
  <si>
    <t>1.131.721</t>
  </si>
  <si>
    <t>1.134.321</t>
  </si>
  <si>
    <t>ｳﾞｵ-ﾃｲﾀｲﾝﾋｴﾝ</t>
  </si>
  <si>
    <t>1.144.321</t>
  </si>
  <si>
    <t>1.148.171</t>
  </si>
  <si>
    <t>1.148.824</t>
  </si>
  <si>
    <t>1.152.674</t>
  </si>
  <si>
    <t>1.155.474</t>
  </si>
  <si>
    <t>1.159.324</t>
  </si>
  <si>
    <t>ＭＢＡＹＥ ＭＡ</t>
  </si>
  <si>
    <t>1.161.324</t>
  </si>
  <si>
    <t>1.165.174</t>
  </si>
  <si>
    <t>1.167.570</t>
  </si>
  <si>
    <t>1.171.420</t>
  </si>
  <si>
    <t>1.175.270</t>
  </si>
  <si>
    <t>1.186.820</t>
  </si>
  <si>
    <t>山田 アリーナ</t>
  </si>
  <si>
    <t>1.188.820</t>
  </si>
  <si>
    <t>1.192.670</t>
  </si>
  <si>
    <t>1.194.183</t>
  </si>
  <si>
    <t>1.198.033</t>
  </si>
  <si>
    <t>1.201.883</t>
  </si>
  <si>
    <t>1.205.733</t>
  </si>
  <si>
    <t>1.209.583</t>
  </si>
  <si>
    <t>1.213.433</t>
  </si>
  <si>
    <t>1.221.833</t>
  </si>
  <si>
    <t>1.225.683</t>
  </si>
  <si>
    <t>1.229.533</t>
  </si>
  <si>
    <t>1.233.383</t>
  </si>
  <si>
    <t>1.237.233</t>
  </si>
  <si>
    <t>ＴＲＡＮ ＫＨＵ</t>
  </si>
  <si>
    <t>1.239.233</t>
  </si>
  <si>
    <t>1.243.083</t>
  </si>
  <si>
    <t>1.249.933</t>
  </si>
  <si>
    <t>1.256.783</t>
  </si>
  <si>
    <t>1.260.633</t>
  </si>
  <si>
    <t>1.264.483</t>
  </si>
  <si>
    <t>PHAM THUAN</t>
  </si>
  <si>
    <t>1.271.333</t>
  </si>
  <si>
    <t>ＭＩＮ ＡＵＮＧ</t>
  </si>
  <si>
    <t>1.275.183</t>
  </si>
  <si>
    <t>ＶＵ ＴＨＡＮＨ</t>
  </si>
  <si>
    <t>1.282.033</t>
  </si>
  <si>
    <t>ＤＯ ＴＨＡＮＨ</t>
  </si>
  <si>
    <t>1.288.883</t>
  </si>
  <si>
    <t>1.292.733</t>
  </si>
  <si>
    <t>ｳｲﾝ ﾐｲﾝ ﾄﾝ</t>
  </si>
  <si>
    <t>1.300.433</t>
  </si>
  <si>
    <t>81961910774ﾆﾂ</t>
  </si>
  <si>
    <t>1.304.723</t>
  </si>
  <si>
    <t>81961910995ﾆﾂ</t>
  </si>
  <si>
    <t>1.308.020</t>
  </si>
  <si>
    <t>81961910925ﾆﾂ</t>
  </si>
  <si>
    <t>1.312.777</t>
  </si>
  <si>
    <t>81961911032ﾆﾂ</t>
  </si>
  <si>
    <t>1.316.069</t>
  </si>
  <si>
    <t>81961910940ﾆﾂ</t>
  </si>
  <si>
    <t>1.319.366</t>
  </si>
  <si>
    <t>81961910962ﾆﾂ</t>
  </si>
  <si>
    <t>1.326.456</t>
  </si>
  <si>
    <t>81961911861ﾆﾂ</t>
  </si>
  <si>
    <t>1.331.146</t>
  </si>
  <si>
    <t>81961910984ﾆﾂ</t>
  </si>
  <si>
    <t>1.336.396</t>
  </si>
  <si>
    <t>81961911054ﾆﾂ</t>
  </si>
  <si>
    <t>1.342.688</t>
  </si>
  <si>
    <t>81961911953ﾆﾂ</t>
  </si>
  <si>
    <t>1.347.903</t>
  </si>
  <si>
    <t>81961911846ﾆﾂ</t>
  </si>
  <si>
    <t>1.351.200</t>
  </si>
  <si>
    <t>81961911905ﾆﾂ</t>
  </si>
  <si>
    <t>1.354.497</t>
  </si>
  <si>
    <t>81961911975ﾆﾂ</t>
  </si>
  <si>
    <t>1.358.787</t>
  </si>
  <si>
    <t>81961911916ﾆﾂ</t>
  </si>
  <si>
    <t>1.364.002</t>
  </si>
  <si>
    <t>81961911920ﾆﾂ</t>
  </si>
  <si>
    <t>1.369.217</t>
  </si>
  <si>
    <t>81961912012ﾆﾂ</t>
  </si>
  <si>
    <t>1.375.014</t>
  </si>
  <si>
    <t>81961911931ﾆﾂ</t>
  </si>
  <si>
    <t>1.378.311</t>
  </si>
  <si>
    <t>81961911986ﾆﾂ</t>
  </si>
  <si>
    <t>1.383.526</t>
  </si>
  <si>
    <t>81961911220ﾆﾂ</t>
  </si>
  <si>
    <t>1.384.816</t>
  </si>
  <si>
    <t>81961912001ﾆﾂ</t>
  </si>
  <si>
    <t>1.390.613</t>
  </si>
  <si>
    <t>81961910881ﾆﾂ</t>
  </si>
  <si>
    <t>1.393.910</t>
  </si>
  <si>
    <t>81961911231ﾆﾂ</t>
  </si>
  <si>
    <t>1.398.200</t>
  </si>
  <si>
    <t>81961910951ﾆﾂ</t>
  </si>
  <si>
    <t>1.403.415</t>
  </si>
  <si>
    <t>81961911043ﾆﾂ</t>
  </si>
  <si>
    <t>1.408.630</t>
  </si>
  <si>
    <t>81961911010ﾆﾂ</t>
  </si>
  <si>
    <t>1.414.427</t>
  </si>
  <si>
    <t>81961911150ﾆﾂ</t>
  </si>
  <si>
    <t>1.417.724</t>
  </si>
  <si>
    <t>81961911850ﾆﾂ</t>
  </si>
  <si>
    <t>1.421.021</t>
  </si>
  <si>
    <t>81961911990ﾆﾂ</t>
  </si>
  <si>
    <t>1.427.313</t>
  </si>
  <si>
    <t>81961911006ﾆﾂ</t>
  </si>
  <si>
    <t>1.433.110</t>
  </si>
  <si>
    <t>81961911065ﾆﾂ</t>
  </si>
  <si>
    <t>1.437.867</t>
  </si>
  <si>
    <t>81961911242ﾆﾂ</t>
  </si>
  <si>
    <t>1.442.557</t>
  </si>
  <si>
    <t>81961911872ﾆﾂ</t>
  </si>
  <si>
    <t>1.445.854</t>
  </si>
  <si>
    <t>81961911894ﾆﾂ</t>
  </si>
  <si>
    <t>1.449.151</t>
  </si>
  <si>
    <t>1.453.921</t>
  </si>
  <si>
    <t>ＤＡＵ ＢＡ Ｃ</t>
  </si>
  <si>
    <t>1.460.771</t>
  </si>
  <si>
    <t>TB11504</t>
  </si>
  <si>
    <t>1.464.621</t>
  </si>
  <si>
    <t>ﾁﾔﾝ ｸｱﾝ ﾛﾝ</t>
  </si>
  <si>
    <t>1.471.471</t>
  </si>
  <si>
    <t>1.477.271</t>
  </si>
  <si>
    <t>1.481.121</t>
  </si>
  <si>
    <t>ＮＧＵＹＥＮ Ａ</t>
  </si>
  <si>
    <t>1.483.519</t>
  </si>
  <si>
    <t>ＤＩＮＨ ＸＵＡ</t>
  </si>
  <si>
    <t>1.487.369</t>
  </si>
  <si>
    <t>1.491.369</t>
  </si>
  <si>
    <t>1.495.219</t>
  </si>
  <si>
    <t>1.499.069</t>
  </si>
  <si>
    <t>81961911102ﾆﾂ</t>
  </si>
  <si>
    <t>1.504.286</t>
  </si>
  <si>
    <t>81961911216ﾆﾂ</t>
  </si>
  <si>
    <t>1.510.578</t>
  </si>
  <si>
    <t>1.513.378</t>
  </si>
  <si>
    <t>ＫＯＥＤＰＯＭ</t>
  </si>
  <si>
    <t>1.524.878</t>
  </si>
  <si>
    <t>ｳ ﾐﾝ</t>
  </si>
  <si>
    <t>ＴＲＩＥＵ ＨＯ</t>
  </si>
  <si>
    <t>ｸﾞｴﾝ ﾄﾞｳﾂｸ ﾄｳ</t>
  </si>
  <si>
    <t>ＣＡＯ ＸＵＡＮ</t>
  </si>
  <si>
    <t>ＶＵ ＶＡＮ Ｔ</t>
  </si>
  <si>
    <t>ﾀﾞﾝ ﾃｲ ｷﾑ ﾌｵﾝ</t>
  </si>
  <si>
    <t>ＰＨＡＭ ＤＩＮ</t>
  </si>
  <si>
    <t>ＤＯ ＣＨＩ Ｎ</t>
  </si>
  <si>
    <t>ＷＡＩ ＰＨＯＮ</t>
  </si>
  <si>
    <t>81961911080ﾆﾂ</t>
  </si>
  <si>
    <t>81961911113ﾆﾂ</t>
  </si>
  <si>
    <t>81961911253ﾆﾂ</t>
  </si>
  <si>
    <t>81961911183ﾆﾂ</t>
  </si>
  <si>
    <t>81961911286ﾆﾂ</t>
  </si>
  <si>
    <t>81961911290ﾆﾂ</t>
  </si>
  <si>
    <t>81961911780ﾆﾂ</t>
  </si>
  <si>
    <t>81961911835ﾆﾂ</t>
  </si>
  <si>
    <t>81961911824ﾆﾂ</t>
  </si>
  <si>
    <t>81961911776ﾆﾂ</t>
  </si>
  <si>
    <t>81961911883ﾆﾂ</t>
  </si>
  <si>
    <t>TB12002</t>
  </si>
  <si>
    <t>ＤＯ ＶＡＮ Ｈ</t>
  </si>
  <si>
    <t>ＶＵ ＭＡＮＨ</t>
  </si>
  <si>
    <t>ＭＹＡＴ ＴＨＩ</t>
  </si>
  <si>
    <t>TB11932</t>
  </si>
  <si>
    <t>81961911732ﾆﾂ</t>
  </si>
  <si>
    <t>81961911264ﾆﾂ</t>
  </si>
  <si>
    <t>81961911205ﾆﾂ</t>
  </si>
  <si>
    <t>81961911754ﾆﾂ</t>
  </si>
  <si>
    <t>81961911275ﾆﾂ</t>
  </si>
  <si>
    <t>81961911124ﾆﾂ</t>
  </si>
  <si>
    <t>81961911813ﾆﾂ</t>
  </si>
  <si>
    <t>81961911791ﾆﾂ</t>
  </si>
  <si>
    <t>ＬＥ ＴＡＮ Ｌ</t>
  </si>
  <si>
    <t>TB12192</t>
  </si>
  <si>
    <t>ｳﾞｵ- ｸｱﾝ ﾁﾕｵﾝ</t>
  </si>
  <si>
    <t>ＫＨＡＩＮＧ Ｍ</t>
  </si>
  <si>
    <t>ＴＲＵＯＮＧ Ｍ</t>
  </si>
  <si>
    <t>小武 将士</t>
  </si>
  <si>
    <t>WIFI</t>
  </si>
  <si>
    <t>ＰＩＭＢＯＷＴＵ</t>
  </si>
  <si>
    <t>TB11362</t>
  </si>
  <si>
    <t>81961911301ﾆﾂ</t>
  </si>
  <si>
    <t>81961911356ﾆﾂ</t>
  </si>
  <si>
    <t>81961911382ﾆﾂ</t>
  </si>
  <si>
    <t>81961911334ﾆﾂ</t>
  </si>
  <si>
    <t>81961911091ﾆﾂ</t>
  </si>
  <si>
    <t>81961911802ﾆﾂ</t>
  </si>
  <si>
    <t>81961911312ﾆﾂ</t>
  </si>
  <si>
    <t>81961911371ﾆﾂ</t>
  </si>
  <si>
    <t>81961911393ﾆﾂ</t>
  </si>
  <si>
    <t>ｱﾃﾞｲ</t>
  </si>
  <si>
    <t>ｵﾑｲﾙﾜﾝ</t>
  </si>
  <si>
    <t>ﾄﾞｱﾝ ｳﾞｱﾝ ﾀﾝ</t>
  </si>
  <si>
    <t>ＤＯＡＮ ＭＩＮ</t>
  </si>
  <si>
    <t>ＭＡＲＴＩＮＥＺ</t>
  </si>
  <si>
    <t>TB11893</t>
  </si>
  <si>
    <t>TB11815</t>
  </si>
  <si>
    <t>ＤＯ ＶＡＮ Ｔ</t>
  </si>
  <si>
    <t>TB11546</t>
  </si>
  <si>
    <t>TB11727</t>
  </si>
  <si>
    <t>ＬＥ ＱＵＯＣ</t>
  </si>
  <si>
    <t>TB 11677</t>
  </si>
  <si>
    <t>ﾁﾔﾝ ﾃｲ ﾐﾝ ﾊ-</t>
  </si>
  <si>
    <t>ＧＵＡＲＩＮＯ</t>
  </si>
  <si>
    <t>ＷＡＲＮＡＫＵＬ</t>
  </si>
  <si>
    <t>81961911135ﾆﾂ</t>
  </si>
  <si>
    <t>81961911323ﾆﾂ</t>
  </si>
  <si>
    <t>81961911441ﾆﾂ</t>
  </si>
  <si>
    <t>81961911345ﾆﾂ</t>
  </si>
  <si>
    <t>81961911452ﾆﾂ</t>
  </si>
  <si>
    <t>81961911743ﾆﾂ</t>
  </si>
  <si>
    <t>81961911430ﾆﾂ</t>
  </si>
  <si>
    <t>81961911360ﾆﾂ</t>
  </si>
  <si>
    <t>81961911404ﾆﾂ</t>
  </si>
  <si>
    <t>81961911485ﾆﾂ</t>
  </si>
  <si>
    <t>81961911500ﾆﾂ</t>
  </si>
  <si>
    <t>81961911415ﾆﾂ</t>
  </si>
  <si>
    <t>81961911533ﾆﾂ</t>
  </si>
  <si>
    <t>81961911426ﾆﾂ</t>
  </si>
  <si>
    <t>1.000.471</t>
  </si>
  <si>
    <t>81961911522ﾆﾂ</t>
  </si>
  <si>
    <t>1.009.268</t>
  </si>
  <si>
    <t>82061409242ﾆﾂ</t>
  </si>
  <si>
    <t>1.014.485</t>
  </si>
  <si>
    <t>81961911765ﾆﾂ</t>
  </si>
  <si>
    <t>1.023.975</t>
  </si>
  <si>
    <t>81961911544ﾆﾂ</t>
  </si>
  <si>
    <t>1.031.117</t>
  </si>
  <si>
    <t>ﾏﾅﾝﾀﾞﾙ ﾊﾟﾗｽ</t>
  </si>
  <si>
    <t>1.034.967</t>
  </si>
  <si>
    <t>1.041.817</t>
  </si>
  <si>
    <t>1.044.617</t>
  </si>
  <si>
    <t>ＭＩＮ ＫＹＡＷ</t>
  </si>
  <si>
    <t>1.045.117</t>
  </si>
  <si>
    <t>1.048.967</t>
  </si>
  <si>
    <t>ＳＡＬＩＶＡ Ｍ</t>
  </si>
  <si>
    <t>1.052.817</t>
  </si>
  <si>
    <t>1.056.667</t>
  </si>
  <si>
    <t>1.057.320</t>
  </si>
  <si>
    <t>1.060.120</t>
  </si>
  <si>
    <t>ＡＢＩＴ ＪＯＳ</t>
  </si>
  <si>
    <t>1.060.613</t>
  </si>
  <si>
    <t>1.063.413</t>
  </si>
  <si>
    <t>1.067.263</t>
  </si>
  <si>
    <t>1.071.113</t>
  </si>
  <si>
    <t>1.074.963</t>
  </si>
  <si>
    <t>1.078.813</t>
  </si>
  <si>
    <t>1.082.663</t>
  </si>
  <si>
    <t>1.086.513</t>
  </si>
  <si>
    <t>1.090.363</t>
  </si>
  <si>
    <t>1.095.155</t>
  </si>
  <si>
    <t>1.099.005</t>
  </si>
  <si>
    <t>1.102.855</t>
  </si>
  <si>
    <t>1.106.705</t>
  </si>
  <si>
    <t>1.110.555</t>
  </si>
  <si>
    <t>1.114.405</t>
  </si>
  <si>
    <t>ﾚ- ﾃｲ ﾘｴｳ</t>
  </si>
  <si>
    <t>1.118.255</t>
  </si>
  <si>
    <t>1.122.105</t>
  </si>
  <si>
    <t>1.125.955</t>
  </si>
  <si>
    <t>1.128.755</t>
  </si>
  <si>
    <t>1.132.605</t>
  </si>
  <si>
    <t>1.135.405</t>
  </si>
  <si>
    <t>1.138.205</t>
  </si>
  <si>
    <t>1.144.955</t>
  </si>
  <si>
    <t>1.148.805</t>
  </si>
  <si>
    <t>ﾄﾞ)ｼﾞﾔﾊﾟﾝﾀﾞｽ</t>
  </si>
  <si>
    <t>1.152.805</t>
  </si>
  <si>
    <t>ｸﾞｴﾝ ｱｲﾝ ﾊｵ</t>
  </si>
  <si>
    <t>1.159.655</t>
  </si>
  <si>
    <t>1.163.855</t>
  </si>
  <si>
    <t>1.167.855</t>
  </si>
  <si>
    <t>ＳＨＵＮＥ ＰＡ</t>
  </si>
  <si>
    <t>1.170.655</t>
  </si>
  <si>
    <t>TB12292</t>
  </si>
  <si>
    <t>1.174.505</t>
  </si>
  <si>
    <t>ＩＴＯ ＷＩＮＮ</t>
  </si>
  <si>
    <t>1.178.355</t>
  </si>
  <si>
    <t>1.182.205</t>
  </si>
  <si>
    <t>1.186.055</t>
  </si>
  <si>
    <t>1.189.905</t>
  </si>
  <si>
    <t>1.192.705</t>
  </si>
  <si>
    <t>ＷＡＩ ＮＡＩＮ</t>
  </si>
  <si>
    <t>1.194.705</t>
  </si>
  <si>
    <t>1.197.505</t>
  </si>
  <si>
    <t>1.201.355</t>
  </si>
  <si>
    <t>1.204.155</t>
  </si>
  <si>
    <t>TB11522</t>
  </si>
  <si>
    <t>1.206.955</t>
  </si>
  <si>
    <t>ＧＵＴＩＥＲＲＥ</t>
  </si>
  <si>
    <t>1.210.805</t>
  </si>
  <si>
    <t>1.214.655</t>
  </si>
  <si>
    <t>1.218.505</t>
  </si>
  <si>
    <t>TB11488</t>
  </si>
  <si>
    <t>1.222.355</t>
  </si>
  <si>
    <t>1.226.205</t>
  </si>
  <si>
    <t>1.230.055</t>
  </si>
  <si>
    <t>1.233.905</t>
  </si>
  <si>
    <t>1.237.755</t>
  </si>
  <si>
    <t>1.241.605</t>
  </si>
  <si>
    <t>1.242.682</t>
  </si>
  <si>
    <t>ｹﾞﾂﾄｳﾜﾝ ｹﾞﾀﾞﾗ</t>
  </si>
  <si>
    <t>1.246.532</t>
  </si>
  <si>
    <t>1.252.132</t>
  </si>
  <si>
    <t>1.255.982</t>
  </si>
  <si>
    <t>1.258.782</t>
  </si>
  <si>
    <t>1.261.582</t>
  </si>
  <si>
    <t>1.265.432</t>
  </si>
  <si>
    <t>ﾌｱﾝﾁ-ﾘﾝｲﾝﾀ-ﾈﾂ</t>
  </si>
  <si>
    <t>1.269.282</t>
  </si>
  <si>
    <t>1.272.082</t>
  </si>
  <si>
    <t>1.275.932</t>
  </si>
  <si>
    <t>1.279.782</t>
  </si>
  <si>
    <t>1.283.782</t>
  </si>
  <si>
    <t>1.287.632</t>
  </si>
  <si>
    <t>1.291.482</t>
  </si>
  <si>
    <t>1.296.982</t>
  </si>
  <si>
    <t>1.300.832</t>
  </si>
  <si>
    <t>ｶｲ</t>
  </si>
  <si>
    <t>1.304.682</t>
  </si>
  <si>
    <t>1.308.532</t>
  </si>
  <si>
    <t>1.312.382</t>
  </si>
  <si>
    <t>1.317.982</t>
  </si>
  <si>
    <t>ﾚ- ﾜｱﾝ ﾎｱﾝ</t>
  </si>
  <si>
    <t>1.320.782</t>
  </si>
  <si>
    <t>1.324.632</t>
  </si>
  <si>
    <t>ｸﾞｴﾝ ﾄﾞｸ ﾊｲ</t>
  </si>
  <si>
    <t>1.331.482</t>
  </si>
  <si>
    <t>1.335.332</t>
  </si>
  <si>
    <t>81961911463ﾆﾂ</t>
  </si>
  <si>
    <t>1.342.472</t>
  </si>
  <si>
    <t>81961911496ﾆﾂ</t>
  </si>
  <si>
    <t>1.349.612</t>
  </si>
  <si>
    <t>81961911474ﾆﾂ</t>
  </si>
  <si>
    <t>1.355.704</t>
  </si>
  <si>
    <t>81961911555ﾆﾂ</t>
  </si>
  <si>
    <t>1.363.996</t>
  </si>
  <si>
    <t>81961911511ﾆﾂ</t>
  </si>
  <si>
    <t>1.372.288</t>
  </si>
  <si>
    <t>1.376.138</t>
  </si>
  <si>
    <t>1.379.988</t>
  </si>
  <si>
    <t>ﾏﾗﾝ ｳｲﾘｱﾑ</t>
  </si>
  <si>
    <t>1.382.188</t>
  </si>
  <si>
    <t>1.386.038</t>
  </si>
  <si>
    <t>1.397.588</t>
  </si>
  <si>
    <t>1.404.588</t>
  </si>
  <si>
    <t>1.408.438</t>
  </si>
  <si>
    <t>1.412.288</t>
  </si>
  <si>
    <t>1.413.365</t>
  </si>
  <si>
    <t>1.417.215</t>
  </si>
  <si>
    <t>1.421.065</t>
  </si>
  <si>
    <t>1.423.065</t>
  </si>
  <si>
    <t>1.426.915</t>
  </si>
  <si>
    <t>1.431.101</t>
  </si>
  <si>
    <t>ＤＡＮＧ ＴＨＵ</t>
  </si>
  <si>
    <t>1.435.001</t>
  </si>
  <si>
    <t>ＬＥ ＴＨＩ Ｎ</t>
  </si>
  <si>
    <t>1.442.701</t>
  </si>
  <si>
    <t>1.446.551</t>
  </si>
  <si>
    <t>1.450.401</t>
  </si>
  <si>
    <t>ＨＵＹＮＨ ＨＵ</t>
  </si>
  <si>
    <t>1.457.251</t>
  </si>
  <si>
    <t>ＮＡＫＡＭＵＲＡ</t>
  </si>
  <si>
    <t>1.460.051</t>
  </si>
  <si>
    <t>1.463.901</t>
  </si>
  <si>
    <t>1.467.751</t>
  </si>
  <si>
    <t>1.471.601</t>
  </si>
  <si>
    <t>1.475.451</t>
  </si>
  <si>
    <t>1.479.301</t>
  </si>
  <si>
    <t>1.483.151</t>
  </si>
  <si>
    <t>1.487.001</t>
  </si>
  <si>
    <t>1.490.454</t>
  </si>
  <si>
    <t>ＩＮＧＡＬ ＥＤ</t>
  </si>
  <si>
    <t>1.498.504</t>
  </si>
  <si>
    <t>ＴＲＵＯＮＧ Ｘ</t>
  </si>
  <si>
    <t>1.507.704</t>
  </si>
  <si>
    <t>1.511.554</t>
  </si>
  <si>
    <t>1.515.404</t>
  </si>
  <si>
    <t>1.519.254</t>
  </si>
  <si>
    <t>1.523.104</t>
  </si>
  <si>
    <t>1.527.304</t>
  </si>
  <si>
    <t>1.531.154</t>
  </si>
  <si>
    <t>TB12051</t>
  </si>
  <si>
    <t>1.533.954</t>
  </si>
  <si>
    <t>ﾁﾔﾝ ｱﾝ ﾄｳｱﾝ</t>
  </si>
  <si>
    <t>1.537.804</t>
  </si>
  <si>
    <t>1.541.654</t>
  </si>
  <si>
    <t>1.545.504</t>
  </si>
  <si>
    <t>1.549.354</t>
  </si>
  <si>
    <t>1.553.204</t>
  </si>
  <si>
    <t>1.560.054</t>
  </si>
  <si>
    <t>上利 ビクター</t>
  </si>
  <si>
    <t>1.562.854</t>
  </si>
  <si>
    <t>1.565.769</t>
  </si>
  <si>
    <t>ＲＯＭＥＯ ＲＯ</t>
  </si>
  <si>
    <t>1.568.569</t>
  </si>
  <si>
    <t>1.572.419</t>
  </si>
  <si>
    <t>1.580.119</t>
  </si>
  <si>
    <t>ＰＨＡＮ ＤＡＮ</t>
  </si>
  <si>
    <t>1.583.969</t>
  </si>
  <si>
    <t>1.586.769</t>
  </si>
  <si>
    <t>1.590.619</t>
  </si>
  <si>
    <t>1.594.469</t>
  </si>
  <si>
    <t>1.598.319</t>
  </si>
  <si>
    <t>ＭＡＣ ＤＩＮＨ</t>
  </si>
  <si>
    <t>1.602.169</t>
  </si>
  <si>
    <t>ｸﾞｴﾝ ﾃｲ ﾊﾞﾂｸ</t>
  </si>
  <si>
    <t>1.604.969</t>
  </si>
  <si>
    <t>1.611.969</t>
  </si>
  <si>
    <t>ＫＩＭ ＴＨＩ</t>
  </si>
  <si>
    <t>1.615.819</t>
  </si>
  <si>
    <t>1.623.669</t>
  </si>
  <si>
    <t>1.627.519</t>
  </si>
  <si>
    <t>1.638.219</t>
  </si>
  <si>
    <t>1.645.919</t>
  </si>
  <si>
    <t>ﾃﾞﾗｸﾙ-ｽﾞ ﾏﾘｱﾝ</t>
  </si>
  <si>
    <t>1.653.619</t>
  </si>
  <si>
    <t>1.655.712</t>
  </si>
  <si>
    <t>1.659.562</t>
  </si>
  <si>
    <t>1.663.412</t>
  </si>
  <si>
    <t>1.667.262</t>
  </si>
  <si>
    <t>1.674.962</t>
  </si>
  <si>
    <t>1.681.962</t>
  </si>
  <si>
    <t>1.684.762</t>
  </si>
  <si>
    <t>1.688.762</t>
  </si>
  <si>
    <t>1.690.762</t>
  </si>
  <si>
    <t>1.694.612</t>
  </si>
  <si>
    <t>1.701.462</t>
  </si>
  <si>
    <t>1.705.312</t>
  </si>
  <si>
    <t>TB11863</t>
  </si>
  <si>
    <t>1.709.162</t>
  </si>
  <si>
    <t>81961911592ﾆﾂ</t>
  </si>
  <si>
    <t>1.717.959</t>
  </si>
  <si>
    <t>81961911566ﾆﾂ</t>
  </si>
  <si>
    <t>1.721.756</t>
  </si>
  <si>
    <t>81961911625ﾆﾂ</t>
  </si>
  <si>
    <t>1.725.053</t>
  </si>
  <si>
    <t>81961911614ﾆﾂ</t>
  </si>
  <si>
    <t>1.732.193</t>
  </si>
  <si>
    <t>81961911640ﾆﾂ</t>
  </si>
  <si>
    <t>1.739.333</t>
  </si>
  <si>
    <t>81961911651ﾆﾂ</t>
  </si>
  <si>
    <t>1.744.930</t>
  </si>
  <si>
    <t>81961911662ﾆﾂ</t>
  </si>
  <si>
    <t>1.749.220</t>
  </si>
  <si>
    <t>81961911673ﾆﾂ</t>
  </si>
  <si>
    <t>1.756.360</t>
  </si>
  <si>
    <t>1.760.210</t>
  </si>
  <si>
    <t>ﾌｱﾝ ｳﾞｱﾝ ﾋｴﾝ</t>
  </si>
  <si>
    <t>1.764.210</t>
  </si>
  <si>
    <t>1.770.535</t>
  </si>
  <si>
    <t>ＴＡＫＥＩ ＣＯ</t>
  </si>
  <si>
    <t>1.773.535</t>
  </si>
  <si>
    <t>1.780.385</t>
  </si>
  <si>
    <t>小南 ジュディツ</t>
  </si>
  <si>
    <t>1.787.185</t>
  </si>
  <si>
    <t>1.789.110</t>
  </si>
  <si>
    <t>ＮＩ ＬＵＨ Ｐ</t>
  </si>
  <si>
    <t>1.794.805</t>
  </si>
  <si>
    <t>1.798.655</t>
  </si>
  <si>
    <t>1.805.505</t>
  </si>
  <si>
    <t>ｱﾗﾌｱﾄ</t>
  </si>
  <si>
    <t>1.809.505</t>
  </si>
  <si>
    <t>1.812.305</t>
  </si>
  <si>
    <t>81961911684ﾆﾂ</t>
  </si>
  <si>
    <t>1.818.292</t>
  </si>
  <si>
    <t>82061409603ﾆﾂ</t>
  </si>
  <si>
    <t>1.821.589</t>
  </si>
  <si>
    <t>81961911695ﾆﾂ</t>
  </si>
  <si>
    <t>1.827.574</t>
  </si>
  <si>
    <t>81961911710ﾆﾂ</t>
  </si>
  <si>
    <t>1.833.559</t>
  </si>
  <si>
    <t>81961911706ﾆﾂ</t>
  </si>
  <si>
    <t>1.841.849</t>
  </si>
  <si>
    <t>81962123854ﾆﾂ</t>
  </si>
  <si>
    <t>1.847.099</t>
  </si>
  <si>
    <t>1.858.649</t>
  </si>
  <si>
    <t>1.862.499</t>
  </si>
  <si>
    <t>ＧＡＬＡＰＩＴＡ</t>
  </si>
  <si>
    <t>ｽﾞｵﾝ ｺﾞﾂｸ ﾀﾝ</t>
  </si>
  <si>
    <t>ｶｵ ｳﾞｱﾝ ﾁ-</t>
  </si>
  <si>
    <t>ｼﾄﾞｳ ｼﾖｴﾌﾞ ﾊﾂ</t>
  </si>
  <si>
    <t>ＧＩＲＩＢＡＬＤ</t>
  </si>
  <si>
    <t>ＴＲＵＯＮＧ Ｔ</t>
  </si>
  <si>
    <t>81962124521ﾆﾂ</t>
  </si>
  <si>
    <t>81991825624ﾆﾂ</t>
  </si>
  <si>
    <t>81962123865ﾆﾂ</t>
  </si>
  <si>
    <t>82061409640ﾆﾂ</t>
  </si>
  <si>
    <t>81962124451ﾆﾂ</t>
  </si>
  <si>
    <t>81962124425ﾆﾂ</t>
  </si>
  <si>
    <t>81962124392ﾆﾂ</t>
  </si>
  <si>
    <t>82061409721ﾆﾂ</t>
  </si>
  <si>
    <t>81962124440ﾆﾂ</t>
  </si>
  <si>
    <t>81962124473ﾆﾂ</t>
  </si>
  <si>
    <t>82061409485ﾆﾂ</t>
  </si>
  <si>
    <t>82061409463ﾆﾂ</t>
  </si>
  <si>
    <t>81962124495ﾆﾂ</t>
  </si>
  <si>
    <t>81962124543ﾆﾂ</t>
  </si>
  <si>
    <t>81962124510ﾆﾂ</t>
  </si>
  <si>
    <t>81962123832ﾆﾂ</t>
  </si>
  <si>
    <t>81962124506ﾆﾂ</t>
  </si>
  <si>
    <t>81962124532ﾆﾂ</t>
  </si>
  <si>
    <t>81962124576ﾆﾂ</t>
  </si>
  <si>
    <t>81962124484ﾆﾂ</t>
  </si>
  <si>
    <t>ＤＯ ＣＡＲＭＯ</t>
  </si>
  <si>
    <t>ＰＨＡＭ ＨＵＵ</t>
  </si>
  <si>
    <t>ＬＥ ＶＡＮ Ｔ</t>
  </si>
  <si>
    <t>ＴＨＡＮ ＬＥ</t>
  </si>
  <si>
    <t>KH03517</t>
  </si>
  <si>
    <t>Takahashi Maricel Hallig</t>
  </si>
  <si>
    <t>KH03511</t>
  </si>
  <si>
    <t>Osep Rosete</t>
  </si>
  <si>
    <t>KH03366</t>
  </si>
  <si>
    <t>オランデ ラケル</t>
  </si>
  <si>
    <t>KH03367</t>
  </si>
  <si>
    <t>Mamoouroii Diouf</t>
  </si>
  <si>
    <t>KH03411</t>
  </si>
  <si>
    <t>Shima Jorge</t>
  </si>
  <si>
    <t>KH03392</t>
  </si>
  <si>
    <t>Junglen Villanueva</t>
  </si>
  <si>
    <t>KH03469</t>
  </si>
  <si>
    <t>Ly Chinh</t>
  </si>
  <si>
    <t>KH03430</t>
  </si>
  <si>
    <t>Whitney Guimare</t>
  </si>
  <si>
    <t>KH03416</t>
  </si>
  <si>
    <t>Eduardo Fujiki</t>
  </si>
  <si>
    <t>KH03490</t>
  </si>
  <si>
    <t>Rosalie Castalone</t>
  </si>
  <si>
    <t>KH03381</t>
  </si>
  <si>
    <t>Michelle Mekz</t>
  </si>
  <si>
    <t>KH03485</t>
  </si>
  <si>
    <t>Muhammed Sahal</t>
  </si>
  <si>
    <t>KH03449</t>
  </si>
  <si>
    <t>Vandam Sato</t>
  </si>
  <si>
    <t>KH03525</t>
  </si>
  <si>
    <t>Kaung Myat San</t>
  </si>
  <si>
    <t>KH03533</t>
  </si>
  <si>
    <t>Phạm Bá Manh</t>
  </si>
  <si>
    <t>KH01456</t>
  </si>
  <si>
    <t>Trần Thị Đào</t>
  </si>
  <si>
    <t>KH03379</t>
  </si>
  <si>
    <t>Mab Aguilar Betz</t>
  </si>
  <si>
    <t>KH03482</t>
  </si>
  <si>
    <t>Nang Hsi Ying</t>
  </si>
  <si>
    <t>KH00708</t>
  </si>
  <si>
    <t>Lài Lê</t>
  </si>
  <si>
    <t>KH03557</t>
  </si>
  <si>
    <t>Mekasu Prajapati</t>
  </si>
  <si>
    <t>KH03535</t>
  </si>
  <si>
    <t>Kent Tũm</t>
  </si>
  <si>
    <t>KH03501</t>
  </si>
  <si>
    <t>An Minh</t>
  </si>
  <si>
    <t>KH03476</t>
  </si>
  <si>
    <t>Oliver Manalo</t>
  </si>
  <si>
    <t>KH03529</t>
  </si>
  <si>
    <t>Yuri</t>
  </si>
  <si>
    <t>KH03504</t>
  </si>
  <si>
    <t>Sandra Liliana Hernández</t>
  </si>
  <si>
    <t>KH03515</t>
  </si>
  <si>
    <t>MāhéñDrā Ràjpøøt</t>
  </si>
  <si>
    <t>KH03578</t>
  </si>
  <si>
    <t>Nt Oanh</t>
  </si>
  <si>
    <t>KH02962</t>
  </si>
  <si>
    <t>Sa Su Ke</t>
  </si>
  <si>
    <t>KH03566</t>
  </si>
  <si>
    <t>Joan Santos</t>
  </si>
  <si>
    <t>KH03463</t>
  </si>
  <si>
    <t>Maqshood Ali</t>
  </si>
  <si>
    <t>KH03530</t>
  </si>
  <si>
    <t>Magar Durga Bahadur</t>
  </si>
  <si>
    <t>KH03539</t>
  </si>
  <si>
    <t>Joseph Castro</t>
  </si>
  <si>
    <t>KH03516</t>
  </si>
  <si>
    <t>SaGar MahaTra ChheTri</t>
  </si>
  <si>
    <t>KH03509</t>
  </si>
  <si>
    <t>エリカ マリー マイカ</t>
  </si>
  <si>
    <t>KH03502</t>
  </si>
  <si>
    <t>Dilan Dahanayake</t>
  </si>
  <si>
    <t>KH03570</t>
  </si>
  <si>
    <t>Võ Minh Khánh</t>
  </si>
  <si>
    <t>KH00736</t>
  </si>
  <si>
    <t>Dũng Xuân Đinh</t>
  </si>
  <si>
    <t>KH03531</t>
  </si>
  <si>
    <t>Benito Étoile Brillant</t>
  </si>
  <si>
    <t>KH03542</t>
  </si>
  <si>
    <t>Charity Onyebuchi</t>
  </si>
  <si>
    <t>Nguyễn Vũ</t>
  </si>
  <si>
    <t>KH03491</t>
  </si>
  <si>
    <t>Arisa Sasaki</t>
  </si>
  <si>
    <t>KH03523</t>
  </si>
  <si>
    <t>Sabina Rai</t>
  </si>
  <si>
    <t>KH03495</t>
  </si>
  <si>
    <t>Nga Moe</t>
  </si>
  <si>
    <t>KH00660</t>
  </si>
  <si>
    <t>Nguyễn Văn Đạo</t>
  </si>
  <si>
    <t>KH03527</t>
  </si>
  <si>
    <t>Sharafat Hossain</t>
  </si>
  <si>
    <t>KH03552</t>
  </si>
  <si>
    <t>Jessriel Cruz Almario</t>
  </si>
  <si>
    <t>KH03564</t>
  </si>
  <si>
    <t>Kristostomus Katuuk</t>
  </si>
  <si>
    <t>KH03545</t>
  </si>
  <si>
    <t>Khalid Hawlader</t>
  </si>
  <si>
    <t>KH03524</t>
  </si>
  <si>
    <t>Jonalyn Tsunemoto</t>
  </si>
  <si>
    <t>KH03503</t>
  </si>
  <si>
    <t>Taritz Matsuzaki</t>
  </si>
  <si>
    <t>KH03579</t>
  </si>
  <si>
    <t>Alisson Noronha</t>
  </si>
  <si>
    <t>KH03561</t>
  </si>
  <si>
    <t>Ddgz Lastar</t>
  </si>
  <si>
    <t>KH03464</t>
  </si>
  <si>
    <t>Positive Be</t>
  </si>
  <si>
    <t>KH03518</t>
  </si>
  <si>
    <t>ガマヨ ココロ</t>
  </si>
  <si>
    <t>KH03580</t>
  </si>
  <si>
    <t>Zyra Rivera</t>
  </si>
  <si>
    <t>KH03587</t>
  </si>
  <si>
    <t>シーナ ラテイラ ジア</t>
  </si>
  <si>
    <t>KH03589</t>
  </si>
  <si>
    <t>Nakandakari Morino Héctor</t>
  </si>
  <si>
    <t>KH03584</t>
  </si>
  <si>
    <t>Jorge Kazuo Nakamura</t>
  </si>
  <si>
    <t>KH03549</t>
  </si>
  <si>
    <t>Sheilla Santos</t>
  </si>
  <si>
    <t>KH03620</t>
  </si>
  <si>
    <t>Chanella Emy</t>
  </si>
  <si>
    <t>KH03627</t>
  </si>
  <si>
    <t>Maran William</t>
  </si>
  <si>
    <t>KH03606</t>
  </si>
  <si>
    <t>Mba Kumban</t>
  </si>
  <si>
    <t>KH03522</t>
  </si>
  <si>
    <t>Iris Airi Garcia</t>
  </si>
  <si>
    <t>KH03567</t>
  </si>
  <si>
    <t>チア サンティアゴ</t>
  </si>
  <si>
    <t>KH03600</t>
  </si>
  <si>
    <t>KH03583</t>
  </si>
  <si>
    <t>Sneha Gurung</t>
  </si>
  <si>
    <t>KH01530</t>
  </si>
  <si>
    <t>Norman P Santos</t>
  </si>
  <si>
    <t>KH03581</t>
  </si>
  <si>
    <t>NOOST BAYARAA</t>
  </si>
  <si>
    <t>KH03625</t>
  </si>
  <si>
    <t>Marcel Boaz Mtn</t>
  </si>
  <si>
    <t>KH03592</t>
  </si>
  <si>
    <t>Maira Olita</t>
  </si>
  <si>
    <t>KH03613</t>
  </si>
  <si>
    <t>Bel Kanda</t>
  </si>
  <si>
    <t>KH03618</t>
  </si>
  <si>
    <t>Krishna Bhandari</t>
  </si>
  <si>
    <t>KH01764</t>
  </si>
  <si>
    <t>Migara Bandar</t>
  </si>
  <si>
    <t>KH03609</t>
  </si>
  <si>
    <t>Felix Oganwu</t>
  </si>
  <si>
    <t>KH03653</t>
  </si>
  <si>
    <t>Ma Ah</t>
  </si>
  <si>
    <t>KH01877</t>
  </si>
  <si>
    <t>Quoc Tân</t>
  </si>
  <si>
    <t>KH03659</t>
  </si>
  <si>
    <t>Arsan AR</t>
  </si>
  <si>
    <t>KH00921</t>
  </si>
  <si>
    <t>Tâm Chình Sìpo</t>
  </si>
  <si>
    <t>KH03608</t>
  </si>
  <si>
    <t>ルデス ビラヌエバ</t>
  </si>
  <si>
    <t>KH03598</t>
  </si>
  <si>
    <t>Sanuda Weerasundara</t>
  </si>
  <si>
    <t>KH03601</t>
  </si>
  <si>
    <t>Llaammaa Razzan</t>
  </si>
  <si>
    <t>KH03591</t>
  </si>
  <si>
    <t>Ma'vic Concepcion</t>
  </si>
  <si>
    <t>KH03562</t>
  </si>
  <si>
    <t>Farasat Khan</t>
  </si>
  <si>
    <t>KH03590</t>
  </si>
  <si>
    <t>Ndéye Ngoné Ndaw Gassama</t>
  </si>
  <si>
    <t>KH03677</t>
  </si>
  <si>
    <t>Ct Ngọc Lan</t>
  </si>
  <si>
    <t>KH03678</t>
  </si>
  <si>
    <t>Sandun Prabath</t>
  </si>
  <si>
    <t>KH02784</t>
  </si>
  <si>
    <t>tienlong77 - Tien Long</t>
  </si>
  <si>
    <t>KH03615</t>
  </si>
  <si>
    <t>Sudesh Kumara Ranweera</t>
  </si>
  <si>
    <t>KH03614</t>
  </si>
  <si>
    <t>Tinhla Thuytinh</t>
  </si>
  <si>
    <t>KH03585</t>
  </si>
  <si>
    <t>Mouelle Fambo</t>
  </si>
  <si>
    <t>KH03650</t>
  </si>
  <si>
    <t>ライコ Layco Jerry</t>
  </si>
  <si>
    <t>KH03622</t>
  </si>
  <si>
    <t>Baterdene Oyunbileg</t>
  </si>
  <si>
    <t>KH03628</t>
  </si>
  <si>
    <t>Nicks Suds</t>
  </si>
  <si>
    <t>KH03500</t>
  </si>
  <si>
    <t>AB Samad</t>
  </si>
  <si>
    <t>KH03597</t>
  </si>
  <si>
    <t>Hou Ssem</t>
  </si>
  <si>
    <t>KH03629</t>
  </si>
  <si>
    <t>Brar Pawan</t>
  </si>
  <si>
    <t>KH03514</t>
  </si>
  <si>
    <t>塚田 ハヤグ マ-ク　アント二</t>
  </si>
  <si>
    <t>KH03692</t>
  </si>
  <si>
    <t>Thanh Hiền</t>
  </si>
  <si>
    <t>KH01901</t>
  </si>
  <si>
    <t>Marly Etsuko Koga</t>
  </si>
  <si>
    <t>KH00511</t>
  </si>
  <si>
    <t>Hải yến</t>
  </si>
  <si>
    <t>KH02465</t>
  </si>
  <si>
    <t>Win Myint Tun</t>
  </si>
  <si>
    <t>KH03617</t>
  </si>
  <si>
    <t>Mian Hammad</t>
  </si>
  <si>
    <t>KH03654</t>
  </si>
  <si>
    <t>Beth Mallari</t>
  </si>
  <si>
    <t>KH03607</t>
  </si>
  <si>
    <t>Grizle Jeth Ab-ab</t>
  </si>
  <si>
    <t>KH03667</t>
  </si>
  <si>
    <t>Sajith Rangana</t>
  </si>
  <si>
    <t>KH03605</t>
  </si>
  <si>
    <t>Sk de Silva</t>
  </si>
  <si>
    <t>KH03657</t>
  </si>
  <si>
    <t>Dondonn Gee</t>
  </si>
  <si>
    <t>KH03673</t>
  </si>
  <si>
    <t>Udith Tharaka</t>
  </si>
  <si>
    <t>KH03671</t>
  </si>
  <si>
    <t>Rhina Palomeno</t>
  </si>
  <si>
    <t>KH03668</t>
  </si>
  <si>
    <t>Jeanette Generillo</t>
  </si>
  <si>
    <t>KH03636</t>
  </si>
  <si>
    <t>Omar juma</t>
  </si>
  <si>
    <t>KH03610</t>
  </si>
  <si>
    <t>Lud Villegas</t>
  </si>
  <si>
    <t>KH03666</t>
  </si>
  <si>
    <t>Joanne Pascoquin Pasoquen</t>
  </si>
  <si>
    <t>KH03619</t>
  </si>
  <si>
    <t>Mamadou Cissé</t>
  </si>
  <si>
    <t>KH03670</t>
  </si>
  <si>
    <t>Glenn Cotingjo Apao</t>
  </si>
  <si>
    <t>KH03635</t>
  </si>
  <si>
    <t>Jeevana de Silva</t>
  </si>
  <si>
    <t>KH03281</t>
  </si>
  <si>
    <t>Hariez Alan</t>
  </si>
  <si>
    <t>KH03649</t>
  </si>
  <si>
    <t>ベンジャミン ツキイ</t>
  </si>
  <si>
    <t>KH03632</t>
  </si>
  <si>
    <t>Safran Ahamed</t>
  </si>
  <si>
    <t>KH03572</t>
  </si>
  <si>
    <t>東條純一</t>
  </si>
  <si>
    <t>KH03681</t>
  </si>
  <si>
    <t>Lovely Flores</t>
  </si>
  <si>
    <t>KH03656</t>
  </si>
  <si>
    <t>Toàn Lê</t>
  </si>
  <si>
    <t>KH03674</t>
  </si>
  <si>
    <t>Emily Morooka</t>
  </si>
  <si>
    <t>KH03661</t>
  </si>
  <si>
    <t>KH03639</t>
  </si>
  <si>
    <t>セン ロメル</t>
  </si>
  <si>
    <t>KH03648</t>
  </si>
  <si>
    <t>Md. Sabbir Hossain Likhon</t>
  </si>
  <si>
    <t>KH03645</t>
  </si>
  <si>
    <t>Warren M Sapinoso</t>
  </si>
  <si>
    <t>KH03660</t>
  </si>
  <si>
    <t>JM A. Po</t>
  </si>
  <si>
    <t>KH03663</t>
  </si>
  <si>
    <t>Paulo Roberto Ferreira</t>
  </si>
  <si>
    <t>KH03683</t>
  </si>
  <si>
    <t>Delyn Moniwa</t>
  </si>
  <si>
    <t>KH03630</t>
  </si>
  <si>
    <t>Ashkar Meyen</t>
  </si>
  <si>
    <t>KH03658</t>
  </si>
  <si>
    <t>Elveeh Dudua</t>
  </si>
  <si>
    <t>KH03706</t>
  </si>
  <si>
    <t>Nguyễn Thị Quỳnh Liên</t>
  </si>
  <si>
    <t>KH03691</t>
  </si>
  <si>
    <t>Jocelyn Watanabe</t>
  </si>
  <si>
    <t>KH03675</t>
  </si>
  <si>
    <t>Paul John Sultan Luzon</t>
  </si>
  <si>
    <t>KH00789</t>
  </si>
  <si>
    <t>Vũ Mạnh Thắng</t>
  </si>
  <si>
    <t>KH02239</t>
  </si>
  <si>
    <t>Đại lý Kiên- Dưa</t>
  </si>
  <si>
    <t>KH03700</t>
  </si>
  <si>
    <t>Nilanka Pradeep</t>
  </si>
  <si>
    <t>KH03694</t>
  </si>
  <si>
    <t>Sibani Rai</t>
  </si>
  <si>
    <t>KH03640</t>
  </si>
  <si>
    <t>Leo Villalva Recana</t>
  </si>
  <si>
    <t>KH03679</t>
  </si>
  <si>
    <t>Ronalyn Delfin</t>
  </si>
  <si>
    <t>KH03697</t>
  </si>
  <si>
    <t>Kelen Horikawa</t>
  </si>
  <si>
    <t>KH03696</t>
  </si>
  <si>
    <t>石川 亜希</t>
  </si>
  <si>
    <t>KH03713</t>
  </si>
  <si>
    <t>Mika Nogawa</t>
  </si>
  <si>
    <t>KH03709</t>
  </si>
  <si>
    <t>Rony Ghosh</t>
  </si>
  <si>
    <t>KH03710</t>
  </si>
  <si>
    <t>Marappullige sameera pathum</t>
  </si>
  <si>
    <t>KH03711</t>
  </si>
  <si>
    <t>HEIN HTET AUNG</t>
  </si>
  <si>
    <t>KH03685</t>
  </si>
  <si>
    <t>Ramir Efa</t>
  </si>
  <si>
    <t>KH03747</t>
  </si>
  <si>
    <t>Nguyễn Hương</t>
  </si>
  <si>
    <t>Nitram Itnasirc</t>
  </si>
  <si>
    <t>KH03701</t>
  </si>
  <si>
    <t>アイング ジョナタン</t>
  </si>
  <si>
    <t>KH03680</t>
  </si>
  <si>
    <t>Youssouf Sy</t>
  </si>
  <si>
    <t>KH03718</t>
  </si>
  <si>
    <t>Melissa Xoler</t>
  </si>
  <si>
    <t>KH03698</t>
  </si>
  <si>
    <t>Nica Tagulob</t>
  </si>
  <si>
    <t>KH03693</t>
  </si>
  <si>
    <t>レン ズ</t>
  </si>
  <si>
    <t>KH03712</t>
  </si>
  <si>
    <t>Myla La Madrid Mallari</t>
  </si>
  <si>
    <t>KH03699</t>
  </si>
  <si>
    <t>Hideki Hanada</t>
  </si>
  <si>
    <t>KH00821</t>
  </si>
  <si>
    <t>Hương Dương</t>
  </si>
  <si>
    <t>KH03756</t>
  </si>
  <si>
    <t>Le Thi Thao My</t>
  </si>
  <si>
    <t>KH03703</t>
  </si>
  <si>
    <t>Toni David</t>
  </si>
  <si>
    <t>KH03732</t>
  </si>
  <si>
    <t>Don Hiran</t>
  </si>
  <si>
    <t>KH03705</t>
  </si>
  <si>
    <t>シャン アミガブレ</t>
  </si>
  <si>
    <t>KH03702</t>
  </si>
  <si>
    <t>ジョ ジョ</t>
  </si>
  <si>
    <t>KH03715</t>
  </si>
  <si>
    <t>Sudip Kumal</t>
  </si>
  <si>
    <t>KH03707</t>
  </si>
  <si>
    <t>Lopez Marlon Saavedra</t>
  </si>
  <si>
    <t>KH03723</t>
  </si>
  <si>
    <t>Mhaine Ko</t>
  </si>
  <si>
    <t>KH03730</t>
  </si>
  <si>
    <t>Ignacio Jo Ann Reyes</t>
  </si>
  <si>
    <t>KH01681</t>
  </si>
  <si>
    <t>BUI THI THU HIEN</t>
  </si>
  <si>
    <t>KH00119</t>
  </si>
  <si>
    <t>Sáng Bin</t>
  </si>
  <si>
    <t>KH01096</t>
  </si>
  <si>
    <t>KH03687</t>
  </si>
  <si>
    <t>Hafiz Asif</t>
  </si>
  <si>
    <t>KH03704</t>
  </si>
  <si>
    <t>Yuuta Masuda</t>
  </si>
  <si>
    <t>KH03737</t>
  </si>
  <si>
    <t>Rana Asif</t>
  </si>
  <si>
    <t>KH03729</t>
  </si>
  <si>
    <t>Jennibell Delos Reyes Caag</t>
  </si>
  <si>
    <t>KH03736</t>
  </si>
  <si>
    <t>Mohamed jesuly</t>
  </si>
  <si>
    <t>KH03719</t>
  </si>
  <si>
    <t>Duy Khương</t>
  </si>
  <si>
    <t>KH03742</t>
  </si>
  <si>
    <t>Paul Madriaga</t>
  </si>
  <si>
    <t>KH03727</t>
  </si>
  <si>
    <t>Dulkith Madhushanka</t>
  </si>
  <si>
    <t>KH03749</t>
  </si>
  <si>
    <t>Feelbeth Ann Amaga</t>
  </si>
  <si>
    <t>KH03731</t>
  </si>
  <si>
    <t>Takeda Shin Ryu</t>
  </si>
  <si>
    <t>KH03724</t>
  </si>
  <si>
    <t>Maritan Aduna</t>
  </si>
  <si>
    <t>KH03744</t>
  </si>
  <si>
    <t>Jessabel V. Oriendo</t>
  </si>
  <si>
    <t>KH03739</t>
  </si>
  <si>
    <t>Akram Muhammad Faisal</t>
  </si>
  <si>
    <t>KH03738</t>
  </si>
  <si>
    <t>Løvè Castillo</t>
  </si>
  <si>
    <t>KH03755</t>
  </si>
  <si>
    <t>Pasindu Mayuranga</t>
  </si>
  <si>
    <t>KH03638</t>
  </si>
  <si>
    <t>Austria ぞりな あるべると</t>
  </si>
  <si>
    <t>KH03717</t>
  </si>
  <si>
    <t>Mendoza Angela</t>
  </si>
  <si>
    <t>KH03758</t>
  </si>
  <si>
    <t>Edrazel Kapa</t>
  </si>
  <si>
    <t>KH03811</t>
  </si>
  <si>
    <t>Min Kyaw Tun</t>
  </si>
  <si>
    <t>KH03775</t>
  </si>
  <si>
    <t>Joshua Dayno Abit</t>
  </si>
  <si>
    <t>KH01518</t>
  </si>
  <si>
    <t>Nguyễn Hào</t>
  </si>
  <si>
    <t>KH02396</t>
  </si>
  <si>
    <t>Nguyễn Trần Thanh Tú</t>
  </si>
  <si>
    <t>KH00201</t>
  </si>
  <si>
    <t>Le Hoang</t>
  </si>
  <si>
    <t>KH03754</t>
  </si>
  <si>
    <t>Uchino Toshio</t>
  </si>
  <si>
    <t>KH03757</t>
  </si>
  <si>
    <t>Umaka Rai</t>
  </si>
  <si>
    <t>KH03759</t>
  </si>
  <si>
    <t>Raf Moh</t>
  </si>
  <si>
    <t>KH03751</t>
  </si>
  <si>
    <t>Andreah Hernandez</t>
  </si>
  <si>
    <t>KH02500</t>
  </si>
  <si>
    <t>Lê Thị Nhungg</t>
  </si>
  <si>
    <t>KH01083</t>
  </si>
  <si>
    <t>Đình Chức</t>
  </si>
  <si>
    <t>KH00234</t>
  </si>
  <si>
    <t>KH00934</t>
  </si>
  <si>
    <t>Truc Dao Tran</t>
  </si>
  <si>
    <t>KH01750</t>
  </si>
  <si>
    <t>Hoang</t>
  </si>
  <si>
    <t>KH03752</t>
  </si>
  <si>
    <t>ガリアス アーリン</t>
  </si>
  <si>
    <t>KH03733</t>
  </si>
  <si>
    <t>Srluisa Bautista</t>
  </si>
  <si>
    <t>KH03763</t>
  </si>
  <si>
    <t>Jike Matsusaki</t>
  </si>
  <si>
    <t>KH03772</t>
  </si>
  <si>
    <t>Mehana Mahat</t>
  </si>
  <si>
    <t>KH03760</t>
  </si>
  <si>
    <t>Greenwood Libinson</t>
  </si>
  <si>
    <t>KH03777</t>
  </si>
  <si>
    <t>AMPOFO ERNEST ASAMANI</t>
  </si>
  <si>
    <t>KH03771</t>
  </si>
  <si>
    <t>Chatto Rico</t>
  </si>
  <si>
    <t>KH03806</t>
  </si>
  <si>
    <t>Hiên Phan</t>
  </si>
  <si>
    <t>KH02375</t>
  </si>
  <si>
    <t>Anata Manzano</t>
  </si>
  <si>
    <t>KH03814</t>
  </si>
  <si>
    <t>Judith Kominami</t>
  </si>
  <si>
    <t>KH03816</t>
  </si>
  <si>
    <t>ニョマン</t>
  </si>
  <si>
    <t>KH03782</t>
  </si>
  <si>
    <t>Barekye Julius</t>
  </si>
  <si>
    <t>KH03750</t>
  </si>
  <si>
    <t>Nurunnabi</t>
  </si>
  <si>
    <t>KH03780</t>
  </si>
  <si>
    <t>Ak Abdullah アブドラー</t>
  </si>
  <si>
    <t>KH03776</t>
  </si>
  <si>
    <t>Sudeera Sampath Kumara</t>
  </si>
  <si>
    <t>KH03781</t>
  </si>
  <si>
    <t>ウェンデ ヴィスタル</t>
  </si>
  <si>
    <t>KH03794</t>
  </si>
  <si>
    <t>Emerson Kubotani</t>
  </si>
  <si>
    <t>KH03822</t>
  </si>
  <si>
    <t>Phạm Bá Nhật</t>
  </si>
  <si>
    <t>KH03835</t>
  </si>
  <si>
    <t>Truc Nhu</t>
  </si>
  <si>
    <t>KH03803</t>
  </si>
  <si>
    <t>Taba Shimazawa</t>
  </si>
  <si>
    <t>KH03783</t>
  </si>
  <si>
    <t>Josephine Siatanan</t>
  </si>
  <si>
    <t>KH03796</t>
  </si>
  <si>
    <t>ལ།མ། པེམ།</t>
  </si>
  <si>
    <t>KH03785</t>
  </si>
  <si>
    <t>Cherrylyn laureano</t>
  </si>
  <si>
    <t>KH03799</t>
  </si>
  <si>
    <t>Chelle Sarmiento</t>
  </si>
  <si>
    <t>KH03812</t>
  </si>
  <si>
    <t>タンシンコ　アヤトユーリシスヒリ</t>
  </si>
  <si>
    <t>KH03791</t>
  </si>
  <si>
    <t>Rashmii Acharya</t>
  </si>
  <si>
    <t>KH03818</t>
  </si>
  <si>
    <t>Hirose Allan Mapatac</t>
  </si>
  <si>
    <t>KH03817</t>
  </si>
  <si>
    <t>shiori otake</t>
  </si>
  <si>
    <t>KH03784</t>
  </si>
  <si>
    <t>Joyce Mendoza</t>
  </si>
  <si>
    <t>KH03788</t>
  </si>
  <si>
    <t>Decena Fermasaineh</t>
  </si>
  <si>
    <t>KH03809</t>
  </si>
  <si>
    <t>LINTON LEVIN</t>
  </si>
  <si>
    <t>KH03778</t>
  </si>
  <si>
    <t>Shishir regmi</t>
  </si>
  <si>
    <t>KH03800</t>
  </si>
  <si>
    <t>Jm Noguchi</t>
  </si>
  <si>
    <t>KH03790</t>
  </si>
  <si>
    <t>Ambika Gautam</t>
  </si>
  <si>
    <t>KH03797</t>
  </si>
  <si>
    <t>Farooq AMER</t>
  </si>
  <si>
    <t>KH03802</t>
  </si>
  <si>
    <t>Alfred Bariuan</t>
  </si>
  <si>
    <t>KH03805</t>
  </si>
  <si>
    <t>Chawinphong Thanakritsakon</t>
  </si>
  <si>
    <t>KH03853</t>
  </si>
  <si>
    <t>Robson Junior</t>
  </si>
  <si>
    <t>KH03836</t>
  </si>
  <si>
    <t>Tuyền Thân R2</t>
  </si>
  <si>
    <t>đại lý Hoa</t>
  </si>
  <si>
    <t>đly tecno</t>
  </si>
  <si>
    <t>Chưa rõ</t>
  </si>
  <si>
    <t>Đại lý Hoa</t>
  </si>
  <si>
    <t>KH02569</t>
  </si>
  <si>
    <t>Arshad Mehmood Bhatti</t>
  </si>
  <si>
    <t>KH03369</t>
  </si>
  <si>
    <t>Shabba Meek</t>
  </si>
  <si>
    <t>KH00349</t>
  </si>
  <si>
    <t>Nguyễn Văn Sang</t>
  </si>
  <si>
    <t>KH01672</t>
  </si>
  <si>
    <t>Siyaan Jubiyana</t>
  </si>
  <si>
    <t>KH02669</t>
  </si>
  <si>
    <t>Na Na</t>
  </si>
  <si>
    <t>KH03481</t>
  </si>
  <si>
    <t>Joebert bringas Imperial</t>
  </si>
  <si>
    <t>KH03380</t>
  </si>
  <si>
    <t>モット モット</t>
  </si>
  <si>
    <t>KH01841</t>
  </si>
  <si>
    <t>Jahidul Islam</t>
  </si>
  <si>
    <t>KH02469</t>
  </si>
  <si>
    <t>Sandesh Rai</t>
  </si>
  <si>
    <t>KH02966</t>
  </si>
  <si>
    <t>Rosalie kato</t>
  </si>
  <si>
    <t>KH02441</t>
  </si>
  <si>
    <t>Mohamed Anas</t>
  </si>
  <si>
    <t>KH01880</t>
  </si>
  <si>
    <t>Md Shahadat Hossain</t>
  </si>
  <si>
    <t>KH03475</t>
  </si>
  <si>
    <t>Enriquez Ynnej</t>
  </si>
  <si>
    <t>KH02237</t>
  </si>
  <si>
    <t>Rey Villaver</t>
  </si>
  <si>
    <t>KH02542</t>
  </si>
  <si>
    <t>Yumi V. Ogue</t>
  </si>
  <si>
    <t>KH02125</t>
  </si>
  <si>
    <t>斎斎</t>
  </si>
  <si>
    <t>KH02520</t>
  </si>
  <si>
    <t>Bebelyn Okazaki</t>
  </si>
  <si>
    <t>KH01964</t>
  </si>
  <si>
    <t>Ilham Taka</t>
  </si>
  <si>
    <t>KH02493</t>
  </si>
  <si>
    <t>Aboubacar Niakate</t>
  </si>
  <si>
    <t>KH03213</t>
  </si>
  <si>
    <t>imamura adora</t>
  </si>
  <si>
    <t>KH02783</t>
  </si>
  <si>
    <t>Roselyn Roque Navarro</t>
  </si>
  <si>
    <t>KH02612</t>
  </si>
  <si>
    <t>エシオ チェリ</t>
  </si>
  <si>
    <t>KH02369</t>
  </si>
  <si>
    <t>Aki Yamamoto</t>
  </si>
  <si>
    <t>KH03496</t>
  </si>
  <si>
    <t>Muhammad Tarek Abdullah Sakib</t>
  </si>
  <si>
    <t>KH03349</t>
  </si>
  <si>
    <t>Flordeliza Lorica</t>
  </si>
  <si>
    <t>KH02664</t>
  </si>
  <si>
    <t>Mc DO</t>
  </si>
  <si>
    <t>KH02955</t>
  </si>
  <si>
    <t>Kitty Ho</t>
  </si>
  <si>
    <t>KH03459</t>
  </si>
  <si>
    <t>Aditia Ramasaputra</t>
  </si>
  <si>
    <t>KH03547</t>
  </si>
  <si>
    <t>Purushotam Chaudhary</t>
  </si>
  <si>
    <t>KH02871</t>
  </si>
  <si>
    <t>Aj Avila</t>
  </si>
  <si>
    <t>KH03526</t>
  </si>
  <si>
    <t>Jenny Flores</t>
  </si>
  <si>
    <t>KH03534</t>
  </si>
  <si>
    <t>Clint Philip Guba Ladera</t>
  </si>
  <si>
    <t>KH03418</t>
  </si>
  <si>
    <t>Manuel Iwanaga</t>
  </si>
  <si>
    <t>KH03076</t>
  </si>
  <si>
    <t>Sultan Mizuno</t>
  </si>
  <si>
    <t>KH02359</t>
  </si>
  <si>
    <t>Vanchan Dayo</t>
  </si>
  <si>
    <t>KH03410</t>
  </si>
  <si>
    <t>Mohamed Nazim モハメド・ニヤス</t>
  </si>
  <si>
    <t>KH02646</t>
  </si>
  <si>
    <t>ユアせ マリア</t>
  </si>
  <si>
    <t>KH02209</t>
  </si>
  <si>
    <t>Nayomi Rajapaksha</t>
  </si>
  <si>
    <t>KH02258</t>
  </si>
  <si>
    <t>Levis Ramirez Montalvan</t>
  </si>
  <si>
    <t>KH03550</t>
  </si>
  <si>
    <t>Richard Danao</t>
  </si>
  <si>
    <t>Đào Tuấn Giottinhxanh</t>
  </si>
  <si>
    <t>KH03554</t>
  </si>
  <si>
    <t>Chhetri Rajiv</t>
  </si>
  <si>
    <t>KH02563</t>
  </si>
  <si>
    <t>ธนภรณ์ เจตประพันธ์</t>
  </si>
  <si>
    <t>KH03544</t>
  </si>
  <si>
    <t>Gertrude Kyei</t>
  </si>
  <si>
    <t>KH03404</t>
  </si>
  <si>
    <t>Maria Victoria Giron</t>
  </si>
  <si>
    <t>KH03548</t>
  </si>
  <si>
    <t>彭聖凱</t>
  </si>
  <si>
    <t>KH03538</t>
  </si>
  <si>
    <t>Nolando Okamoto Rabonza</t>
  </si>
  <si>
    <t>KH03251</t>
  </si>
  <si>
    <t>Muqtadir Al Mehran Mahee</t>
  </si>
  <si>
    <t>KH03573</t>
  </si>
  <si>
    <t>Laurence Brixx de Cats</t>
  </si>
  <si>
    <t>KH03560</t>
  </si>
  <si>
    <t>Dibyaswar Subedi</t>
  </si>
  <si>
    <t>KH01609</t>
  </si>
  <si>
    <t>Mic Hael</t>
  </si>
  <si>
    <t>KH02483</t>
  </si>
  <si>
    <t>Ai Rosalina</t>
  </si>
  <si>
    <t>KH03323</t>
  </si>
  <si>
    <t>Jeboy Moreno Chiqo</t>
  </si>
  <si>
    <t>KH03489</t>
  </si>
  <si>
    <t>Narendra Kunwar</t>
  </si>
  <si>
    <t>KH03536</t>
  </si>
  <si>
    <t>Bé Thuỷ</t>
  </si>
  <si>
    <t>KH02040</t>
  </si>
  <si>
    <t>Nguyễn KT</t>
  </si>
  <si>
    <t>KH02803</t>
  </si>
  <si>
    <t>Renald Sto Domingo Asyao</t>
  </si>
  <si>
    <t>KH02100</t>
  </si>
  <si>
    <t>Cúc Cúc</t>
  </si>
  <si>
    <t>KH02370</t>
  </si>
  <si>
    <t>Madamz Ces't La Vie</t>
  </si>
  <si>
    <t>KH03582</t>
  </si>
  <si>
    <t>Fany Chodot</t>
  </si>
  <si>
    <t>KH03065</t>
  </si>
  <si>
    <t>Nguyễn Đình 2</t>
  </si>
  <si>
    <t>KH00725</t>
  </si>
  <si>
    <t>Nguyễn Thị Kim Oanh</t>
  </si>
  <si>
    <t>KH03412</t>
  </si>
  <si>
    <t>鈴木 すずき</t>
  </si>
  <si>
    <t>KH02954</t>
  </si>
  <si>
    <t>Nilesh Geeta Sayalwar</t>
  </si>
  <si>
    <t>KH03225</t>
  </si>
  <si>
    <t>Ai Kyakuno</t>
  </si>
  <si>
    <t>KH03370</t>
  </si>
  <si>
    <t>Krish Gupta</t>
  </si>
  <si>
    <t>KH02217</t>
  </si>
  <si>
    <t>Joycel Paweng</t>
  </si>
  <si>
    <t>KH01549</t>
  </si>
  <si>
    <t>Hải Âu</t>
  </si>
  <si>
    <t>KH03444</t>
  </si>
  <si>
    <t>Tariq Khan</t>
  </si>
  <si>
    <t>KH03568</t>
  </si>
  <si>
    <t>Shirosaki mitsuro</t>
  </si>
  <si>
    <t>KH01403</t>
  </si>
  <si>
    <t>Nelson Akira Sakai</t>
  </si>
  <si>
    <t>KH03603</t>
  </si>
  <si>
    <t>CH Hassan Ali</t>
  </si>
  <si>
    <t>KH02505</t>
  </si>
  <si>
    <t>Maila Tan</t>
  </si>
  <si>
    <t>KH03454</t>
  </si>
  <si>
    <t>Mohamed Emiir</t>
  </si>
  <si>
    <t>KH03540</t>
  </si>
  <si>
    <t>Eze David</t>
  </si>
  <si>
    <t>KH03474</t>
  </si>
  <si>
    <t>Barry Lonewolf</t>
  </si>
  <si>
    <t>KH03626</t>
  </si>
  <si>
    <t>Mộng Hanh</t>
  </si>
  <si>
    <t>KH02398</t>
  </si>
  <si>
    <t>Mary Nkwe</t>
  </si>
  <si>
    <t>KH03483</t>
  </si>
  <si>
    <t>ゲル ゲル</t>
  </si>
  <si>
    <t>KH02431</t>
  </si>
  <si>
    <t>মোঃ তুষার ভূঁইয়া</t>
  </si>
  <si>
    <t>KH02432</t>
  </si>
  <si>
    <t>Macruz Elijah</t>
  </si>
  <si>
    <t>KH00907</t>
  </si>
  <si>
    <t>Hoàng Công Quốc Duy</t>
  </si>
  <si>
    <t>KH03433</t>
  </si>
  <si>
    <t>Emily Fe Autentico</t>
  </si>
  <si>
    <t>KH01781</t>
  </si>
  <si>
    <t>Mikaella JN JN</t>
  </si>
  <si>
    <t>KH02390</t>
  </si>
  <si>
    <t>Febin Francis</t>
  </si>
  <si>
    <t>KH03277</t>
  </si>
  <si>
    <t>Tharu XD</t>
  </si>
  <si>
    <t>KH02834</t>
  </si>
  <si>
    <t>Ali Mamun</t>
  </si>
  <si>
    <t>KH03647</t>
  </si>
  <si>
    <t>Bong Gabarda</t>
  </si>
  <si>
    <t>KH01689</t>
  </si>
  <si>
    <t>Paz Rafols Sekiguchi</t>
  </si>
  <si>
    <t>KH02301</t>
  </si>
  <si>
    <t>Ahmed Nabil</t>
  </si>
  <si>
    <t>KH01889</t>
  </si>
  <si>
    <t>Jill De Padua</t>
  </si>
  <si>
    <t>KH03543</t>
  </si>
  <si>
    <t>Evangeline Yajima</t>
  </si>
  <si>
    <t>KH03642</t>
  </si>
  <si>
    <t>Grg Raj Meg</t>
  </si>
  <si>
    <t>KH03263</t>
  </si>
  <si>
    <t>Jaqueline Kanashiro</t>
  </si>
  <si>
    <t>KH03102</t>
  </si>
  <si>
    <t>Maria Edna M. Galang</t>
  </si>
  <si>
    <t>KH02583</t>
  </si>
  <si>
    <t>Jacque Yamaji</t>
  </si>
  <si>
    <t>KH03575</t>
  </si>
  <si>
    <t>Farhad Farshi</t>
  </si>
  <si>
    <t>KH02024</t>
  </si>
  <si>
    <t>Paolo Reambonanza-Rabosa Corvera</t>
  </si>
  <si>
    <t>KH03651</t>
  </si>
  <si>
    <t>Rafa Jiyu</t>
  </si>
  <si>
    <t>KH01214</t>
  </si>
  <si>
    <t>Trung Dũng</t>
  </si>
  <si>
    <t>KH03669</t>
  </si>
  <si>
    <t>Na Mu</t>
  </si>
  <si>
    <t>KH02376</t>
  </si>
  <si>
    <t>Vicente Sia</t>
  </si>
  <si>
    <t>KH02790</t>
  </si>
  <si>
    <t>Shashi Ranathunga</t>
  </si>
  <si>
    <t>KH02039</t>
  </si>
  <si>
    <t>Odia Merveille</t>
  </si>
  <si>
    <t>KH02873</t>
  </si>
  <si>
    <t>Mariz Ann Aradillos</t>
  </si>
  <si>
    <t>KH03576</t>
  </si>
  <si>
    <t>Ashik Ashik , bạn của Ahamed Nazmy</t>
  </si>
  <si>
    <t>KH00617</t>
  </si>
  <si>
    <t>Uyên Tiệp</t>
  </si>
  <si>
    <t>KH02440</t>
  </si>
  <si>
    <t>SEJAS SUÁREZ ELSY</t>
  </si>
  <si>
    <t>KH03676</t>
  </si>
  <si>
    <t>Janeth Santos</t>
  </si>
  <si>
    <t>KH02970</t>
  </si>
  <si>
    <t>Nathaniel Felipe</t>
  </si>
  <si>
    <t>KH00692</t>
  </si>
  <si>
    <t>Hoàng Thùy Dương</t>
  </si>
  <si>
    <t>KH02767</t>
  </si>
  <si>
    <t>Cimara Yamamoto</t>
  </si>
  <si>
    <t>KH02339</t>
  </si>
  <si>
    <t>Ngọc Thúy</t>
  </si>
  <si>
    <t>KH02284</t>
  </si>
  <si>
    <t>Atish Gurung</t>
  </si>
  <si>
    <t>KH02757</t>
  </si>
  <si>
    <t>Sharmila Karkee Poudel</t>
  </si>
  <si>
    <t>KH00472</t>
  </si>
  <si>
    <t>Tú Dân</t>
  </si>
  <si>
    <t>KH02717</t>
  </si>
  <si>
    <t>カスタニェダ カバテイク メラ二</t>
  </si>
  <si>
    <t>KH01894</t>
  </si>
  <si>
    <t>Jasmine Raii</t>
  </si>
  <si>
    <t>KH01589</t>
  </si>
  <si>
    <t>Ismatillo Asqarov</t>
  </si>
  <si>
    <t>KH02561</t>
  </si>
  <si>
    <t>Willy Toyama</t>
  </si>
  <si>
    <t>KH03020</t>
  </si>
  <si>
    <t>Naoki Tomida</t>
  </si>
  <si>
    <t>KH03472</t>
  </si>
  <si>
    <t>Sakahara Monica</t>
  </si>
  <si>
    <t>KH03282</t>
  </si>
  <si>
    <t>Anne Madeja</t>
  </si>
  <si>
    <t>KH03716</t>
  </si>
  <si>
    <t>Nardz Bangcas</t>
  </si>
  <si>
    <t>KH03283</t>
  </si>
  <si>
    <t>Laxman Gamage</t>
  </si>
  <si>
    <t>KH01256</t>
  </si>
  <si>
    <t>Nghĩa Còii</t>
  </si>
  <si>
    <t>KH01886</t>
  </si>
  <si>
    <t>Edi Ichiro</t>
  </si>
  <si>
    <t>KH03748</t>
  </si>
  <si>
    <t>Dung Đặng Mỹ</t>
  </si>
  <si>
    <t>KH03424</t>
  </si>
  <si>
    <t>Zul Fadhli Zakir</t>
  </si>
  <si>
    <t>KH02796</t>
  </si>
  <si>
    <t>Myquee Garcia</t>
  </si>
  <si>
    <t>KH02248</t>
  </si>
  <si>
    <t>Aruna Nirmala</t>
  </si>
  <si>
    <t>KH03453</t>
  </si>
  <si>
    <t>RACQUEL MIYASHITA</t>
  </si>
  <si>
    <t>KH03287</t>
  </si>
  <si>
    <t>Rowena Arellano</t>
  </si>
  <si>
    <t>KH03042</t>
  </si>
  <si>
    <t>Ian Jasper Corvera</t>
  </si>
  <si>
    <t>KH03621</t>
  </si>
  <si>
    <t>Ei Mon Mon Kyaw</t>
  </si>
  <si>
    <t>KH03655</t>
  </si>
  <si>
    <t>根本カロリナです</t>
  </si>
  <si>
    <t>KH03286</t>
  </si>
  <si>
    <t>MJ メリー</t>
  </si>
  <si>
    <t>KH03766</t>
  </si>
  <si>
    <t>FATIMA BARAL CONDE</t>
  </si>
  <si>
    <t>KH03234</t>
  </si>
  <si>
    <t>デレ大ン マーク</t>
  </si>
  <si>
    <t>KH03290</t>
  </si>
  <si>
    <t>DANI SAIFULLAH</t>
  </si>
  <si>
    <t>KH03280</t>
  </si>
  <si>
    <t>Aguiluz Jojit</t>
  </si>
  <si>
    <t>KH03341</t>
  </si>
  <si>
    <t>Orapan Sampao</t>
  </si>
  <si>
    <t>KH01385</t>
  </si>
  <si>
    <t>KH03768</t>
  </si>
  <si>
    <t>Maribel Dela Cruz</t>
  </si>
  <si>
    <t>KH01591</t>
  </si>
  <si>
    <t>Jorge Sakata</t>
  </si>
  <si>
    <t>KH03765</t>
  </si>
  <si>
    <t>Weng Purihin</t>
  </si>
  <si>
    <t>KH03324</t>
  </si>
  <si>
    <t>Gihani Kanishka</t>
  </si>
  <si>
    <t>KH00596</t>
  </si>
  <si>
    <t>Tam Lao</t>
  </si>
  <si>
    <t>KH03338</t>
  </si>
  <si>
    <t>Sherryl Fukaya</t>
  </si>
  <si>
    <t>KH02090</t>
  </si>
  <si>
    <t>Johnson Tepong</t>
  </si>
  <si>
    <t>KH02995</t>
  </si>
  <si>
    <t>KH00241</t>
  </si>
  <si>
    <t>Thanh Duy</t>
  </si>
  <si>
    <t>KH03310</t>
  </si>
  <si>
    <t>EmelyOliveros Channel</t>
  </si>
  <si>
    <t>KH00043</t>
  </si>
  <si>
    <t>Thúy Nguyễn</t>
  </si>
  <si>
    <t>KH03299</t>
  </si>
  <si>
    <t>Akosimak Aguirre</t>
  </si>
  <si>
    <t>KH01318</t>
  </si>
  <si>
    <t>Ngọc Bi</t>
  </si>
  <si>
    <t>KH03445</t>
  </si>
  <si>
    <t>Dương Mai</t>
  </si>
  <si>
    <t>KH03342</t>
  </si>
  <si>
    <t>Cristal Mirza</t>
  </si>
  <si>
    <t>KH01409</t>
  </si>
  <si>
    <t>Aliquis Mira</t>
  </si>
  <si>
    <t>KH03786</t>
  </si>
  <si>
    <t>Sheena Jay</t>
  </si>
  <si>
    <t>KH03352</t>
  </si>
  <si>
    <t>Lal Babu</t>
  </si>
  <si>
    <t>KH01210</t>
  </si>
  <si>
    <t>Yến Asahi</t>
  </si>
  <si>
    <t>KH03363</t>
  </si>
  <si>
    <t>Moekaung Kin</t>
  </si>
  <si>
    <t>KH03135</t>
  </si>
  <si>
    <t>Gobind Chaudhary</t>
  </si>
  <si>
    <t>KH03347</t>
  </si>
  <si>
    <t>Beth Apellanes</t>
  </si>
  <si>
    <t>KH03351</t>
  </si>
  <si>
    <t>Marygrace Rivera</t>
  </si>
  <si>
    <t>KH00097</t>
  </si>
  <si>
    <t>Trần Thị Mỹ Yến</t>
  </si>
  <si>
    <t>KH02517</t>
  </si>
  <si>
    <t>Rachel Paunlagui</t>
  </si>
  <si>
    <t>KH03468</t>
  </si>
  <si>
    <t>Fe Konno</t>
  </si>
  <si>
    <t>KH03388</t>
  </si>
  <si>
    <t>Raul Angel Garife</t>
  </si>
  <si>
    <t>KH03361</t>
  </si>
  <si>
    <t>Jeff Dellosa Ducay</t>
  </si>
  <si>
    <t>KH01176</t>
  </si>
  <si>
    <t>Duyen Ly</t>
  </si>
  <si>
    <t>KH03471</t>
  </si>
  <si>
    <t>Jaim LeCongo</t>
  </si>
  <si>
    <t>KH03274</t>
  </si>
  <si>
    <t>Jayson Narca</t>
  </si>
  <si>
    <t>KH01810</t>
  </si>
  <si>
    <t>KH02221</t>
  </si>
  <si>
    <t>Luis Mirko Asturizaga</t>
  </si>
  <si>
    <t>KH03328</t>
  </si>
  <si>
    <t>Ray Mond</t>
  </si>
  <si>
    <t>KH03343</t>
  </si>
  <si>
    <t>Anthony Mendoza</t>
  </si>
  <si>
    <t>KH00278</t>
  </si>
  <si>
    <t>Nguyễn Thu Hà</t>
  </si>
  <si>
    <t>KH03789</t>
  </si>
  <si>
    <t>Rufus Wensae</t>
  </si>
  <si>
    <t>KH03769</t>
  </si>
  <si>
    <t>Tinashe Neish Zibo</t>
  </si>
  <si>
    <t>KH02989</t>
  </si>
  <si>
    <t>Abongwa Clivert</t>
  </si>
  <si>
    <t>KH03391</t>
  </si>
  <si>
    <t>ミタ アズリナ</t>
  </si>
  <si>
    <t>KH03808</t>
  </si>
  <si>
    <t>Sumith Peiris</t>
  </si>
  <si>
    <t>KH01707</t>
  </si>
  <si>
    <t>KH03819</t>
  </si>
  <si>
    <t>Hồ Truyền</t>
  </si>
  <si>
    <t>KH03787</t>
  </si>
  <si>
    <t>Jocelyn Castro Saito</t>
  </si>
  <si>
    <t>KH03807</t>
  </si>
  <si>
    <t>Samuel Kesse</t>
  </si>
  <si>
    <t>KH03820</t>
  </si>
  <si>
    <t>Ced Mendez</t>
  </si>
  <si>
    <t>Nguyễn Lưu Nhật Vinh</t>
  </si>
  <si>
    <t>KH02693</t>
  </si>
  <si>
    <t>Aditya 優しい</t>
  </si>
  <si>
    <t>KH02010</t>
  </si>
  <si>
    <t>Gilbertano Teneng</t>
  </si>
  <si>
    <t>đly hoàng</t>
  </si>
  <si>
    <t>đly việt</t>
  </si>
  <si>
    <t>Wifi cố định</t>
  </si>
  <si>
    <t>Wifi cầm tay</t>
  </si>
  <si>
    <t>経費精算</t>
  </si>
  <si>
    <t>振込＊クボ シヤロン エスプラゴサ</t>
  </si>
  <si>
    <t>デポジット返金</t>
  </si>
  <si>
    <t>振込＊グエン ザー フオン</t>
  </si>
  <si>
    <t>デビット ８３５１６２</t>
  </si>
  <si>
    <t>デビット ８３５７９０</t>
  </si>
  <si>
    <t>デビット ８４１５９８</t>
  </si>
  <si>
    <t>デビット ８４３７９２</t>
  </si>
  <si>
    <t>デビット ８４４３３４</t>
  </si>
  <si>
    <t>デビット ８４５１９６</t>
  </si>
  <si>
    <t>デビット ８４５８３０</t>
  </si>
  <si>
    <t>デビット ８４６７０７</t>
  </si>
  <si>
    <t>デビット ８５４１１４</t>
  </si>
  <si>
    <t>デビット ８５４４４２</t>
  </si>
  <si>
    <t>デビット ８５５３３２</t>
  </si>
  <si>
    <t>デビット ８５５９１９</t>
  </si>
  <si>
    <t>デビット ０７２９８７</t>
  </si>
  <si>
    <t>デビット ０７３３８６</t>
  </si>
  <si>
    <t>デビット ０７４４４６</t>
  </si>
  <si>
    <t>デビット ０７４９３４</t>
  </si>
  <si>
    <t>デビット ０７８３４２</t>
  </si>
  <si>
    <t>デビット ０７８５７９</t>
  </si>
  <si>
    <t>デビット ３０９９８６</t>
  </si>
  <si>
    <t>デビット ３３１９０９</t>
  </si>
  <si>
    <t>デビット ３３２５９４</t>
  </si>
  <si>
    <t>デビット ５８９４５６</t>
  </si>
  <si>
    <t>デビット ５９０３５６</t>
  </si>
  <si>
    <t>デビット ５９１０３３</t>
  </si>
  <si>
    <t>デビット ６０９３０９</t>
  </si>
  <si>
    <t>デビット ６２３２５２</t>
  </si>
  <si>
    <t>デビット ６３２６００</t>
  </si>
  <si>
    <t>デビット ６３４１１１</t>
  </si>
  <si>
    <t>デビット ６３６７０７</t>
  </si>
  <si>
    <t>デビット ６３７２６１</t>
  </si>
  <si>
    <t>取消＊デビット ８６０９５９</t>
  </si>
  <si>
    <t>デビット ８９２５６３</t>
  </si>
  <si>
    <t>デビット ８９９２８３</t>
  </si>
  <si>
    <t>デビット ９００１１２</t>
  </si>
  <si>
    <t>デビット ９４０２３０</t>
  </si>
  <si>
    <t>デビット ９４１５３６</t>
  </si>
  <si>
    <t>デビット ９４３４７３</t>
  </si>
  <si>
    <t>デビット ９４４７２０</t>
  </si>
  <si>
    <t>デビット ９４６０３７</t>
  </si>
  <si>
    <t>デビット ９４７３４７</t>
  </si>
  <si>
    <t>デビット ９５０３５９</t>
  </si>
  <si>
    <t>デビット ０４１２３２</t>
  </si>
  <si>
    <t>デビット ８３１１４４</t>
  </si>
  <si>
    <t>デビット ８３０５２３</t>
  </si>
  <si>
    <t>デビット ８２９９２６</t>
  </si>
  <si>
    <t>デビット ８２９３６０</t>
  </si>
  <si>
    <t>デビット ８２８７４２</t>
  </si>
  <si>
    <t>デビット １３４９４５</t>
  </si>
  <si>
    <t>デビット ０８７４２５</t>
  </si>
  <si>
    <t>デビット ０８６９４６</t>
  </si>
  <si>
    <t>デビット ０８４５１２</t>
  </si>
  <si>
    <t>取消＊デビット ７３７４３４</t>
  </si>
  <si>
    <t>デビット ４１３０８１</t>
  </si>
  <si>
    <t>デビット ４１２５８９</t>
  </si>
  <si>
    <t>デビット ３９６６５２</t>
  </si>
  <si>
    <t>デビット ３８２５５９</t>
  </si>
  <si>
    <t>デビット ３６１９５５</t>
  </si>
  <si>
    <t>デビット ３５９９１４</t>
  </si>
  <si>
    <t>デビット ３５４４２９</t>
  </si>
  <si>
    <t>デビット ６６６５３６</t>
  </si>
  <si>
    <t>デビット ６６５８６９</t>
  </si>
  <si>
    <t>デビット ６５５３３７</t>
  </si>
  <si>
    <t>デビット ６４８８８２</t>
  </si>
  <si>
    <t>デビット ６４８１８９</t>
  </si>
  <si>
    <t>デビット ９５３８６８</t>
  </si>
  <si>
    <t>デビット ９５３３３０</t>
  </si>
  <si>
    <t>デビット ９５１９０５</t>
  </si>
  <si>
    <t>デビット ９２９５６４</t>
  </si>
  <si>
    <t>デビット ９２６２８７</t>
  </si>
  <si>
    <t>取消＊デビット １２３３８６</t>
  </si>
  <si>
    <t>デビット ８１２０８０</t>
  </si>
  <si>
    <t>取消＊デビット １２４５５４</t>
  </si>
  <si>
    <t>デビット ８０５２０２</t>
  </si>
  <si>
    <t>デビット ８０４７３２</t>
  </si>
  <si>
    <t>デビット ８０３８４５</t>
  </si>
  <si>
    <t>デビット ８０３４２５</t>
  </si>
  <si>
    <t>デビット ８０２９９９</t>
  </si>
  <si>
    <t>デビット ７５０３４８</t>
  </si>
  <si>
    <t>デビット ７４９３２７</t>
  </si>
  <si>
    <t>デビット ７４８８３０</t>
  </si>
  <si>
    <t>デビット ７４８３４３</t>
  </si>
  <si>
    <t>デビット ７４８０１６</t>
  </si>
  <si>
    <t>デビット ００４７６７</t>
  </si>
  <si>
    <t>デビット ００４１３５</t>
  </si>
  <si>
    <t>デビット ００２０５１</t>
  </si>
  <si>
    <t>デビット ００１５６８</t>
  </si>
  <si>
    <t>デビット ６３６８６６</t>
  </si>
  <si>
    <t>デビット ５２１９４７</t>
  </si>
  <si>
    <t>デビット ８８３６４９</t>
  </si>
  <si>
    <t>デビット ８８３１８７</t>
  </si>
  <si>
    <t>デビット ８８２５５２</t>
  </si>
  <si>
    <t>デビット ８８１４９２</t>
  </si>
  <si>
    <t>デビット ９２５７８９</t>
  </si>
  <si>
    <t>デビット ９２５２２６</t>
  </si>
  <si>
    <t>デビット ９１８７５６</t>
  </si>
  <si>
    <t>デビット ９１８２３８</t>
  </si>
  <si>
    <t>デビット ９１５７５５</t>
  </si>
  <si>
    <t>デビット ９１４９９４</t>
  </si>
  <si>
    <t>デビット ９１４４８９</t>
  </si>
  <si>
    <t>デビット ９０６７１６</t>
  </si>
  <si>
    <t>デビット ９０６１６１</t>
  </si>
  <si>
    <t>取消＊デビット ４９８８８３</t>
  </si>
  <si>
    <t>デビット ０４４９１５</t>
  </si>
  <si>
    <t>取消＊デビット ８５８４３８</t>
  </si>
  <si>
    <t>デビット ７８２４１５</t>
  </si>
  <si>
    <t>デビット ７８１９２３</t>
  </si>
  <si>
    <t>デビット ７８０７０６</t>
  </si>
  <si>
    <t>デビット ７７９９９３</t>
  </si>
  <si>
    <t>デビット ７７８９９９</t>
  </si>
  <si>
    <t>デビット ７７８３４１</t>
  </si>
  <si>
    <t>振込＊ＴＢ１１７９４</t>
  </si>
  <si>
    <t>振込＊レー テイ ゴツク</t>
  </si>
  <si>
    <t>取消＊デビット ８７０６０８</t>
  </si>
  <si>
    <t>デビット ３６２６５８</t>
  </si>
  <si>
    <t>デビット ３６２１０５</t>
  </si>
  <si>
    <t>デビット ３５３２２７</t>
  </si>
  <si>
    <t>デビット ３５２００９</t>
  </si>
  <si>
    <t>デビット ３５１１１１</t>
  </si>
  <si>
    <t>デビット ３５０３０９</t>
  </si>
  <si>
    <t>デビット ３４８８８８</t>
  </si>
  <si>
    <t>デビット ３４２７２７</t>
  </si>
  <si>
    <t>デビット ３２６７６２</t>
  </si>
  <si>
    <t>デビット ３２５１１１</t>
  </si>
  <si>
    <t>デビット ３２４６５８</t>
  </si>
  <si>
    <t>デビット ３１８０９０</t>
  </si>
  <si>
    <t>取消＊デビット ９６３７３９</t>
  </si>
  <si>
    <t>デビット ６２８１７７</t>
  </si>
  <si>
    <t>取消＊デビット ９６６２６６</t>
  </si>
  <si>
    <t>振込＊ウ゛オー バン タイ</t>
  </si>
  <si>
    <t>デビット ９７２３７１</t>
  </si>
  <si>
    <t>デビット ９６５９６７</t>
  </si>
  <si>
    <t>デビット ９６５４７１</t>
  </si>
  <si>
    <t>デビット ９６４３０４</t>
  </si>
  <si>
    <t>デビット ９４２１１９</t>
  </si>
  <si>
    <t>デビット ９４１６１１</t>
  </si>
  <si>
    <t>デビット ９４０８７３</t>
  </si>
  <si>
    <t>デビット ９４０１８７</t>
  </si>
  <si>
    <t>デビット ９３７１３９</t>
  </si>
  <si>
    <t>デビット ９３５９１４</t>
  </si>
  <si>
    <t>デビット ９３４７２１</t>
  </si>
  <si>
    <t>デビット ９３３８０７</t>
  </si>
  <si>
    <t>デビット ９２３７６９</t>
  </si>
  <si>
    <t>デビット ９２１０７３</t>
  </si>
  <si>
    <t>デビット ９１２７２６</t>
  </si>
  <si>
    <t>デビット ９１０７８７</t>
  </si>
  <si>
    <t>デビット ９０９１３０</t>
  </si>
  <si>
    <t>デビット ０９０４４８</t>
  </si>
  <si>
    <t>デビット ８５９３６８</t>
  </si>
  <si>
    <t>デビット ８３５４８７</t>
  </si>
  <si>
    <t>デビット ８３１４５５</t>
  </si>
  <si>
    <t>振込＊エヌテイテイフアイナンス（カ</t>
  </si>
  <si>
    <t>デビット ８２６１５３</t>
  </si>
  <si>
    <t>デビット ８２１３４２</t>
  </si>
  <si>
    <t>コクゼイチヨウ （22026083114474677344）</t>
  </si>
  <si>
    <t>コクゼイチヨウ （22026083114410827480）</t>
  </si>
  <si>
    <t>Tiền thuê máy in</t>
  </si>
  <si>
    <t>Chuyển tiền vận chuyển cho kho</t>
  </si>
  <si>
    <t>Phí chuyển tiền</t>
  </si>
  <si>
    <t>Cước vận chuyển</t>
  </si>
  <si>
    <t>Phí bảo hiểm Highmech</t>
  </si>
  <si>
    <t>Phí chuyển khoản theo lô</t>
  </si>
  <si>
    <t>Luân chuyển từ GMO-&gt; SBI</t>
  </si>
  <si>
    <t>FV</t>
  </si>
  <si>
    <t>M-Tra</t>
  </si>
  <si>
    <t>C-Cast</t>
  </si>
  <si>
    <t>Trả góp 3000 cục U20</t>
  </si>
  <si>
    <t>Luna</t>
  </si>
  <si>
    <t>Luân chuyển từ Yucho-&gt; SBI</t>
  </si>
  <si>
    <t>Assis</t>
  </si>
  <si>
    <t>Achiles</t>
  </si>
  <si>
    <t>Hoàn tiền cho khách</t>
  </si>
  <si>
    <t>Võ Văn Tài</t>
  </si>
  <si>
    <t>Phí thuê kế toán</t>
  </si>
  <si>
    <t>Chuyển khoản NTT</t>
  </si>
  <si>
    <t>Chuyển tiền chi Assis</t>
  </si>
  <si>
    <t xml:space="preserve">Thanh toán cước sim </t>
  </si>
  <si>
    <t>Calender</t>
  </si>
  <si>
    <t>Thanh toán cước wf cầm tay</t>
  </si>
  <si>
    <t>Công nợ tháng 7 Trưởng</t>
  </si>
  <si>
    <t>Công nợ tháng 7 Teki</t>
  </si>
  <si>
    <t>TEKI</t>
  </si>
  <si>
    <t>ＦＩＲＧＯ ＦＡ</t>
  </si>
  <si>
    <t>HD004318</t>
  </si>
  <si>
    <t>ｲｶﾞﾗｼｼﾞｴﾆﾌｱ-</t>
  </si>
  <si>
    <t>ＳＹ ＴＨＩ Ｔ</t>
  </si>
  <si>
    <t>大瀧 嘉賢</t>
  </si>
  <si>
    <t>ＢＩＬＬＡＨ Ｍ</t>
  </si>
  <si>
    <t>ＩＲＶＡＮ ＰＥ</t>
  </si>
  <si>
    <t>佐藤 由香里</t>
  </si>
  <si>
    <t>松山 義雅</t>
  </si>
  <si>
    <t>TRUONG JAYDEN</t>
  </si>
  <si>
    <t>ＳＡＮＴＯＳ Ｒ</t>
  </si>
  <si>
    <t>ＨＡＳＥＥＢ Ｍ</t>
  </si>
  <si>
    <t>ＧＥＮＯＮ ＲＯ</t>
  </si>
  <si>
    <t>ｲｽﾙｱﾖﾏﾙ</t>
  </si>
  <si>
    <t>ＨＡＧＩＨＡＲＡ</t>
  </si>
  <si>
    <t>ＵＤＵＷＡＮＡＧ</t>
  </si>
  <si>
    <t>ＫＡＭＳＡＬＩ</t>
  </si>
  <si>
    <t>ＡＮＥＫＥ ＫＥ</t>
  </si>
  <si>
    <t>ＴＵＯＮＧ ＴＨ</t>
  </si>
  <si>
    <t>ＲＥＺＡ ＭＡＨ</t>
  </si>
  <si>
    <t>ＰＨＡＮ ＸＵＡ</t>
  </si>
  <si>
    <t xml:space="preserve">WIFI-17877959505131486
</t>
  </si>
  <si>
    <t>WIFI-17877930309220124</t>
  </si>
  <si>
    <t>WIFI-17877954386161118</t>
  </si>
  <si>
    <t>WIFI-17878037065900551</t>
  </si>
  <si>
    <t>WIFI-17877944719821121</t>
  </si>
  <si>
    <t xml:space="preserve">WIFI-17877935516950145
</t>
  </si>
  <si>
    <t>WIFI-17878009989440405</t>
  </si>
  <si>
    <t>WIFI-17877953364342797</t>
  </si>
  <si>
    <t>WIFI-17878231716810475</t>
  </si>
  <si>
    <t>WIFI-17877931450940641</t>
  </si>
  <si>
    <t>WIFI-17877926637911110</t>
  </si>
  <si>
    <t>WIFI-17878161398250638</t>
  </si>
  <si>
    <t>WIFI-17877872801141111</t>
  </si>
  <si>
    <t>WIFI-17877953425981928</t>
  </si>
  <si>
    <t>WIFI-17878233150910519</t>
  </si>
  <si>
    <t>WIFI-17877958474561757</t>
  </si>
  <si>
    <t>WIFI-1787793812809037</t>
  </si>
  <si>
    <t>WIFI-17878802140070605</t>
  </si>
  <si>
    <t>WIFI-17877963541411793</t>
  </si>
  <si>
    <t>WIFI-17878805163920912</t>
  </si>
  <si>
    <t>WIFI-17877865741241945</t>
  </si>
  <si>
    <t>WIFI-17877956064951753</t>
  </si>
  <si>
    <t>WIFI-17879061862521915</t>
  </si>
  <si>
    <t>WIFI-17877936846800778</t>
  </si>
  <si>
    <t>WIFI-17877965306793123</t>
  </si>
  <si>
    <t>WIFI-17877947269580954</t>
  </si>
  <si>
    <t>WIFI-17879002681640842</t>
  </si>
  <si>
    <t>WIFI-17878984463241604</t>
  </si>
  <si>
    <t>WIFI-17879088661791472</t>
  </si>
  <si>
    <t>WIFI-17879123053530431</t>
  </si>
  <si>
    <t>WIFI-17879053532290560</t>
  </si>
  <si>
    <t>WIFI-1787906134902137</t>
  </si>
  <si>
    <t>WIFI-17879103805991584</t>
  </si>
  <si>
    <t>WIFI-COC-17878998411610443</t>
  </si>
  <si>
    <t>WIFI-17879101924940387</t>
  </si>
  <si>
    <t>WIFI-17877952067241126</t>
  </si>
  <si>
    <t>WIFI-17878984036391556</t>
  </si>
  <si>
    <t>WIFI-17879099779900956</t>
  </si>
  <si>
    <t>WIFI-17877946200970315</t>
  </si>
  <si>
    <t>WIFI-17879097861920160</t>
  </si>
  <si>
    <t>WIFI-17879666176341748</t>
  </si>
  <si>
    <t>WIFI-17877962826091998</t>
  </si>
  <si>
    <t>WIFI-17879065033981424</t>
  </si>
  <si>
    <t>WIFI-17879662696771388</t>
  </si>
  <si>
    <t>WIFI-17879778254000310</t>
  </si>
  <si>
    <t>WIFI-17877953885691372</t>
  </si>
  <si>
    <t>WIFI-17879085062640903</t>
  </si>
  <si>
    <t>WIFI-17879668612900211</t>
  </si>
  <si>
    <t>WIFI-17879768382170508</t>
  </si>
  <si>
    <t>WIFI-17877979257011960</t>
  </si>
  <si>
    <t>WIFI-17879048132601676</t>
  </si>
  <si>
    <t>WIFI-1787970686688062</t>
  </si>
  <si>
    <t>WIFI-17877989658120341</t>
  </si>
  <si>
    <t>WIFI-17879704011201704</t>
  </si>
  <si>
    <t>WIFI-17879703631821981</t>
  </si>
  <si>
    <t>WIFI-17877941362302143</t>
  </si>
  <si>
    <t>WIFI-178790541908902</t>
  </si>
  <si>
    <t>WIFI-17878985772971877</t>
  </si>
  <si>
    <t>WIFI-17879683854540585</t>
  </si>
  <si>
    <t>WIFI-17879708500650752</t>
  </si>
  <si>
    <t>WIFI-17878993309361366</t>
  </si>
  <si>
    <t>WIFI-17879705400161474</t>
  </si>
  <si>
    <t>WIFI-17879657248432773</t>
  </si>
  <si>
    <t>WIFI-17879661524761285</t>
  </si>
  <si>
    <t>WIFI-1788054429015356</t>
  </si>
  <si>
    <t>WIFI-17879665350311627</t>
  </si>
  <si>
    <t>WIFI-17877927148950937</t>
  </si>
  <si>
    <t>WIFI-1787787785017235</t>
  </si>
  <si>
    <t>WIFI-17879070554081193</t>
  </si>
  <si>
    <t>WIFI-17877942835690801</t>
  </si>
  <si>
    <t>WIFI-17878794966721701</t>
  </si>
  <si>
    <t>WIFI-17879779827720908</t>
  </si>
  <si>
    <t>WIFI-17878182627061973</t>
  </si>
  <si>
    <t>WIFI-17877955502341216</t>
  </si>
  <si>
    <t>WIFI-17879671302780242</t>
  </si>
  <si>
    <t>WIFI-17878985532830809</t>
  </si>
  <si>
    <t>WIFI-17880081347720571</t>
  </si>
  <si>
    <t>WIFI-17879664421561942</t>
  </si>
  <si>
    <t>WIFI-17879091122251760</t>
  </si>
  <si>
    <t>WIFI-17879092610361520</t>
  </si>
  <si>
    <t>WIFI-17879682443730568</t>
  </si>
  <si>
    <t>WIFI-17877948418250719</t>
  </si>
  <si>
    <t>WIFI-17879090547021413</t>
  </si>
  <si>
    <t>WIFI-17877874697982863</t>
  </si>
  <si>
    <t>WIFI-17879671096720116</t>
  </si>
  <si>
    <t>WIFI-1787883250208055</t>
  </si>
  <si>
    <t xml:space="preserve">WIFI-178788020269909
</t>
  </si>
  <si>
    <t>WIFI-17877969647540248</t>
  </si>
  <si>
    <t>WIFI-17878178327951425</t>
  </si>
  <si>
    <t>WIFI-17878178545001113</t>
  </si>
  <si>
    <t>WIFI-17879661077120918</t>
  </si>
  <si>
    <t>WIFI-17879662959800202</t>
  </si>
  <si>
    <t>WIFI-1787909967757092</t>
  </si>
  <si>
    <t>WIFI-17879659472640100</t>
  </si>
  <si>
    <t>WIFI-1787797034423195</t>
  </si>
  <si>
    <t>WIFI-17879695201231755</t>
  </si>
  <si>
    <t>WIFI-17877950104210535</t>
  </si>
  <si>
    <t>WIFI-17879657889170551</t>
  </si>
  <si>
    <t>WIFI-17879676011970353</t>
  </si>
  <si>
    <t>WIFI-17881515145431511</t>
  </si>
  <si>
    <t>WIFI-17879678790930726</t>
  </si>
  <si>
    <t>WIFI-17879757877480800</t>
  </si>
  <si>
    <t>WIFI-17877968662391994</t>
  </si>
  <si>
    <t>WIFI-17879028026721898</t>
  </si>
  <si>
    <t>WIFI-17879062536140638</t>
  </si>
  <si>
    <t>WIFI-17877964630061642</t>
  </si>
  <si>
    <t>WIFI-17877962034530790</t>
  </si>
  <si>
    <t>WIFI-17879117393641215</t>
  </si>
  <si>
    <t>WIFI-17877965739471950</t>
  </si>
  <si>
    <t>WIFI-17881644236851431</t>
  </si>
  <si>
    <t>WIFI-17879669265611429</t>
  </si>
  <si>
    <t>MÃ GIAO DỊCH</t>
  </si>
  <si>
    <t>Gồm các khoản khác và không rõ, tiền cước của các khách mới từ tháng 7+8</t>
  </si>
  <si>
    <t>BÁO CÁO TIỀN CỌC HẾT THÁNG 8</t>
  </si>
  <si>
    <t>U00007770272</t>
  </si>
  <si>
    <t>U00007777463</t>
  </si>
  <si>
    <t>U00007787781</t>
  </si>
  <si>
    <t>U00007792347</t>
  </si>
  <si>
    <t>U00007805651</t>
  </si>
  <si>
    <t>U00007803797</t>
  </si>
  <si>
    <t>U00007807872</t>
  </si>
  <si>
    <t>U00007827103</t>
  </si>
  <si>
    <t>U00007826756</t>
  </si>
  <si>
    <t>U00007827935</t>
  </si>
  <si>
    <t>U00007830489</t>
  </si>
  <si>
    <t>U00007829193</t>
  </si>
  <si>
    <t>U00007833901</t>
  </si>
  <si>
    <t>U00007833245</t>
  </si>
  <si>
    <t>U00007835730</t>
  </si>
  <si>
    <t>U00007839551</t>
  </si>
  <si>
    <t>U00007841246</t>
  </si>
  <si>
    <t>U00007842185</t>
  </si>
  <si>
    <t>U00007843013</t>
  </si>
  <si>
    <t>U00007846034</t>
  </si>
  <si>
    <t>U00007846037</t>
  </si>
  <si>
    <t>U00007845671</t>
  </si>
  <si>
    <t>U00007848170</t>
  </si>
  <si>
    <t>U00007849184</t>
  </si>
  <si>
    <t>U00007848376</t>
  </si>
  <si>
    <t>U00007850825</t>
  </si>
  <si>
    <t>U00007850869</t>
  </si>
  <si>
    <t>U00007850487</t>
  </si>
  <si>
    <t>U00007851188</t>
  </si>
  <si>
    <t>U00007855001</t>
  </si>
  <si>
    <t>U00003128549</t>
  </si>
  <si>
    <t>U00007853131</t>
  </si>
  <si>
    <t>U00003128564</t>
  </si>
  <si>
    <t>U00003128567</t>
  </si>
  <si>
    <t>U00007854447</t>
  </si>
  <si>
    <t>U00007854527</t>
  </si>
  <si>
    <t>U00007854556</t>
  </si>
  <si>
    <t>U00007855173</t>
  </si>
  <si>
    <t>U00007855399</t>
  </si>
  <si>
    <t>U00007854205</t>
  </si>
  <si>
    <t>U00007854206</t>
  </si>
  <si>
    <t>U00007855453</t>
  </si>
  <si>
    <t>U00007856210</t>
  </si>
  <si>
    <t>U00007856278</t>
  </si>
  <si>
    <t>U00007854732</t>
  </si>
  <si>
    <t>U00007855068</t>
  </si>
  <si>
    <t>U00007855072</t>
  </si>
  <si>
    <t>U00007856636</t>
  </si>
  <si>
    <t>U00007856244</t>
  </si>
  <si>
    <t>U00007857194</t>
  </si>
  <si>
    <t>U00007857165</t>
  </si>
  <si>
    <t>U00007857302</t>
  </si>
  <si>
    <t>U00007857320</t>
  </si>
  <si>
    <t>U00007857699</t>
  </si>
  <si>
    <t>U00007857795</t>
  </si>
  <si>
    <t>U00007857600</t>
  </si>
  <si>
    <t>U00007857819</t>
  </si>
  <si>
    <t>U00007858228</t>
  </si>
  <si>
    <t>U00007858437</t>
  </si>
  <si>
    <t>U00007858455</t>
  </si>
  <si>
    <t>U00007858242</t>
  </si>
  <si>
    <t>U00007858258</t>
  </si>
  <si>
    <t>U00003129031</t>
  </si>
  <si>
    <t>U00007858661</t>
  </si>
  <si>
    <t>U00007859770</t>
  </si>
  <si>
    <t>U00007861234</t>
  </si>
  <si>
    <t>U00007861405</t>
  </si>
  <si>
    <t>U00007861617</t>
  </si>
  <si>
    <t>U00007866910</t>
  </si>
  <si>
    <t>U00007867980</t>
  </si>
  <si>
    <t>U00007867338</t>
  </si>
  <si>
    <t>U00003129596</t>
  </si>
  <si>
    <t>U00007867132</t>
  </si>
  <si>
    <t>U00007867634</t>
  </si>
  <si>
    <t>U00007867343</t>
  </si>
  <si>
    <t>U00007869546</t>
  </si>
  <si>
    <t>U00007866999</t>
  </si>
  <si>
    <t>U00007868027</t>
  </si>
  <si>
    <t>U00007868041</t>
  </si>
  <si>
    <t>U00007868236</t>
  </si>
  <si>
    <t>U00007870413</t>
  </si>
  <si>
    <t>U00007872512</t>
  </si>
  <si>
    <t>U00007872573</t>
  </si>
  <si>
    <t>U00007872576</t>
  </si>
  <si>
    <t>U00007871416</t>
  </si>
  <si>
    <t>U00007872681</t>
  </si>
  <si>
    <t>U00007872687</t>
  </si>
  <si>
    <t>U00007871862</t>
  </si>
  <si>
    <t>U00007871909</t>
  </si>
  <si>
    <t>U00007873145</t>
  </si>
  <si>
    <t>U00007873152</t>
  </si>
  <si>
    <t>U00007873233</t>
  </si>
  <si>
    <t>U00007872910</t>
  </si>
  <si>
    <t>U00007873457</t>
  </si>
  <si>
    <t>U00007873626</t>
  </si>
  <si>
    <t>U00007874938</t>
  </si>
  <si>
    <t>U00007881921</t>
  </si>
  <si>
    <t>U00007874959</t>
  </si>
  <si>
    <t>U00007874976</t>
  </si>
  <si>
    <t>U00007883086</t>
  </si>
  <si>
    <t>U00007882043</t>
  </si>
  <si>
    <t>U00007875125</t>
  </si>
  <si>
    <t>U00007882157</t>
  </si>
  <si>
    <t>U00007883156</t>
  </si>
  <si>
    <t>U00007882257</t>
  </si>
  <si>
    <t>U00007876128</t>
  </si>
  <si>
    <t>U00007882269</t>
  </si>
  <si>
    <t>U00007882295</t>
  </si>
  <si>
    <t>U00007876436</t>
  </si>
  <si>
    <t>U00007876449</t>
  </si>
  <si>
    <t>U00007876452</t>
  </si>
  <si>
    <t>U00007883514</t>
  </si>
  <si>
    <t>U00007882338</t>
  </si>
  <si>
    <t>U00007883647</t>
  </si>
  <si>
    <t>U00007884505</t>
  </si>
  <si>
    <t>U00007884544</t>
  </si>
  <si>
    <t>U00007876813</t>
  </si>
  <si>
    <t>U00007882491</t>
  </si>
  <si>
    <t>U00007877022</t>
  </si>
  <si>
    <t>U00007883686</t>
  </si>
  <si>
    <t>U00007883669</t>
  </si>
  <si>
    <t>U00007883738</t>
  </si>
  <si>
    <t>U00007884536</t>
  </si>
  <si>
    <t>U00007882541</t>
  </si>
  <si>
    <t>U00007884561</t>
  </si>
  <si>
    <t>U00007884037</t>
  </si>
  <si>
    <t>U00007884043</t>
  </si>
  <si>
    <t>U00007882546</t>
  </si>
  <si>
    <t>U00007884049</t>
  </si>
  <si>
    <t>U00007884054</t>
  </si>
  <si>
    <t>U00007884158</t>
  </si>
  <si>
    <t>U00007884212</t>
  </si>
  <si>
    <t>U00007884799</t>
  </si>
  <si>
    <t>U00007884015</t>
  </si>
  <si>
    <t>U00007884021</t>
  </si>
  <si>
    <t>U00007884593</t>
  </si>
  <si>
    <t>U00007884835</t>
  </si>
  <si>
    <t>U00007885396</t>
  </si>
  <si>
    <t>U00007885403</t>
  </si>
  <si>
    <t>U00003130101</t>
  </si>
  <si>
    <t>U00003130096</t>
  </si>
  <si>
    <t>U00003130098</t>
  </si>
  <si>
    <t>U00003130106</t>
  </si>
  <si>
    <t>U00007885495</t>
  </si>
  <si>
    <t>U00007885506</t>
  </si>
  <si>
    <t>U00003130102</t>
  </si>
  <si>
    <t>U00007885536</t>
  </si>
  <si>
    <t>U00007895256</t>
  </si>
  <si>
    <t>U00007885562</t>
  </si>
  <si>
    <t>U00007885689</t>
  </si>
  <si>
    <t>U00003130103</t>
  </si>
  <si>
    <t>U00007885693</t>
  </si>
  <si>
    <t>U00003130086</t>
  </si>
  <si>
    <t>U00003130087</t>
  </si>
  <si>
    <t>U00007885710</t>
  </si>
  <si>
    <t>U00007885713</t>
  </si>
  <si>
    <t>U00007885718</t>
  </si>
  <si>
    <t>U00003130089</t>
  </si>
  <si>
    <t>U00007885733</t>
  </si>
  <si>
    <t>U00007885751</t>
  </si>
  <si>
    <t>U00003130090</t>
  </si>
  <si>
    <t>U00007895271</t>
  </si>
  <si>
    <t>U00007885758</t>
  </si>
  <si>
    <t>U00007885767</t>
  </si>
  <si>
    <t>U00007885772</t>
  </si>
  <si>
    <t>U00007885777</t>
  </si>
  <si>
    <t>U00007895282</t>
  </si>
  <si>
    <t>U00007887084</t>
  </si>
  <si>
    <t>U00007895339</t>
  </si>
  <si>
    <t>U00007888254</t>
  </si>
  <si>
    <t>U00003130107</t>
  </si>
  <si>
    <t>U00003130104</t>
  </si>
  <si>
    <t>U00007895361</t>
  </si>
  <si>
    <t>U00007887246</t>
  </si>
  <si>
    <t>U00007895370</t>
  </si>
  <si>
    <t>U00007890638</t>
  </si>
  <si>
    <t>U00007888010</t>
  </si>
  <si>
    <t>U00007895446</t>
  </si>
  <si>
    <t>U00007888212</t>
  </si>
  <si>
    <t>U00007888282</t>
  </si>
  <si>
    <t>U00007895597</t>
  </si>
  <si>
    <t>U00007889036</t>
  </si>
  <si>
    <t>U00007889240</t>
  </si>
  <si>
    <t>U00007890665</t>
  </si>
  <si>
    <t>U00007888527</t>
  </si>
  <si>
    <t>U00007895631</t>
  </si>
  <si>
    <t>U00007888633</t>
  </si>
  <si>
    <t>U00007888804</t>
  </si>
  <si>
    <t>U00007888665</t>
  </si>
  <si>
    <t>U00007888680</t>
  </si>
  <si>
    <t>U00007889069</t>
  </si>
  <si>
    <t>U00007889274</t>
  </si>
  <si>
    <t>U00007895625</t>
  </si>
  <si>
    <t>U00007898301</t>
  </si>
  <si>
    <t>U00007891389</t>
  </si>
  <si>
    <t>U00007891392</t>
  </si>
  <si>
    <t>U00007898314</t>
  </si>
  <si>
    <t>U00007889305</t>
  </si>
  <si>
    <t>U00007891394</t>
  </si>
  <si>
    <t>U00007898329</t>
  </si>
  <si>
    <t>U00007890671</t>
  </si>
  <si>
    <t>U00007891991</t>
  </si>
  <si>
    <t>U00007891787</t>
  </si>
  <si>
    <t>U00007890699</t>
  </si>
  <si>
    <t>U00007890681</t>
  </si>
  <si>
    <t>U00007891792</t>
  </si>
  <si>
    <t>U00007889683</t>
  </si>
  <si>
    <t>U00007889689</t>
  </si>
  <si>
    <t>U00007891806</t>
  </si>
  <si>
    <t>U00007892008</t>
  </si>
  <si>
    <t>U00007891816</t>
  </si>
  <si>
    <t>U00007891842</t>
  </si>
  <si>
    <t>U00007889703</t>
  </si>
  <si>
    <t>U00007889713</t>
  </si>
  <si>
    <t>U00007891894</t>
  </si>
  <si>
    <t>U00007891899</t>
  </si>
  <si>
    <t>U00007892018</t>
  </si>
  <si>
    <t>U00007891174</t>
  </si>
  <si>
    <t>U00007895649</t>
  </si>
  <si>
    <t>U00007889971</t>
  </si>
  <si>
    <t>U00007895653</t>
  </si>
  <si>
    <t>U00007889978</t>
  </si>
  <si>
    <t>U00007891904</t>
  </si>
  <si>
    <t>U00007891911</t>
  </si>
  <si>
    <t>U00007892020</t>
  </si>
  <si>
    <t>U00007891917</t>
  </si>
  <si>
    <t>U00007891921</t>
  </si>
  <si>
    <t>U00007891943</t>
  </si>
  <si>
    <t>U00007891952</t>
  </si>
  <si>
    <t>U00007892135</t>
  </si>
  <si>
    <t>U00007891196</t>
  </si>
  <si>
    <t>U00007892174</t>
  </si>
  <si>
    <t>U00007892771</t>
  </si>
  <si>
    <t>U00007891964</t>
  </si>
  <si>
    <t>U00007891967</t>
  </si>
  <si>
    <t>U00007891971</t>
  </si>
  <si>
    <t>U00007891975</t>
  </si>
  <si>
    <t>U00007891205</t>
  </si>
  <si>
    <t>U00007892147</t>
  </si>
  <si>
    <t>U00007892186</t>
  </si>
  <si>
    <t>U00007892192</t>
  </si>
  <si>
    <t>U00007891992</t>
  </si>
  <si>
    <t>U00007892160</t>
  </si>
  <si>
    <t>U00007892197</t>
  </si>
  <si>
    <t>U00007892169</t>
  </si>
  <si>
    <t>U00007892177</t>
  </si>
  <si>
    <t>U00007892181</t>
  </si>
  <si>
    <t>U00007892013</t>
  </si>
  <si>
    <t>U00007892190</t>
  </si>
  <si>
    <t>U00007892195</t>
  </si>
  <si>
    <t>U00007892203</t>
  </si>
  <si>
    <t>U00007892220</t>
  </si>
  <si>
    <t>U00007892338</t>
  </si>
  <si>
    <t>U00007892355</t>
  </si>
  <si>
    <t>U00007892426</t>
  </si>
  <si>
    <t>U00007892361</t>
  </si>
  <si>
    <t>U00007892393</t>
  </si>
  <si>
    <t>U00007892396</t>
  </si>
  <si>
    <t>U00007892309</t>
  </si>
  <si>
    <t>U00007892315</t>
  </si>
  <si>
    <t>U00007892779</t>
  </si>
  <si>
    <t>U00007892782</t>
  </si>
  <si>
    <t>U00007893026</t>
  </si>
  <si>
    <t>U00007893097</t>
  </si>
  <si>
    <t>U00007894401</t>
  </si>
  <si>
    <t>U00007894390</t>
  </si>
  <si>
    <t>U00007894441</t>
  </si>
  <si>
    <t>U00007894449</t>
  </si>
  <si>
    <t>U00007894665</t>
  </si>
  <si>
    <t>U00007894724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</si>
</sst>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Arial"/>
      <family val="2"/>
    </font>
    <font>
      <sz val="11"/>
      <name val="Aptos Narrow"/>
      <family val="2"/>
      <scheme val="minor"/>
    </font>
    <font>
      <b/>
      <sz val="11"/>
      <color rgb="FFFF0000"/>
      <name val="Times New Roman"/>
      <family val="1"/>
    </font>
    <font>
      <b/>
      <sz val="11"/>
      <name val="Aptos Narrow"/>
    </font>
    <font>
      <b/>
      <sz val="11"/>
      <name val="Times New Roman"/>
      <family val="1"/>
    </font>
    <font>
      <sz val="13"/>
      <color theme="1"/>
      <name val="Calibri"/>
      <family val="2"/>
    </font>
    <font>
      <sz val="11"/>
      <color rgb="FF0F172A"/>
      <name val="Ui-sans-serif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A9D08E"/>
      </left>
      <right style="medium">
        <color rgb="FFCCCCCC"/>
      </right>
      <top style="medium">
        <color rgb="FFA9D08E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A9D08E"/>
      </top>
      <bottom style="medium">
        <color rgb="FFA9D08E"/>
      </bottom>
      <diagonal/>
    </border>
    <border>
      <left style="medium">
        <color rgb="FFA9D08E"/>
      </left>
      <right style="medium">
        <color rgb="FFCCCCCC"/>
      </right>
      <top style="medium">
        <color rgb="FFCCCCCC"/>
      </top>
      <bottom style="medium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9D08E"/>
      </bottom>
      <diagonal/>
    </border>
    <border>
      <left style="medium">
        <color rgb="FFA9D08E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8ED973"/>
      </left>
      <right style="medium">
        <color rgb="FFCCCCCC"/>
      </right>
      <top style="medium">
        <color rgb="FFCCCCCC"/>
      </top>
      <bottom style="medium">
        <color rgb="FF8ED973"/>
      </bottom>
      <diagonal/>
    </border>
    <border>
      <left style="medium">
        <color rgb="FF8ED973"/>
      </left>
      <right style="medium">
        <color rgb="FFCCCCCC"/>
      </right>
      <top style="medium">
        <color rgb="FF8ED973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8ED973"/>
      </top>
      <bottom style="medium">
        <color rgb="FF8ED97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/>
  </cellStyleXfs>
  <cellXfs count="193">
    <xf numFmtId="0" fontId="0" fillId="0" borderId="0" xfId="0"/>
    <xf numFmtId="164" fontId="2" fillId="2" borderId="0" xfId="1" applyNumberFormat="1" applyFont="1" applyFill="1"/>
    <xf numFmtId="164" fontId="0" fillId="0" borderId="0" xfId="1" applyNumberFormat="1" applyFont="1"/>
    <xf numFmtId="14" fontId="5" fillId="0" borderId="0" xfId="0" applyNumberFormat="1" applyFont="1" applyAlignment="1">
      <alignment horizontal="right" wrapText="1"/>
    </xf>
    <xf numFmtId="0" fontId="5" fillId="0" borderId="0" xfId="0" applyFont="1" applyAlignment="1">
      <alignment wrapText="1"/>
    </xf>
    <xf numFmtId="164" fontId="5" fillId="0" borderId="0" xfId="1" applyNumberFormat="1" applyFont="1" applyAlignment="1">
      <alignment horizontal="right" wrapText="1"/>
    </xf>
    <xf numFmtId="164" fontId="5" fillId="0" borderId="0" xfId="1" applyNumberFormat="1" applyFont="1" applyAlignment="1">
      <alignment wrapText="1"/>
    </xf>
    <xf numFmtId="0" fontId="5" fillId="0" borderId="0" xfId="0" applyFont="1"/>
    <xf numFmtId="164" fontId="5" fillId="0" borderId="0" xfId="1" applyNumberFormat="1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6" fillId="0" borderId="1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6" xfId="0" applyFont="1" applyBorder="1" applyAlignment="1">
      <alignment vertical="center"/>
    </xf>
    <xf numFmtId="164" fontId="6" fillId="0" borderId="6" xfId="1" applyNumberFormat="1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164" fontId="8" fillId="3" borderId="1" xfId="0" applyNumberFormat="1" applyFont="1" applyFill="1" applyBorder="1" applyAlignment="1">
      <alignment vertical="center"/>
    </xf>
    <xf numFmtId="0" fontId="9" fillId="4" borderId="11" xfId="0" applyFont="1" applyFill="1" applyBorder="1" applyAlignment="1">
      <alignment horizontal="right" wrapText="1"/>
    </xf>
    <xf numFmtId="0" fontId="9" fillId="4" borderId="12" xfId="0" applyFont="1" applyFill="1" applyBorder="1" applyAlignment="1">
      <alignment horizontal="right" wrapText="1"/>
    </xf>
    <xf numFmtId="0" fontId="10" fillId="4" borderId="12" xfId="0" applyFont="1" applyFill="1" applyBorder="1" applyAlignment="1">
      <alignment wrapText="1"/>
    </xf>
    <xf numFmtId="0" fontId="9" fillId="5" borderId="11" xfId="0" applyFont="1" applyFill="1" applyBorder="1" applyAlignment="1">
      <alignment horizontal="right" wrapText="1"/>
    </xf>
    <xf numFmtId="0" fontId="9" fillId="5" borderId="12" xfId="0" applyFont="1" applyFill="1" applyBorder="1" applyAlignment="1">
      <alignment horizontal="right" wrapText="1"/>
    </xf>
    <xf numFmtId="0" fontId="10" fillId="5" borderId="12" xfId="0" applyFont="1" applyFill="1" applyBorder="1" applyAlignment="1">
      <alignment wrapText="1"/>
    </xf>
    <xf numFmtId="0" fontId="9" fillId="0" borderId="11" xfId="0" applyFont="1" applyBorder="1" applyAlignment="1">
      <alignment horizontal="right" wrapText="1"/>
    </xf>
    <xf numFmtId="0" fontId="9" fillId="0" borderId="12" xfId="0" applyFont="1" applyBorder="1" applyAlignment="1">
      <alignment horizontal="right" wrapText="1"/>
    </xf>
    <xf numFmtId="0" fontId="10" fillId="0" borderId="12" xfId="0" applyFont="1" applyBorder="1" applyAlignment="1">
      <alignment wrapText="1"/>
    </xf>
    <xf numFmtId="1" fontId="0" fillId="0" borderId="0" xfId="0" applyNumberFormat="1" applyAlignment="1">
      <alignment vertical="center"/>
    </xf>
    <xf numFmtId="1" fontId="9" fillId="4" borderId="12" xfId="0" applyNumberFormat="1" applyFont="1" applyFill="1" applyBorder="1" applyAlignment="1">
      <alignment horizontal="right" wrapText="1"/>
    </xf>
    <xf numFmtId="1" fontId="9" fillId="5" borderId="12" xfId="0" applyNumberFormat="1" applyFont="1" applyFill="1" applyBorder="1" applyAlignment="1">
      <alignment horizontal="right" wrapText="1"/>
    </xf>
    <xf numFmtId="1" fontId="9" fillId="0" borderId="12" xfId="0" applyNumberFormat="1" applyFont="1" applyBorder="1" applyAlignment="1">
      <alignment horizontal="right" wrapText="1"/>
    </xf>
    <xf numFmtId="164" fontId="0" fillId="0" borderId="0" xfId="1" applyNumberFormat="1" applyFont="1" applyAlignment="1">
      <alignment vertical="center"/>
    </xf>
    <xf numFmtId="0" fontId="0" fillId="0" borderId="0" xfId="0" applyAlignment="1">
      <alignment wrapText="1"/>
    </xf>
    <xf numFmtId="14" fontId="12" fillId="6" borderId="16" xfId="0" applyNumberFormat="1" applyFont="1" applyFill="1" applyBorder="1" applyAlignment="1">
      <alignment horizontal="right" wrapText="1"/>
    </xf>
    <xf numFmtId="0" fontId="12" fillId="6" borderId="17" xfId="0" applyFont="1" applyFill="1" applyBorder="1" applyAlignment="1">
      <alignment wrapText="1"/>
    </xf>
    <xf numFmtId="0" fontId="10" fillId="6" borderId="17" xfId="0" applyFont="1" applyFill="1" applyBorder="1" applyAlignment="1">
      <alignment wrapText="1"/>
    </xf>
    <xf numFmtId="14" fontId="12" fillId="0" borderId="15" xfId="0" applyNumberFormat="1" applyFont="1" applyBorder="1" applyAlignment="1">
      <alignment horizontal="right" wrapText="1"/>
    </xf>
    <xf numFmtId="0" fontId="12" fillId="0" borderId="14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14" fontId="12" fillId="6" borderId="15" xfId="0" applyNumberFormat="1" applyFont="1" applyFill="1" applyBorder="1" applyAlignment="1">
      <alignment horizontal="right" wrapText="1"/>
    </xf>
    <xf numFmtId="0" fontId="12" fillId="6" borderId="14" xfId="0" applyFont="1" applyFill="1" applyBorder="1" applyAlignment="1">
      <alignment wrapText="1"/>
    </xf>
    <xf numFmtId="0" fontId="10" fillId="6" borderId="14" xfId="0" applyFont="1" applyFill="1" applyBorder="1" applyAlignment="1">
      <alignment wrapText="1"/>
    </xf>
    <xf numFmtId="164" fontId="12" fillId="6" borderId="17" xfId="1" applyNumberFormat="1" applyFont="1" applyFill="1" applyBorder="1" applyAlignment="1">
      <alignment horizontal="right" wrapText="1"/>
    </xf>
    <xf numFmtId="164" fontId="10" fillId="6" borderId="17" xfId="1" applyNumberFormat="1" applyFont="1" applyFill="1" applyBorder="1" applyAlignment="1">
      <alignment wrapText="1"/>
    </xf>
    <xf numFmtId="164" fontId="12" fillId="0" borderId="14" xfId="1" applyNumberFormat="1" applyFont="1" applyBorder="1" applyAlignment="1">
      <alignment horizontal="right" wrapText="1"/>
    </xf>
    <xf numFmtId="164" fontId="10" fillId="0" borderId="14" xfId="1" applyNumberFormat="1" applyFont="1" applyBorder="1" applyAlignment="1">
      <alignment wrapText="1"/>
    </xf>
    <xf numFmtId="164" fontId="12" fillId="6" borderId="14" xfId="1" applyNumberFormat="1" applyFont="1" applyFill="1" applyBorder="1" applyAlignment="1">
      <alignment horizontal="right" wrapText="1"/>
    </xf>
    <xf numFmtId="164" fontId="10" fillId="6" borderId="14" xfId="1" applyNumberFormat="1" applyFont="1" applyFill="1" applyBorder="1" applyAlignment="1">
      <alignment wrapText="1"/>
    </xf>
    <xf numFmtId="0" fontId="11" fillId="6" borderId="16" xfId="0" applyFont="1" applyFill="1" applyBorder="1" applyAlignment="1">
      <alignment horizontal="right" wrapText="1"/>
    </xf>
    <xf numFmtId="0" fontId="11" fillId="6" borderId="17" xfId="0" applyFont="1" applyFill="1" applyBorder="1" applyAlignment="1">
      <alignment horizontal="right" wrapText="1"/>
    </xf>
    <xf numFmtId="0" fontId="11" fillId="6" borderId="17" xfId="0" applyFont="1" applyFill="1" applyBorder="1" applyAlignment="1">
      <alignment wrapText="1"/>
    </xf>
    <xf numFmtId="0" fontId="11" fillId="0" borderId="15" xfId="0" applyFont="1" applyBorder="1" applyAlignment="1">
      <alignment horizontal="right" wrapText="1"/>
    </xf>
    <xf numFmtId="0" fontId="11" fillId="0" borderId="14" xfId="0" applyFont="1" applyBorder="1" applyAlignment="1">
      <alignment horizontal="right" wrapText="1"/>
    </xf>
    <xf numFmtId="0" fontId="11" fillId="0" borderId="14" xfId="0" applyFont="1" applyBorder="1" applyAlignment="1">
      <alignment wrapText="1"/>
    </xf>
    <xf numFmtId="0" fontId="11" fillId="6" borderId="15" xfId="0" applyFont="1" applyFill="1" applyBorder="1" applyAlignment="1">
      <alignment horizontal="right" wrapText="1"/>
    </xf>
    <xf numFmtId="0" fontId="11" fillId="6" borderId="14" xfId="0" applyFont="1" applyFill="1" applyBorder="1" applyAlignment="1">
      <alignment horizontal="right" wrapText="1"/>
    </xf>
    <xf numFmtId="0" fontId="11" fillId="6" borderId="14" xfId="0" applyFont="1" applyFill="1" applyBorder="1" applyAlignment="1">
      <alignment wrapText="1"/>
    </xf>
    <xf numFmtId="1" fontId="11" fillId="6" borderId="17" xfId="0" applyNumberFormat="1" applyFont="1" applyFill="1" applyBorder="1" applyAlignment="1">
      <alignment horizontal="right" wrapText="1"/>
    </xf>
    <xf numFmtId="1" fontId="11" fillId="0" borderId="14" xfId="0" applyNumberFormat="1" applyFont="1" applyBorder="1" applyAlignment="1">
      <alignment horizontal="right" wrapText="1"/>
    </xf>
    <xf numFmtId="1" fontId="11" fillId="6" borderId="14" xfId="0" applyNumberFormat="1" applyFont="1" applyFill="1" applyBorder="1" applyAlignment="1">
      <alignment horizontal="right" wrapText="1"/>
    </xf>
    <xf numFmtId="0" fontId="0" fillId="3" borderId="0" xfId="0" applyFill="1"/>
    <xf numFmtId="164" fontId="0" fillId="3" borderId="0" xfId="1" applyNumberFormat="1" applyFont="1" applyFill="1"/>
    <xf numFmtId="1" fontId="0" fillId="3" borderId="0" xfId="0" applyNumberFormat="1" applyFill="1"/>
    <xf numFmtId="1" fontId="0" fillId="0" borderId="0" xfId="0" applyNumberFormat="1"/>
    <xf numFmtId="1" fontId="14" fillId="0" borderId="0" xfId="0" applyNumberFormat="1" applyFont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horizontal="left"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4" fontId="0" fillId="0" borderId="3" xfId="1" applyNumberFormat="1" applyFont="1" applyBorder="1"/>
    <xf numFmtId="0" fontId="0" fillId="0" borderId="3" xfId="0" applyBorder="1"/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8" fillId="2" borderId="0" xfId="1" applyNumberFormat="1" applyFont="1" applyFill="1" applyAlignment="1">
      <alignment vertical="center"/>
    </xf>
    <xf numFmtId="0" fontId="6" fillId="0" borderId="0" xfId="0" applyFont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 vertical="center" wrapText="1"/>
    </xf>
    <xf numFmtId="164" fontId="8" fillId="2" borderId="0" xfId="1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wrapText="1"/>
    </xf>
    <xf numFmtId="1" fontId="0" fillId="0" borderId="0" xfId="0" applyNumberFormat="1" applyAlignment="1">
      <alignment wrapText="1"/>
    </xf>
    <xf numFmtId="164" fontId="0" fillId="0" borderId="0" xfId="1" applyNumberFormat="1" applyFont="1" applyAlignment="1">
      <alignment wrapText="1"/>
    </xf>
    <xf numFmtId="0" fontId="5" fillId="2" borderId="0" xfId="0" applyFont="1" applyFill="1"/>
    <xf numFmtId="164" fontId="7" fillId="2" borderId="0" xfId="1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164" fontId="7" fillId="2" borderId="0" xfId="1" applyNumberFormat="1" applyFont="1" applyFill="1" applyAlignment="1">
      <alignment horizontal="center" vertical="center" wrapText="1"/>
    </xf>
    <xf numFmtId="164" fontId="6" fillId="0" borderId="0" xfId="1" applyNumberFormat="1" applyFont="1"/>
    <xf numFmtId="0" fontId="6" fillId="3" borderId="0" xfId="0" applyFont="1" applyFill="1"/>
    <xf numFmtId="14" fontId="6" fillId="3" borderId="0" xfId="0" applyNumberFormat="1" applyFont="1" applyFill="1"/>
    <xf numFmtId="164" fontId="6" fillId="3" borderId="0" xfId="1" applyNumberFormat="1" applyFont="1" applyFill="1"/>
    <xf numFmtId="0" fontId="6" fillId="0" borderId="0" xfId="0" applyFont="1"/>
    <xf numFmtId="14" fontId="6" fillId="0" borderId="0" xfId="0" applyNumberFormat="1" applyFont="1"/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8" fillId="8" borderId="1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14" fontId="0" fillId="0" borderId="0" xfId="0" applyNumberFormat="1"/>
    <xf numFmtId="0" fontId="6" fillId="0" borderId="1" xfId="0" applyFont="1" applyBorder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" fillId="0" borderId="0" xfId="1" applyNumberFormat="1"/>
    <xf numFmtId="164" fontId="15" fillId="0" borderId="1" xfId="0" applyNumberFormat="1" applyFont="1" applyBorder="1" applyAlignment="1">
      <alignment vertical="center"/>
    </xf>
    <xf numFmtId="0" fontId="8" fillId="9" borderId="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wrapText="1"/>
    </xf>
    <xf numFmtId="0" fontId="9" fillId="10" borderId="11" xfId="0" applyFont="1" applyFill="1" applyBorder="1" applyAlignment="1">
      <alignment horizontal="right" wrapText="1"/>
    </xf>
    <xf numFmtId="0" fontId="9" fillId="10" borderId="12" xfId="0" applyFont="1" applyFill="1" applyBorder="1" applyAlignment="1">
      <alignment horizontal="right" wrapText="1"/>
    </xf>
    <xf numFmtId="0" fontId="10" fillId="10" borderId="12" xfId="0" applyFont="1" applyFill="1" applyBorder="1" applyAlignment="1">
      <alignment wrapText="1"/>
    </xf>
    <xf numFmtId="0" fontId="9" fillId="0" borderId="13" xfId="0" applyFont="1" applyBorder="1" applyAlignment="1">
      <alignment horizontal="right" wrapText="1"/>
    </xf>
    <xf numFmtId="0" fontId="9" fillId="0" borderId="14" xfId="0" applyFont="1" applyBorder="1" applyAlignment="1">
      <alignment horizontal="right" wrapText="1"/>
    </xf>
    <xf numFmtId="0" fontId="12" fillId="4" borderId="15" xfId="0" applyFont="1" applyFill="1" applyBorder="1" applyAlignment="1">
      <alignment horizontal="right" wrapText="1"/>
    </xf>
    <xf numFmtId="0" fontId="12" fillId="4" borderId="14" xfId="0" applyFont="1" applyFill="1" applyBorder="1" applyAlignment="1">
      <alignment horizontal="right" wrapText="1"/>
    </xf>
    <xf numFmtId="0" fontId="10" fillId="4" borderId="14" xfId="0" applyFont="1" applyFill="1" applyBorder="1" applyAlignment="1">
      <alignment wrapText="1"/>
    </xf>
    <xf numFmtId="0" fontId="12" fillId="6" borderId="15" xfId="0" applyFont="1" applyFill="1" applyBorder="1" applyAlignment="1">
      <alignment horizontal="right" wrapText="1"/>
    </xf>
    <xf numFmtId="0" fontId="12" fillId="6" borderId="14" xfId="0" applyFont="1" applyFill="1" applyBorder="1" applyAlignment="1">
      <alignment horizontal="right" wrapText="1"/>
    </xf>
    <xf numFmtId="0" fontId="12" fillId="0" borderId="15" xfId="0" applyFont="1" applyBorder="1" applyAlignment="1">
      <alignment horizontal="right" wrapText="1"/>
    </xf>
    <xf numFmtId="0" fontId="12" fillId="0" borderId="14" xfId="0" applyFont="1" applyBorder="1" applyAlignment="1">
      <alignment horizontal="right" wrapText="1"/>
    </xf>
    <xf numFmtId="0" fontId="13" fillId="0" borderId="14" xfId="0" applyFont="1" applyBorder="1" applyAlignment="1">
      <alignment horizontal="right" wrapText="1"/>
    </xf>
    <xf numFmtId="0" fontId="13" fillId="6" borderId="14" xfId="0" applyFont="1" applyFill="1" applyBorder="1" applyAlignment="1">
      <alignment horizontal="right" wrapText="1"/>
    </xf>
    <xf numFmtId="0" fontId="18" fillId="0" borderId="11" xfId="0" applyFont="1" applyBorder="1" applyAlignment="1">
      <alignment horizontal="right" wrapText="1"/>
    </xf>
    <xf numFmtId="0" fontId="18" fillId="0" borderId="12" xfId="0" applyFont="1" applyBorder="1" applyAlignment="1">
      <alignment horizontal="right" wrapText="1"/>
    </xf>
    <xf numFmtId="0" fontId="18" fillId="5" borderId="11" xfId="0" applyFont="1" applyFill="1" applyBorder="1" applyAlignment="1">
      <alignment horizontal="right" wrapText="1"/>
    </xf>
    <xf numFmtId="0" fontId="18" fillId="5" borderId="12" xfId="0" applyFont="1" applyFill="1" applyBorder="1" applyAlignment="1">
      <alignment horizontal="right" wrapText="1"/>
    </xf>
    <xf numFmtId="0" fontId="10" fillId="5" borderId="11" xfId="0" applyFont="1" applyFill="1" applyBorder="1" applyAlignment="1">
      <alignment wrapText="1"/>
    </xf>
    <xf numFmtId="0" fontId="9" fillId="9" borderId="9" xfId="0" applyFont="1" applyFill="1" applyBorder="1" applyAlignment="1">
      <alignment horizontal="right" wrapText="1"/>
    </xf>
    <xf numFmtId="0" fontId="9" fillId="9" borderId="10" xfId="0" applyFont="1" applyFill="1" applyBorder="1" applyAlignment="1">
      <alignment horizontal="right" wrapText="1"/>
    </xf>
    <xf numFmtId="0" fontId="10" fillId="9" borderId="10" xfId="0" applyFont="1" applyFill="1" applyBorder="1" applyAlignment="1">
      <alignment wrapText="1"/>
    </xf>
    <xf numFmtId="1" fontId="9" fillId="9" borderId="10" xfId="0" applyNumberFormat="1" applyFont="1" applyFill="1" applyBorder="1" applyAlignment="1">
      <alignment horizontal="right" wrapText="1"/>
    </xf>
    <xf numFmtId="1" fontId="10" fillId="0" borderId="12" xfId="0" applyNumberFormat="1" applyFont="1" applyBorder="1" applyAlignment="1">
      <alignment wrapText="1"/>
    </xf>
    <xf numFmtId="1" fontId="9" fillId="10" borderId="12" xfId="0" applyNumberFormat="1" applyFont="1" applyFill="1" applyBorder="1" applyAlignment="1">
      <alignment horizontal="right" wrapText="1"/>
    </xf>
    <xf numFmtId="1" fontId="9" fillId="0" borderId="14" xfId="0" applyNumberFormat="1" applyFont="1" applyBorder="1" applyAlignment="1">
      <alignment horizontal="right" wrapText="1"/>
    </xf>
    <xf numFmtId="1" fontId="12" fillId="4" borderId="14" xfId="0" applyNumberFormat="1" applyFont="1" applyFill="1" applyBorder="1" applyAlignment="1">
      <alignment horizontal="right" wrapText="1"/>
    </xf>
    <xf numFmtId="1" fontId="12" fillId="6" borderId="14" xfId="0" applyNumberFormat="1" applyFont="1" applyFill="1" applyBorder="1" applyAlignment="1">
      <alignment horizontal="right" wrapText="1"/>
    </xf>
    <xf numFmtId="1" fontId="12" fillId="0" borderId="14" xfId="0" applyNumberFormat="1" applyFont="1" applyBorder="1" applyAlignment="1">
      <alignment horizontal="right" wrapText="1"/>
    </xf>
    <xf numFmtId="1" fontId="18" fillId="0" borderId="12" xfId="0" applyNumberFormat="1" applyFont="1" applyBorder="1" applyAlignment="1">
      <alignment horizontal="right" wrapText="1"/>
    </xf>
    <xf numFmtId="1" fontId="18" fillId="5" borderId="12" xfId="0" applyNumberFormat="1" applyFont="1" applyFill="1" applyBorder="1" applyAlignment="1">
      <alignment horizontal="right" wrapText="1"/>
    </xf>
    <xf numFmtId="1" fontId="10" fillId="5" borderId="12" xfId="0" applyNumberFormat="1" applyFont="1" applyFill="1" applyBorder="1" applyAlignment="1">
      <alignment wrapText="1"/>
    </xf>
    <xf numFmtId="3" fontId="11" fillId="6" borderId="17" xfId="0" applyNumberFormat="1" applyFont="1" applyFill="1" applyBorder="1" applyAlignment="1">
      <alignment horizontal="right" wrapText="1"/>
    </xf>
    <xf numFmtId="0" fontId="10" fillId="0" borderId="18" xfId="0" applyFont="1" applyBorder="1" applyAlignment="1">
      <alignment wrapText="1"/>
    </xf>
    <xf numFmtId="0" fontId="19" fillId="0" borderId="18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3" fontId="11" fillId="0" borderId="14" xfId="0" applyNumberFormat="1" applyFont="1" applyBorder="1" applyAlignment="1">
      <alignment wrapText="1"/>
    </xf>
    <xf numFmtId="0" fontId="11" fillId="6" borderId="15" xfId="0" applyFont="1" applyFill="1" applyBorder="1" applyAlignment="1">
      <alignment wrapText="1"/>
    </xf>
    <xf numFmtId="3" fontId="11" fillId="6" borderId="14" xfId="0" applyNumberFormat="1" applyFont="1" applyFill="1" applyBorder="1" applyAlignment="1">
      <alignment wrapText="1"/>
    </xf>
    <xf numFmtId="0" fontId="11" fillId="4" borderId="15" xfId="0" applyFont="1" applyFill="1" applyBorder="1" applyAlignment="1">
      <alignment wrapText="1"/>
    </xf>
    <xf numFmtId="0" fontId="11" fillId="4" borderId="14" xfId="0" applyFont="1" applyFill="1" applyBorder="1" applyAlignment="1">
      <alignment wrapText="1"/>
    </xf>
    <xf numFmtId="3" fontId="11" fillId="4" borderId="14" xfId="0" applyNumberFormat="1" applyFont="1" applyFill="1" applyBorder="1" applyAlignment="1">
      <alignment wrapText="1"/>
    </xf>
    <xf numFmtId="0" fontId="10" fillId="4" borderId="18" xfId="0" applyFont="1" applyFill="1" applyBorder="1" applyAlignment="1">
      <alignment wrapText="1"/>
    </xf>
    <xf numFmtId="3" fontId="11" fillId="0" borderId="14" xfId="0" applyNumberFormat="1" applyFont="1" applyBorder="1" applyAlignment="1">
      <alignment horizontal="right" wrapText="1"/>
    </xf>
    <xf numFmtId="3" fontId="11" fillId="6" borderId="14" xfId="0" applyNumberFormat="1" applyFont="1" applyFill="1" applyBorder="1" applyAlignment="1">
      <alignment horizontal="right" wrapText="1"/>
    </xf>
    <xf numFmtId="1" fontId="11" fillId="0" borderId="14" xfId="0" applyNumberFormat="1" applyFont="1" applyBorder="1" applyAlignment="1">
      <alignment wrapText="1"/>
    </xf>
    <xf numFmtId="1" fontId="11" fillId="6" borderId="14" xfId="0" applyNumberFormat="1" applyFont="1" applyFill="1" applyBorder="1" applyAlignment="1">
      <alignment wrapText="1"/>
    </xf>
    <xf numFmtId="1" fontId="11" fillId="4" borderId="14" xfId="0" applyNumberFormat="1" applyFont="1" applyFill="1" applyBorder="1" applyAlignment="1">
      <alignment wrapText="1"/>
    </xf>
    <xf numFmtId="1" fontId="0" fillId="0" borderId="0" xfId="0" applyNumberFormat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0" borderId="0" xfId="0" applyNumberFormat="1" applyAlignment="1">
      <alignment horizontal="left" wrapText="1"/>
    </xf>
    <xf numFmtId="0" fontId="2" fillId="2" borderId="0" xfId="0" applyFont="1" applyFill="1" applyAlignment="1">
      <alignment horizontal="center" vertical="center"/>
    </xf>
    <xf numFmtId="0" fontId="0" fillId="0" borderId="0" xfId="0" applyBorder="1"/>
    <xf numFmtId="164" fontId="6" fillId="0" borderId="0" xfId="1" applyNumberFormat="1" applyFont="1" applyAlignment="1">
      <alignment horizontal="left"/>
    </xf>
    <xf numFmtId="0" fontId="0" fillId="0" borderId="0" xfId="0" applyFill="1" applyBorder="1"/>
    <xf numFmtId="1" fontId="16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0" borderId="0" xfId="0" applyFill="1"/>
    <xf numFmtId="164" fontId="2" fillId="2" borderId="0" xfId="1" applyNumberFormat="1" applyFont="1" applyFill="1" applyAlignment="1">
      <alignment horizontal="center" vertical="center"/>
    </xf>
    <xf numFmtId="164" fontId="0" fillId="0" borderId="1" xfId="1" applyNumberFormat="1" applyFont="1" applyFill="1" applyBorder="1"/>
    <xf numFmtId="0" fontId="8" fillId="7" borderId="8" xfId="0" applyFont="1" applyFill="1" applyBorder="1" applyAlignment="1">
      <alignment horizontal="center" vertical="center"/>
    </xf>
    <xf numFmtId="0" fontId="6" fillId="0" borderId="8" xfId="0" applyFont="1" applyBorder="1"/>
    <xf numFmtId="0" fontId="8" fillId="9" borderId="1" xfId="0" applyFont="1" applyFill="1" applyBorder="1" applyAlignment="1">
      <alignment horizontal="center" vertical="center"/>
    </xf>
    <xf numFmtId="0" fontId="6" fillId="9" borderId="5" xfId="0" applyFont="1" applyFill="1" applyBorder="1"/>
    <xf numFmtId="0" fontId="6" fillId="9" borderId="2" xfId="0" applyFont="1" applyFill="1" applyBorder="1"/>
    <xf numFmtId="0" fontId="8" fillId="9" borderId="1" xfId="0" applyFont="1" applyFill="1" applyBorder="1" applyAlignment="1">
      <alignment horizontal="center" vertical="center" wrapText="1"/>
    </xf>
    <xf numFmtId="0" fontId="6" fillId="9" borderId="4" xfId="0" applyFont="1" applyFill="1" applyBorder="1"/>
    <xf numFmtId="0" fontId="6" fillId="9" borderId="7" xfId="0" applyFont="1" applyFill="1" applyBorder="1"/>
    <xf numFmtId="0" fontId="8" fillId="9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/>
    <xf numFmtId="0" fontId="0" fillId="0" borderId="4" xfId="0" applyBorder="1"/>
    <xf numFmtId="0" fontId="2" fillId="2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64" fontId="6" fillId="11" borderId="1" xfId="1" applyNumberFormat="1" applyFont="1" applyFill="1" applyBorder="1" applyAlignment="1">
      <alignment vertical="center"/>
    </xf>
    <xf numFmtId="164" fontId="6" fillId="11" borderId="6" xfId="1" applyNumberFormat="1" applyFont="1" applyFill="1" applyBorder="1" applyAlignment="1">
      <alignment vertical="center"/>
    </xf>
    <xf numFmtId="164" fontId="8" fillId="11" borderId="1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A3" workbookViewId="0">
      <selection activeCell="L17" sqref="L17"/>
    </sheetView>
  </sheetViews>
  <sheetFormatPr defaultColWidth="9.125" defaultRowHeight="15"/>
  <cols>
    <col min="1" max="1" width="22.125" style="10" customWidth="1"/>
    <col min="2" max="3" width="13.5" style="10" customWidth="1"/>
    <col min="4" max="4" width="13.5" style="10" hidden="1" customWidth="1"/>
    <col min="5" max="5" width="12.5" style="10" hidden="1" customWidth="1"/>
    <col min="6" max="6" width="14.5" style="10" hidden="1" customWidth="1"/>
    <col min="7" max="9" width="13.5" style="10" hidden="1" customWidth="1"/>
    <col min="10" max="10" width="16.875" style="10" hidden="1" customWidth="1"/>
    <col min="11" max="11" width="22.5" style="10" hidden="1" customWidth="1"/>
    <col min="12" max="12" width="29.875" style="10" bestFit="1" customWidth="1"/>
    <col min="13" max="13" width="9.125" style="10" customWidth="1"/>
    <col min="14" max="14" width="9.125" style="10"/>
    <col min="15" max="15" width="13.375" style="10" bestFit="1" customWidth="1"/>
    <col min="16" max="16384" width="9.125" style="10"/>
  </cols>
  <sheetData>
    <row r="1" spans="1:11" ht="32.25" customHeight="1">
      <c r="A1" s="174" t="s">
        <v>2160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1" ht="76.5" customHeight="1">
      <c r="A2" s="179" t="s">
        <v>0</v>
      </c>
      <c r="B2" s="182" t="s">
        <v>1</v>
      </c>
      <c r="C2" s="177"/>
      <c r="D2" s="176" t="s">
        <v>2</v>
      </c>
      <c r="E2" s="177"/>
      <c r="F2" s="177"/>
      <c r="G2" s="178"/>
      <c r="H2" s="179" t="s">
        <v>3</v>
      </c>
      <c r="I2" s="179" t="s">
        <v>4</v>
      </c>
      <c r="J2" s="176" t="s">
        <v>5</v>
      </c>
    </row>
    <row r="3" spans="1:11" ht="53.25" customHeight="1">
      <c r="A3" s="181"/>
      <c r="B3" s="176" t="s">
        <v>6</v>
      </c>
      <c r="C3" s="179" t="s">
        <v>7</v>
      </c>
      <c r="D3" s="179" t="s">
        <v>8</v>
      </c>
      <c r="E3" s="178"/>
      <c r="F3" s="179" t="s">
        <v>9</v>
      </c>
      <c r="G3" s="178"/>
      <c r="H3" s="181"/>
      <c r="I3" s="181"/>
      <c r="J3" s="181"/>
    </row>
    <row r="4" spans="1:11" ht="46.5" customHeight="1">
      <c r="A4" s="180"/>
      <c r="B4" s="180"/>
      <c r="C4" s="180"/>
      <c r="D4" s="112" t="s">
        <v>6</v>
      </c>
      <c r="E4" s="112" t="s">
        <v>10</v>
      </c>
      <c r="F4" s="112" t="s">
        <v>6</v>
      </c>
      <c r="G4" s="112" t="s">
        <v>10</v>
      </c>
      <c r="H4" s="180"/>
      <c r="I4" s="180"/>
      <c r="J4" s="180"/>
    </row>
    <row r="5" spans="1:11" ht="24.75" customHeight="1">
      <c r="A5" s="105" t="s">
        <v>11</v>
      </c>
      <c r="B5" s="11">
        <f>SUMIFS(GMO!G:G,GMO!E:E,"Wifi cố định")</f>
        <v>48451</v>
      </c>
      <c r="C5" s="190">
        <f>SUMIFS(GMO!H:H,GMO!E:E,"Wifi cố định")</f>
        <v>540352</v>
      </c>
      <c r="D5" s="12"/>
      <c r="E5" s="12"/>
      <c r="F5" s="12"/>
      <c r="G5" s="12"/>
      <c r="H5" s="11"/>
      <c r="I5" s="11"/>
      <c r="J5" s="101"/>
      <c r="K5" s="13"/>
    </row>
    <row r="6" spans="1:11" ht="24.75" customHeight="1">
      <c r="A6" s="105" t="s">
        <v>12</v>
      </c>
      <c r="B6" s="11">
        <f>SUMIFS('Yucho Arai'!H:H,'Yucho Arai'!F:F,"Cố định")</f>
        <v>754789</v>
      </c>
      <c r="C6" s="190">
        <f>SUMIFS('Yucho Arai'!I:I,'Yucho Arai'!F:F,"Cố định")</f>
        <v>15761</v>
      </c>
      <c r="D6" s="11"/>
      <c r="E6" s="11"/>
      <c r="F6" s="11"/>
      <c r="G6" s="11"/>
      <c r="H6" s="11"/>
      <c r="I6" s="11"/>
      <c r="J6" s="101"/>
      <c r="K6" s="13"/>
    </row>
    <row r="7" spans="1:11" ht="24.75" customHeight="1">
      <c r="A7" s="14" t="s">
        <v>13</v>
      </c>
      <c r="B7" s="15"/>
      <c r="C7" s="191"/>
      <c r="D7" s="15"/>
      <c r="E7" s="15"/>
      <c r="F7" s="15"/>
      <c r="G7" s="15"/>
      <c r="H7" s="15"/>
      <c r="I7" s="15"/>
      <c r="J7" s="101"/>
      <c r="K7" s="13"/>
    </row>
    <row r="8" spans="1:11" ht="24.75" customHeight="1">
      <c r="A8" s="14" t="s">
        <v>14</v>
      </c>
      <c r="B8" s="15"/>
      <c r="C8" s="191">
        <f>SUMIF('Arai 7121'!G:G,"cố định",'Arai 7121'!B:B)</f>
        <v>123300</v>
      </c>
      <c r="D8" s="15"/>
      <c r="E8" s="15"/>
      <c r="F8" s="15"/>
      <c r="G8" s="15"/>
      <c r="H8" s="15"/>
      <c r="I8" s="15"/>
      <c r="J8" s="101"/>
      <c r="K8" s="13"/>
    </row>
    <row r="9" spans="1:11" ht="29.25" customHeight="1">
      <c r="A9" s="98" t="s">
        <v>15</v>
      </c>
      <c r="B9" s="100">
        <f>SUM(B5:B8)</f>
        <v>803240</v>
      </c>
      <c r="C9" s="192">
        <f t="shared" ref="C9:I9" si="0">SUM(C5:C8)</f>
        <v>679413</v>
      </c>
      <c r="D9" s="100"/>
      <c r="E9" s="100"/>
      <c r="F9" s="100"/>
      <c r="G9" s="100"/>
      <c r="H9" s="100"/>
      <c r="I9" s="100"/>
      <c r="J9" s="101"/>
    </row>
    <row r="10" spans="1:11" ht="27.75" customHeight="1">
      <c r="A10" s="16" t="s">
        <v>16</v>
      </c>
      <c r="B10" s="111"/>
      <c r="C10" s="19">
        <f>+C9</f>
        <v>679413</v>
      </c>
      <c r="D10" s="100"/>
      <c r="E10" s="19"/>
      <c r="F10" s="100"/>
      <c r="G10" s="100"/>
      <c r="H10" s="100"/>
      <c r="I10" s="100"/>
      <c r="J10" s="19"/>
    </row>
    <row r="12" spans="1:11">
      <c r="J12" s="99"/>
    </row>
    <row r="13" spans="1:11">
      <c r="J13" s="102"/>
    </row>
  </sheetData>
  <mergeCells count="11">
    <mergeCell ref="A1:J1"/>
    <mergeCell ref="D2:G2"/>
    <mergeCell ref="D3:E3"/>
    <mergeCell ref="C3:C4"/>
    <mergeCell ref="H2:H4"/>
    <mergeCell ref="A2:A4"/>
    <mergeCell ref="B3:B4"/>
    <mergeCell ref="F3:G3"/>
    <mergeCell ref="B2:C2"/>
    <mergeCell ref="J2:J4"/>
    <mergeCell ref="I2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D1:P465"/>
  <sheetViews>
    <sheetView workbookViewId="0">
      <selection activeCell="J16" sqref="J16"/>
    </sheetView>
  </sheetViews>
  <sheetFormatPr defaultRowHeight="14.25"/>
  <cols>
    <col min="5" max="5" width="16.5" customWidth="1"/>
    <col min="6" max="6" width="10.25" style="110" bestFit="1" customWidth="1"/>
    <col min="7" max="7" width="9.25" style="110" bestFit="1" customWidth="1"/>
    <col min="8" max="8" width="12.25" customWidth="1"/>
    <col min="13" max="14" width="13.375" bestFit="1" customWidth="1"/>
    <col min="16" max="16" width="10.25" bestFit="1" customWidth="1"/>
  </cols>
  <sheetData>
    <row r="1" spans="4:16" ht="15">
      <c r="D1" s="165" t="s">
        <v>17</v>
      </c>
      <c r="E1" s="165" t="s">
        <v>18</v>
      </c>
      <c r="F1" s="172" t="s">
        <v>157</v>
      </c>
      <c r="G1" s="172" t="s">
        <v>158</v>
      </c>
      <c r="H1" s="165" t="s">
        <v>20</v>
      </c>
    </row>
    <row r="2" spans="4:16" ht="15">
      <c r="D2" s="94"/>
      <c r="E2" s="94"/>
      <c r="F2" s="1">
        <f>SUBTOTAL(9,F3:F1000)</f>
        <v>803240</v>
      </c>
      <c r="G2" s="1">
        <f t="shared" ref="G2:H2" si="0">SUBTOTAL(9,G3:G1000)</f>
        <v>679413</v>
      </c>
      <c r="H2" s="1">
        <f t="shared" si="0"/>
        <v>1482653</v>
      </c>
      <c r="J2" s="1"/>
      <c r="K2" s="1"/>
    </row>
    <row r="3" spans="4:16">
      <c r="D3">
        <v>1</v>
      </c>
      <c r="E3" t="s">
        <v>4070</v>
      </c>
      <c r="F3" s="110">
        <f>SUMIF('Yucho Arai'!N:N,'Tổng hợp tiền thu theo mã U'!E3,'Yucho Arai'!H:H)+SUMIF(GMO!I:I,'Tổng hợp tiền thu theo mã U'!E3,GMO!G:G)</f>
        <v>6850</v>
      </c>
      <c r="G3" s="110">
        <f>SUMIF('Yucho Arai'!N:N,'Tổng hợp tiền thu theo mã U'!E3,'Yucho Arai'!I:I)+SUMIF(GMO!I:I,'Tổng hợp tiền thu theo mã U'!E3,GMO!H:H)+SUMIF('Arai 7121'!H:H,'Tổng hợp tiền thu theo mã U'!E3,'Arai 7121'!B:B)</f>
        <v>0</v>
      </c>
      <c r="H3" s="70">
        <f>G3+F3</f>
        <v>6850</v>
      </c>
      <c r="P3" s="110"/>
    </row>
    <row r="4" spans="4:16">
      <c r="D4">
        <v>2</v>
      </c>
      <c r="E4" t="s">
        <v>4214</v>
      </c>
      <c r="F4" s="110">
        <f>SUMIF('Yucho Arai'!N:N,'Tổng hợp tiền thu theo mã U'!E4,'Yucho Arai'!H:H)+SUMIF(GMO!I:I,'Tổng hợp tiền thu theo mã U'!E4,GMO!G:G)</f>
        <v>6850</v>
      </c>
      <c r="G4" s="110">
        <f>SUMIF('Yucho Arai'!N:N,'Tổng hợp tiền thu theo mã U'!E4,'Yucho Arai'!I:I)+SUMIF(GMO!I:I,'Tổng hợp tiền thu theo mã U'!E4,GMO!H:H)+SUMIF('Arai 7121'!H:H,'Tổng hợp tiền thu theo mã U'!E4,'Arai 7121'!B:B)</f>
        <v>0</v>
      </c>
      <c r="H4" s="70">
        <f t="shared" ref="H4:H67" si="1">G4+F4</f>
        <v>6850</v>
      </c>
      <c r="P4" s="110"/>
    </row>
    <row r="5" spans="4:16">
      <c r="D5">
        <v>3</v>
      </c>
      <c r="E5" t="s">
        <v>4149</v>
      </c>
      <c r="F5" s="110">
        <f>SUMIF('Yucho Arai'!N:N,'Tổng hợp tiền thu theo mã U'!E5,'Yucho Arai'!H:H)+SUMIF(GMO!I:I,'Tổng hợp tiền thu theo mã U'!E5,GMO!G:G)</f>
        <v>4290</v>
      </c>
      <c r="G5" s="110">
        <f>SUMIF('Yucho Arai'!N:N,'Tổng hợp tiền thu theo mã U'!E5,'Yucho Arai'!I:I)+SUMIF(GMO!I:I,'Tổng hợp tiền thu theo mã U'!E5,GMO!H:H)+SUMIF('Arai 7121'!H:H,'Tổng hợp tiền thu theo mã U'!E5,'Arai 7121'!B:B)</f>
        <v>0</v>
      </c>
      <c r="H5" s="70">
        <f t="shared" si="1"/>
        <v>4290</v>
      </c>
      <c r="P5" s="110"/>
    </row>
    <row r="6" spans="4:16">
      <c r="D6">
        <v>4</v>
      </c>
      <c r="E6" t="s">
        <v>4103</v>
      </c>
      <c r="F6" s="110">
        <f>SUMIF('Yucho Arai'!N:N,'Tổng hợp tiền thu theo mã U'!E6,'Yucho Arai'!H:H)+SUMIF(GMO!I:I,'Tổng hợp tiền thu theo mã U'!E6,GMO!G:G)</f>
        <v>4297</v>
      </c>
      <c r="G6" s="110">
        <f>SUMIF('Yucho Arai'!N:N,'Tổng hợp tiền thu theo mã U'!E6,'Yucho Arai'!I:I)+SUMIF(GMO!I:I,'Tổng hợp tiền thu theo mã U'!E6,GMO!H:H)+SUMIF('Arai 7121'!H:H,'Tổng hợp tiền thu theo mã U'!E6,'Arai 7121'!B:B)</f>
        <v>0</v>
      </c>
      <c r="H6" s="70">
        <f t="shared" si="1"/>
        <v>4297</v>
      </c>
      <c r="P6" s="110"/>
    </row>
    <row r="7" spans="4:16">
      <c r="D7">
        <v>5</v>
      </c>
      <c r="E7" t="s">
        <v>1103</v>
      </c>
      <c r="F7" s="110">
        <f>SUMIF('Yucho Arai'!N:N,'Tổng hợp tiền thu theo mã U'!E7,'Yucho Arai'!H:H)+SUMIF(GMO!I:I,'Tổng hợp tiền thu theo mã U'!E7,GMO!G:G)</f>
        <v>3297</v>
      </c>
      <c r="G7" s="110">
        <f>SUMIF('Yucho Arai'!N:N,'Tổng hợp tiền thu theo mã U'!E7,'Yucho Arai'!I:I)+SUMIF(GMO!I:I,'Tổng hợp tiền thu theo mã U'!E7,GMO!H:H)+SUMIF('Arai 7121'!H:H,'Tổng hợp tiền thu theo mã U'!E7,'Arai 7121'!B:B)</f>
        <v>0</v>
      </c>
      <c r="H7" s="70">
        <f t="shared" si="1"/>
        <v>3297</v>
      </c>
      <c r="P7" s="110"/>
    </row>
    <row r="8" spans="4:16">
      <c r="D8">
        <v>6</v>
      </c>
      <c r="E8" t="s">
        <v>4140</v>
      </c>
      <c r="F8" s="110">
        <f>SUMIF('Yucho Arai'!N:N,'Tổng hợp tiền thu theo mã U'!E8,'Yucho Arai'!H:H)+SUMIF(GMO!I:I,'Tổng hợp tiền thu theo mã U'!E8,GMO!G:G)</f>
        <v>3000</v>
      </c>
      <c r="G8" s="110">
        <f>SUMIF('Yucho Arai'!N:N,'Tổng hợp tiền thu theo mã U'!E8,'Yucho Arai'!I:I)+SUMIF(GMO!I:I,'Tổng hợp tiền thu theo mã U'!E8,GMO!H:H)+SUMIF('Arai 7121'!H:H,'Tổng hợp tiền thu theo mã U'!E8,'Arai 7121'!B:B)</f>
        <v>297</v>
      </c>
      <c r="H8" s="70">
        <f t="shared" si="1"/>
        <v>3297</v>
      </c>
      <c r="P8" s="110"/>
    </row>
    <row r="9" spans="4:16">
      <c r="D9">
        <v>7</v>
      </c>
      <c r="E9" t="s">
        <v>4133</v>
      </c>
      <c r="F9" s="110">
        <f>SUMIF('Yucho Arai'!N:N,'Tổng hợp tiền thu theo mã U'!E9,'Yucho Arai'!H:H)+SUMIF(GMO!I:I,'Tổng hợp tiền thu theo mã U'!E9,GMO!G:G)</f>
        <v>4000</v>
      </c>
      <c r="G9" s="110">
        <f>SUMIF('Yucho Arai'!N:N,'Tổng hợp tiền thu theo mã U'!E9,'Yucho Arai'!I:I)+SUMIF(GMO!I:I,'Tổng hợp tiền thu theo mã U'!E9,GMO!H:H)+SUMIF('Arai 7121'!H:H,'Tổng hợp tiền thu theo mã U'!E9,'Arai 7121'!B:B)</f>
        <v>290</v>
      </c>
      <c r="H9" s="70">
        <f t="shared" si="1"/>
        <v>4290</v>
      </c>
      <c r="P9" s="110"/>
    </row>
    <row r="10" spans="4:16">
      <c r="D10">
        <v>8</v>
      </c>
      <c r="E10" t="s">
        <v>2054</v>
      </c>
      <c r="F10" s="110">
        <f>SUMIF('Yucho Arai'!N:N,'Tổng hợp tiền thu theo mã U'!E10,'Yucho Arai'!H:H)+SUMIF(GMO!I:I,'Tổng hợp tiền thu theo mã U'!E10,GMO!G:G)</f>
        <v>2797</v>
      </c>
      <c r="G10" s="110">
        <f>SUMIF('Yucho Arai'!N:N,'Tổng hợp tiền thu theo mã U'!E10,'Yucho Arai'!I:I)+SUMIF(GMO!I:I,'Tổng hợp tiền thu theo mã U'!E10,GMO!H:H)+SUMIF('Arai 7121'!H:H,'Tổng hợp tiền thu theo mã U'!E10,'Arai 7121'!B:B)</f>
        <v>0</v>
      </c>
      <c r="H10" s="70">
        <f t="shared" si="1"/>
        <v>2797</v>
      </c>
      <c r="P10" s="110"/>
    </row>
    <row r="11" spans="4:16">
      <c r="D11">
        <v>9</v>
      </c>
      <c r="E11" t="s">
        <v>4084</v>
      </c>
      <c r="F11" s="110">
        <f>SUMIF('Yucho Arai'!N:N,'Tổng hợp tiền thu theo mã U'!E11,'Yucho Arai'!H:H)+SUMIF(GMO!I:I,'Tổng hợp tiền thu theo mã U'!E11,GMO!G:G)</f>
        <v>3000</v>
      </c>
      <c r="G11" s="110">
        <f>SUMIF('Yucho Arai'!N:N,'Tổng hợp tiền thu theo mã U'!E11,'Yucho Arai'!I:I)+SUMIF(GMO!I:I,'Tổng hợp tiền thu theo mã U'!E11,GMO!H:H)+SUMIF('Arai 7121'!H:H,'Tổng hợp tiền thu theo mã U'!E11,'Arai 7121'!B:B)</f>
        <v>290</v>
      </c>
      <c r="H11" s="70">
        <f t="shared" si="1"/>
        <v>3290</v>
      </c>
      <c r="P11" s="110"/>
    </row>
    <row r="12" spans="4:16">
      <c r="D12">
        <v>10</v>
      </c>
      <c r="E12" t="s">
        <v>4145</v>
      </c>
      <c r="F12" s="110">
        <f>SUMIF('Yucho Arai'!N:N,'Tổng hợp tiền thu theo mã U'!E12,'Yucho Arai'!H:H)+SUMIF(GMO!I:I,'Tổng hợp tiền thu theo mã U'!E12,GMO!G:G)</f>
        <v>3297</v>
      </c>
      <c r="G12" s="110">
        <f>SUMIF('Yucho Arai'!N:N,'Tổng hợp tiền thu theo mã U'!E12,'Yucho Arai'!I:I)+SUMIF(GMO!I:I,'Tổng hợp tiền thu theo mã U'!E12,GMO!H:H)+SUMIF('Arai 7121'!H:H,'Tổng hợp tiền thu theo mã U'!E12,'Arai 7121'!B:B)</f>
        <v>0</v>
      </c>
      <c r="H12" s="70">
        <f t="shared" si="1"/>
        <v>3297</v>
      </c>
      <c r="P12" s="110"/>
    </row>
    <row r="13" spans="4:16">
      <c r="D13">
        <v>11</v>
      </c>
      <c r="E13" t="s">
        <v>4138</v>
      </c>
      <c r="F13" s="110">
        <f>SUMIF('Yucho Arai'!N:N,'Tổng hợp tiền thu theo mã U'!E13,'Yucho Arai'!H:H)+SUMIF(GMO!I:I,'Tổng hợp tiền thu theo mã U'!E13,GMO!G:G)</f>
        <v>3297</v>
      </c>
      <c r="G13" s="110">
        <f>SUMIF('Yucho Arai'!N:N,'Tổng hợp tiền thu theo mã U'!E13,'Yucho Arai'!I:I)+SUMIF(GMO!I:I,'Tổng hợp tiền thu theo mã U'!E13,GMO!H:H)+SUMIF('Arai 7121'!H:H,'Tổng hợp tiền thu theo mã U'!E13,'Arai 7121'!B:B)</f>
        <v>0</v>
      </c>
      <c r="H13" s="70">
        <f t="shared" si="1"/>
        <v>3297</v>
      </c>
      <c r="P13" s="110"/>
    </row>
    <row r="14" spans="4:16">
      <c r="D14">
        <v>12</v>
      </c>
      <c r="E14" t="s">
        <v>1113</v>
      </c>
      <c r="F14" s="110">
        <f>SUMIF('Yucho Arai'!N:N,'Tổng hợp tiền thu theo mã U'!E14,'Yucho Arai'!H:H)+SUMIF(GMO!I:I,'Tổng hợp tiền thu theo mã U'!E14,GMO!G:G)</f>
        <v>6594</v>
      </c>
      <c r="G14" s="110">
        <f>SUMIF('Yucho Arai'!N:N,'Tổng hợp tiền thu theo mã U'!E14,'Yucho Arai'!I:I)+SUMIF(GMO!I:I,'Tổng hợp tiền thu theo mã U'!E14,GMO!H:H)+SUMIF('Arai 7121'!H:H,'Tổng hợp tiền thu theo mã U'!E14,'Arai 7121'!B:B)</f>
        <v>0</v>
      </c>
      <c r="H14" s="70">
        <f t="shared" si="1"/>
        <v>6594</v>
      </c>
      <c r="P14" s="110"/>
    </row>
    <row r="15" spans="4:16">
      <c r="D15">
        <v>13</v>
      </c>
      <c r="E15" t="s">
        <v>4215</v>
      </c>
      <c r="F15" s="110">
        <f>SUMIF('Yucho Arai'!N:N,'Tổng hợp tiền thu theo mã U'!E15,'Yucho Arai'!H:H)+SUMIF(GMO!I:I,'Tổng hợp tiền thu theo mã U'!E15,GMO!G:G)</f>
        <v>6850</v>
      </c>
      <c r="G15" s="110">
        <f>SUMIF('Yucho Arai'!N:N,'Tổng hợp tiền thu theo mã U'!E15,'Yucho Arai'!I:I)+SUMIF(GMO!I:I,'Tổng hợp tiền thu theo mã U'!E15,GMO!H:H)+SUMIF('Arai 7121'!H:H,'Tổng hợp tiền thu theo mã U'!E15,'Arai 7121'!B:B)</f>
        <v>0</v>
      </c>
      <c r="H15" s="70">
        <f t="shared" si="1"/>
        <v>6850</v>
      </c>
      <c r="P15" s="110"/>
    </row>
    <row r="16" spans="4:16">
      <c r="D16">
        <v>14</v>
      </c>
      <c r="E16" t="s">
        <v>4162</v>
      </c>
      <c r="F16" s="110">
        <f>SUMIF('Yucho Arai'!N:N,'Tổng hợp tiền thu theo mã U'!E16,'Yucho Arai'!H:H)+SUMIF(GMO!I:I,'Tổng hợp tiền thu theo mã U'!E16,GMO!G:G)</f>
        <v>4000</v>
      </c>
      <c r="G16" s="110">
        <f>SUMIF('Yucho Arai'!N:N,'Tổng hợp tiền thu theo mã U'!E16,'Yucho Arai'!I:I)+SUMIF(GMO!I:I,'Tổng hợp tiền thu theo mã U'!E16,GMO!H:H)+SUMIF('Arai 7121'!H:H,'Tổng hợp tiền thu theo mã U'!E16,'Arai 7121'!B:B)</f>
        <v>290</v>
      </c>
      <c r="H16" s="70">
        <f t="shared" si="1"/>
        <v>4290</v>
      </c>
      <c r="P16" s="110"/>
    </row>
    <row r="17" spans="4:16">
      <c r="D17">
        <v>15</v>
      </c>
      <c r="E17" t="s">
        <v>4224</v>
      </c>
      <c r="F17" s="110">
        <f>SUMIF('Yucho Arai'!N:N,'Tổng hợp tiền thu theo mã U'!E17,'Yucho Arai'!H:H)+SUMIF(GMO!I:I,'Tổng hợp tiền thu theo mã U'!E17,GMO!G:G)</f>
        <v>6850</v>
      </c>
      <c r="G17" s="110">
        <f>SUMIF('Yucho Arai'!N:N,'Tổng hợp tiền thu theo mã U'!E17,'Yucho Arai'!I:I)+SUMIF(GMO!I:I,'Tổng hợp tiền thu theo mã U'!E17,GMO!H:H)+SUMIF('Arai 7121'!H:H,'Tổng hợp tiền thu theo mã U'!E17,'Arai 7121'!B:B)</f>
        <v>0</v>
      </c>
      <c r="H17" s="70">
        <f t="shared" si="1"/>
        <v>6850</v>
      </c>
      <c r="P17" s="110"/>
    </row>
    <row r="18" spans="4:16">
      <c r="D18">
        <v>16</v>
      </c>
      <c r="E18" t="s">
        <v>4190</v>
      </c>
      <c r="F18" s="110">
        <f>SUMIF('Yucho Arai'!N:N,'Tổng hợp tiền thu theo mã U'!E18,'Yucho Arai'!H:H)+SUMIF(GMO!I:I,'Tổng hợp tiền thu theo mã U'!E18,GMO!G:G)</f>
        <v>7000</v>
      </c>
      <c r="G18" s="110">
        <f>SUMIF('Yucho Arai'!N:N,'Tổng hợp tiền thu theo mã U'!E18,'Yucho Arai'!I:I)+SUMIF(GMO!I:I,'Tổng hợp tiền thu theo mã U'!E18,GMO!H:H)+SUMIF('Arai 7121'!H:H,'Tổng hợp tiền thu theo mã U'!E18,'Arai 7121'!B:B)</f>
        <v>0</v>
      </c>
      <c r="H18" s="70">
        <f t="shared" si="1"/>
        <v>7000</v>
      </c>
      <c r="P18" s="110"/>
    </row>
    <row r="19" spans="4:16">
      <c r="D19">
        <v>17</v>
      </c>
      <c r="E19" t="s">
        <v>4159</v>
      </c>
      <c r="F19" s="110">
        <f>SUMIF('Yucho Arai'!N:N,'Tổng hợp tiền thu theo mã U'!E19,'Yucho Arai'!H:H)+SUMIF(GMO!I:I,'Tổng hợp tiền thu theo mã U'!E19,GMO!G:G)</f>
        <v>4297</v>
      </c>
      <c r="G19" s="110">
        <f>SUMIF('Yucho Arai'!N:N,'Tổng hợp tiền thu theo mã U'!E19,'Yucho Arai'!I:I)+SUMIF(GMO!I:I,'Tổng hợp tiền thu theo mã U'!E19,GMO!H:H)+SUMIF('Arai 7121'!H:H,'Tổng hợp tiền thu theo mã U'!E19,'Arai 7121'!B:B)</f>
        <v>0</v>
      </c>
      <c r="H19" s="70">
        <f t="shared" si="1"/>
        <v>4297</v>
      </c>
      <c r="P19" s="110"/>
    </row>
    <row r="20" spans="4:16">
      <c r="D20">
        <v>18</v>
      </c>
      <c r="E20" t="s">
        <v>4234</v>
      </c>
      <c r="F20" s="110">
        <f>SUMIF('Yucho Arai'!N:N,'Tổng hợp tiền thu theo mã U'!E20,'Yucho Arai'!H:H)+SUMIF(GMO!I:I,'Tổng hợp tiền thu theo mã U'!E20,GMO!G:G)</f>
        <v>8000</v>
      </c>
      <c r="G20" s="110">
        <f>SUMIF('Yucho Arai'!N:N,'Tổng hợp tiền thu theo mã U'!E20,'Yucho Arai'!I:I)+SUMIF(GMO!I:I,'Tổng hợp tiền thu theo mã U'!E20,GMO!H:H)+SUMIF('Arai 7121'!H:H,'Tổng hợp tiền thu theo mã U'!E20,'Arai 7121'!B:B)</f>
        <v>0</v>
      </c>
      <c r="H20" s="70">
        <f t="shared" si="1"/>
        <v>8000</v>
      </c>
      <c r="P20" s="110"/>
    </row>
    <row r="21" spans="4:16">
      <c r="D21">
        <v>19</v>
      </c>
      <c r="E21" t="s">
        <v>4033</v>
      </c>
      <c r="F21" s="110">
        <f>SUMIF('Yucho Arai'!N:N,'Tổng hợp tiền thu theo mã U'!E21,'Yucho Arai'!H:H)+SUMIF(GMO!I:I,'Tổng hợp tiền thu theo mã U'!E21,GMO!G:G)</f>
        <v>0</v>
      </c>
      <c r="G21" s="110">
        <f>SUMIF('Yucho Arai'!N:N,'Tổng hợp tiền thu theo mã U'!E21,'Yucho Arai'!I:I)+SUMIF(GMO!I:I,'Tổng hợp tiền thu theo mã U'!E21,GMO!H:H)+SUMIF('Arai 7121'!H:H,'Tổng hợp tiền thu theo mã U'!E21,'Arai 7121'!B:B)</f>
        <v>4000</v>
      </c>
      <c r="H21" s="70">
        <f t="shared" si="1"/>
        <v>4000</v>
      </c>
      <c r="P21" s="110"/>
    </row>
    <row r="22" spans="4:16">
      <c r="D22">
        <v>20</v>
      </c>
      <c r="E22" t="s">
        <v>4139</v>
      </c>
      <c r="F22" s="110">
        <f>SUMIF('Yucho Arai'!N:N,'Tổng hợp tiền thu theo mã U'!E22,'Yucho Arai'!H:H)+SUMIF(GMO!I:I,'Tổng hợp tiền thu theo mã U'!E22,GMO!G:G)</f>
        <v>3000</v>
      </c>
      <c r="G22" s="110">
        <f>SUMIF('Yucho Arai'!N:N,'Tổng hợp tiền thu theo mã U'!E22,'Yucho Arai'!I:I)+SUMIF(GMO!I:I,'Tổng hợp tiền thu theo mã U'!E22,GMO!H:H)+SUMIF('Arai 7121'!H:H,'Tổng hợp tiền thu theo mã U'!E22,'Arai 7121'!B:B)</f>
        <v>297</v>
      </c>
      <c r="H22" s="70">
        <f t="shared" si="1"/>
        <v>3297</v>
      </c>
      <c r="P22" s="110"/>
    </row>
    <row r="23" spans="4:16">
      <c r="D23">
        <v>21</v>
      </c>
      <c r="E23" t="s">
        <v>2063</v>
      </c>
      <c r="F23" s="110">
        <f>SUMIF('Yucho Arai'!N:N,'Tổng hợp tiền thu theo mã U'!E23,'Yucho Arai'!H:H)+SUMIF(GMO!I:I,'Tổng hợp tiền thu theo mã U'!E23,GMO!G:G)</f>
        <v>3000</v>
      </c>
      <c r="G23" s="110">
        <f>SUMIF('Yucho Arai'!N:N,'Tổng hợp tiền thu theo mã U'!E23,'Yucho Arai'!I:I)+SUMIF(GMO!I:I,'Tổng hợp tiền thu theo mã U'!E23,GMO!H:H)+SUMIF('Arai 7121'!H:H,'Tổng hợp tiền thu theo mã U'!E23,'Arai 7121'!B:B)</f>
        <v>297</v>
      </c>
      <c r="H23" s="70">
        <f t="shared" si="1"/>
        <v>3297</v>
      </c>
      <c r="P23" s="110"/>
    </row>
    <row r="24" spans="4:16">
      <c r="D24">
        <v>22</v>
      </c>
      <c r="E24" t="s">
        <v>4148</v>
      </c>
      <c r="F24" s="110">
        <f>SUMIF('Yucho Arai'!N:N,'Tổng hợp tiền thu theo mã U'!E24,'Yucho Arai'!H:H)+SUMIF(GMO!I:I,'Tổng hợp tiền thu theo mã U'!E24,GMO!G:G)</f>
        <v>6297</v>
      </c>
      <c r="G24" s="110">
        <f>SUMIF('Yucho Arai'!N:N,'Tổng hợp tiền thu theo mã U'!E24,'Yucho Arai'!I:I)+SUMIF(GMO!I:I,'Tổng hợp tiền thu theo mã U'!E24,GMO!H:H)+SUMIF('Arai 7121'!H:H,'Tổng hợp tiền thu theo mã U'!E24,'Arai 7121'!B:B)</f>
        <v>292</v>
      </c>
      <c r="H24" s="70">
        <f t="shared" si="1"/>
        <v>6589</v>
      </c>
      <c r="P24" s="110"/>
    </row>
    <row r="25" spans="4:16">
      <c r="D25">
        <v>23</v>
      </c>
      <c r="E25" t="s">
        <v>4225</v>
      </c>
      <c r="F25" s="110">
        <f>SUMIF('Yucho Arai'!N:N,'Tổng hợp tiền thu theo mã U'!E25,'Yucho Arai'!H:H)+SUMIF(GMO!I:I,'Tổng hợp tiền thu theo mã U'!E25,GMO!G:G)</f>
        <v>6850</v>
      </c>
      <c r="G25" s="110">
        <f>SUMIF('Yucho Arai'!N:N,'Tổng hợp tiền thu theo mã U'!E25,'Yucho Arai'!I:I)+SUMIF(GMO!I:I,'Tổng hợp tiền thu theo mã U'!E25,GMO!H:H)+SUMIF('Arai 7121'!H:H,'Tổng hợp tiền thu theo mã U'!E25,'Arai 7121'!B:B)</f>
        <v>0</v>
      </c>
      <c r="H25" s="70">
        <f t="shared" si="1"/>
        <v>6850</v>
      </c>
      <c r="P25" s="110"/>
    </row>
    <row r="26" spans="4:16">
      <c r="D26">
        <v>24</v>
      </c>
      <c r="E26" t="s">
        <v>4171</v>
      </c>
      <c r="F26" s="110">
        <f>SUMIF('Yucho Arai'!N:N,'Tổng hợp tiền thu theo mã U'!E26,'Yucho Arai'!H:H)+SUMIF(GMO!I:I,'Tổng hợp tiền thu theo mã U'!E26,GMO!G:G)</f>
        <v>4000</v>
      </c>
      <c r="G26" s="110">
        <f>SUMIF('Yucho Arai'!N:N,'Tổng hợp tiền thu theo mã U'!E26,'Yucho Arai'!I:I)+SUMIF(GMO!I:I,'Tổng hợp tiền thu theo mã U'!E26,GMO!H:H)+SUMIF('Arai 7121'!H:H,'Tổng hợp tiền thu theo mã U'!E26,'Arai 7121'!B:B)</f>
        <v>0</v>
      </c>
      <c r="H26" s="70">
        <f t="shared" si="1"/>
        <v>4000</v>
      </c>
      <c r="P26" s="110"/>
    </row>
    <row r="27" spans="4:16">
      <c r="D27">
        <v>25</v>
      </c>
      <c r="E27" t="s">
        <v>4199</v>
      </c>
      <c r="F27" s="110">
        <f>SUMIF('Yucho Arai'!N:N,'Tổng hợp tiền thu theo mã U'!E27,'Yucho Arai'!H:H)+SUMIF(GMO!I:I,'Tổng hợp tiền thu theo mã U'!E27,GMO!G:G)</f>
        <v>14000</v>
      </c>
      <c r="G27" s="110">
        <f>SUMIF('Yucho Arai'!N:N,'Tổng hợp tiền thu theo mã U'!E27,'Yucho Arai'!I:I)+SUMIF(GMO!I:I,'Tổng hợp tiền thu theo mã U'!E27,GMO!H:H)+SUMIF('Arai 7121'!H:H,'Tổng hợp tiền thu theo mã U'!E27,'Arai 7121'!B:B)</f>
        <v>0</v>
      </c>
      <c r="H27" s="70">
        <f t="shared" si="1"/>
        <v>14000</v>
      </c>
      <c r="P27" s="110"/>
    </row>
    <row r="28" spans="4:16">
      <c r="D28">
        <v>26</v>
      </c>
      <c r="E28" t="s">
        <v>4134</v>
      </c>
      <c r="F28" s="110">
        <f>SUMIF('Yucho Arai'!N:N,'Tổng hợp tiền thu theo mã U'!E28,'Yucho Arai'!H:H)+SUMIF(GMO!I:I,'Tổng hợp tiền thu theo mã U'!E28,GMO!G:G)</f>
        <v>3297</v>
      </c>
      <c r="G28" s="110">
        <f>SUMIF('Yucho Arai'!N:N,'Tổng hợp tiền thu theo mã U'!E28,'Yucho Arai'!I:I)+SUMIF(GMO!I:I,'Tổng hợp tiền thu theo mã U'!E28,GMO!H:H)+SUMIF('Arai 7121'!H:H,'Tổng hợp tiền thu theo mã U'!E28,'Arai 7121'!B:B)</f>
        <v>493</v>
      </c>
      <c r="H28" s="70">
        <f t="shared" si="1"/>
        <v>3790</v>
      </c>
      <c r="P28" s="110"/>
    </row>
    <row r="29" spans="4:16">
      <c r="D29">
        <v>27</v>
      </c>
      <c r="E29" t="s">
        <v>4141</v>
      </c>
      <c r="F29" s="110">
        <f>SUMIF('Yucho Arai'!N:N,'Tổng hợp tiền thu theo mã U'!E29,'Yucho Arai'!H:H)+SUMIF(GMO!I:I,'Tổng hợp tiền thu theo mã U'!E29,GMO!G:G)</f>
        <v>3000</v>
      </c>
      <c r="G29" s="110">
        <f>SUMIF('Yucho Arai'!N:N,'Tổng hợp tiền thu theo mã U'!E29,'Yucho Arai'!I:I)+SUMIF(GMO!I:I,'Tổng hợp tiền thu theo mã U'!E29,GMO!H:H)+SUMIF('Arai 7121'!H:H,'Tổng hợp tiền thu theo mã U'!E29,'Arai 7121'!B:B)</f>
        <v>292</v>
      </c>
      <c r="H29" s="70">
        <f t="shared" si="1"/>
        <v>3292</v>
      </c>
      <c r="P29" s="110"/>
    </row>
    <row r="30" spans="4:16">
      <c r="D30">
        <v>28</v>
      </c>
      <c r="E30" t="s">
        <v>4147</v>
      </c>
      <c r="F30" s="110">
        <f>SUMIF('Yucho Arai'!N:N,'Tổng hợp tiền thu theo mã U'!E30,'Yucho Arai'!H:H)+SUMIF(GMO!I:I,'Tổng hợp tiền thu theo mã U'!E30,GMO!G:G)</f>
        <v>6297</v>
      </c>
      <c r="G30" s="110">
        <f>SUMIF('Yucho Arai'!N:N,'Tổng hợp tiền thu theo mã U'!E30,'Yucho Arai'!I:I)+SUMIF(GMO!I:I,'Tổng hợp tiền thu theo mã U'!E30,GMO!H:H)+SUMIF('Arai 7121'!H:H,'Tổng hợp tiền thu theo mã U'!E30,'Arai 7121'!B:B)</f>
        <v>292</v>
      </c>
      <c r="H30" s="70">
        <f t="shared" si="1"/>
        <v>6589</v>
      </c>
      <c r="P30" s="110"/>
    </row>
    <row r="31" spans="4:16">
      <c r="D31">
        <v>29</v>
      </c>
      <c r="E31" t="s">
        <v>4146</v>
      </c>
      <c r="F31" s="110">
        <f>SUMIF('Yucho Arai'!N:N,'Tổng hợp tiền thu theo mã U'!E31,'Yucho Arai'!H:H)+SUMIF(GMO!I:I,'Tổng hợp tiền thu theo mã U'!E31,GMO!G:G)</f>
        <v>3297</v>
      </c>
      <c r="G31" s="110">
        <f>SUMIF('Yucho Arai'!N:N,'Tổng hợp tiền thu theo mã U'!E31,'Yucho Arai'!I:I)+SUMIF(GMO!I:I,'Tổng hợp tiền thu theo mã U'!E31,GMO!H:H)+SUMIF('Arai 7121'!H:H,'Tổng hợp tiền thu theo mã U'!E31,'Arai 7121'!B:B)</f>
        <v>0</v>
      </c>
      <c r="H31" s="70">
        <f t="shared" si="1"/>
        <v>3297</v>
      </c>
      <c r="P31" s="110"/>
    </row>
    <row r="32" spans="4:16">
      <c r="D32">
        <v>30</v>
      </c>
      <c r="E32" t="s">
        <v>4127</v>
      </c>
      <c r="F32" s="110">
        <f>SUMIF('Yucho Arai'!N:N,'Tổng hợp tiền thu theo mã U'!E32,'Yucho Arai'!H:H)+SUMIF(GMO!I:I,'Tổng hợp tiền thu theo mã U'!E32,GMO!G:G)</f>
        <v>8000</v>
      </c>
      <c r="G32" s="110">
        <f>SUMIF('Yucho Arai'!N:N,'Tổng hợp tiền thu theo mã U'!E32,'Yucho Arai'!I:I)+SUMIF(GMO!I:I,'Tổng hợp tiền thu theo mã U'!E32,GMO!H:H)+SUMIF('Arai 7121'!H:H,'Tổng hợp tiền thu theo mã U'!E32,'Arai 7121'!B:B)</f>
        <v>0</v>
      </c>
      <c r="H32" s="70">
        <f t="shared" si="1"/>
        <v>8000</v>
      </c>
      <c r="P32" s="110"/>
    </row>
    <row r="33" spans="4:16">
      <c r="D33">
        <v>31</v>
      </c>
      <c r="E33" t="s">
        <v>4152</v>
      </c>
      <c r="F33" s="110">
        <f>SUMIF('Yucho Arai'!N:N,'Tổng hợp tiền thu theo mã U'!E33,'Yucho Arai'!H:H)+SUMIF(GMO!I:I,'Tổng hợp tiền thu theo mã U'!E33,GMO!G:G)</f>
        <v>3297</v>
      </c>
      <c r="G33" s="110">
        <f>SUMIF('Yucho Arai'!N:N,'Tổng hợp tiền thu theo mã U'!E33,'Yucho Arai'!I:I)+SUMIF(GMO!I:I,'Tổng hợp tiền thu theo mã U'!E33,GMO!H:H)+SUMIF('Arai 7121'!H:H,'Tổng hợp tiền thu theo mã U'!E33,'Arai 7121'!B:B)</f>
        <v>0</v>
      </c>
      <c r="H33" s="70">
        <f t="shared" si="1"/>
        <v>3297</v>
      </c>
      <c r="P33" s="110"/>
    </row>
    <row r="34" spans="4:16">
      <c r="D34">
        <v>32</v>
      </c>
      <c r="E34" t="s">
        <v>4183</v>
      </c>
      <c r="F34" s="110">
        <f>SUMIF('Yucho Arai'!N:N,'Tổng hợp tiền thu theo mã U'!E34,'Yucho Arai'!H:H)+SUMIF(GMO!I:I,'Tổng hợp tiền thu theo mã U'!E34,GMO!G:G)</f>
        <v>3797</v>
      </c>
      <c r="G34" s="110">
        <f>SUMIF('Yucho Arai'!N:N,'Tổng hợp tiền thu theo mã U'!E34,'Yucho Arai'!I:I)+SUMIF(GMO!I:I,'Tổng hợp tiền thu theo mã U'!E34,GMO!H:H)+SUMIF('Arai 7121'!H:H,'Tổng hợp tiền thu theo mã U'!E34,'Arai 7121'!B:B)</f>
        <v>0</v>
      </c>
      <c r="H34" s="70">
        <f t="shared" si="1"/>
        <v>3797</v>
      </c>
      <c r="P34" s="110"/>
    </row>
    <row r="35" spans="4:16">
      <c r="D35">
        <v>33</v>
      </c>
      <c r="E35" t="s">
        <v>4226</v>
      </c>
      <c r="F35" s="110">
        <f>SUMIF('Yucho Arai'!N:N,'Tổng hợp tiền thu theo mã U'!E35,'Yucho Arai'!H:H)+SUMIF(GMO!I:I,'Tổng hợp tiền thu theo mã U'!E35,GMO!G:G)</f>
        <v>6850</v>
      </c>
      <c r="G35" s="110">
        <f>SUMIF('Yucho Arai'!N:N,'Tổng hợp tiền thu theo mã U'!E35,'Yucho Arai'!I:I)+SUMIF(GMO!I:I,'Tổng hợp tiền thu theo mã U'!E35,GMO!H:H)+SUMIF('Arai 7121'!H:H,'Tổng hợp tiền thu theo mã U'!E35,'Arai 7121'!B:B)</f>
        <v>0</v>
      </c>
      <c r="H35" s="70">
        <f t="shared" si="1"/>
        <v>6850</v>
      </c>
      <c r="P35" s="110"/>
    </row>
    <row r="36" spans="4:16">
      <c r="D36">
        <v>34</v>
      </c>
      <c r="E36" t="s">
        <v>4231</v>
      </c>
      <c r="F36" s="110">
        <f>SUMIF('Yucho Arai'!N:N,'Tổng hợp tiền thu theo mã U'!E36,'Yucho Arai'!H:H)+SUMIF(GMO!I:I,'Tổng hợp tiền thu theo mã U'!E36,GMO!G:G)</f>
        <v>6850</v>
      </c>
      <c r="G36" s="110">
        <f>SUMIF('Yucho Arai'!N:N,'Tổng hợp tiền thu theo mã U'!E36,'Yucho Arai'!I:I)+SUMIF(GMO!I:I,'Tổng hợp tiền thu theo mã U'!E36,GMO!H:H)+SUMIF('Arai 7121'!H:H,'Tổng hợp tiền thu theo mã U'!E36,'Arai 7121'!B:B)</f>
        <v>0</v>
      </c>
      <c r="H36" s="70">
        <f t="shared" si="1"/>
        <v>6850</v>
      </c>
      <c r="P36" s="110"/>
    </row>
    <row r="37" spans="4:16">
      <c r="D37">
        <v>35</v>
      </c>
      <c r="E37" t="s">
        <v>4232</v>
      </c>
      <c r="F37" s="110">
        <f>SUMIF('Yucho Arai'!N:N,'Tổng hợp tiền thu theo mã U'!E37,'Yucho Arai'!H:H)+SUMIF(GMO!I:I,'Tổng hợp tiền thu theo mã U'!E37,GMO!G:G)</f>
        <v>6850</v>
      </c>
      <c r="G37" s="110">
        <f>SUMIF('Yucho Arai'!N:N,'Tổng hợp tiền thu theo mã U'!E37,'Yucho Arai'!I:I)+SUMIF(GMO!I:I,'Tổng hợp tiền thu theo mã U'!E37,GMO!H:H)+SUMIF('Arai 7121'!H:H,'Tổng hợp tiền thu theo mã U'!E37,'Arai 7121'!B:B)</f>
        <v>0</v>
      </c>
      <c r="H37" s="70">
        <f t="shared" si="1"/>
        <v>6850</v>
      </c>
      <c r="P37" s="110"/>
    </row>
    <row r="38" spans="4:16">
      <c r="D38">
        <v>36</v>
      </c>
      <c r="E38" t="s">
        <v>4114</v>
      </c>
      <c r="F38" s="110">
        <f>SUMIF('Yucho Arai'!N:N,'Tổng hợp tiền thu theo mã U'!E38,'Yucho Arai'!H:H)+SUMIF(GMO!I:I,'Tổng hợp tiền thu theo mã U'!E38,GMO!G:G)</f>
        <v>3797</v>
      </c>
      <c r="G38" s="110">
        <f>SUMIF('Yucho Arai'!N:N,'Tổng hợp tiền thu theo mã U'!E38,'Yucho Arai'!I:I)+SUMIF(GMO!I:I,'Tổng hợp tiền thu theo mã U'!E38,GMO!H:H)+SUMIF('Arai 7121'!H:H,'Tổng hợp tiền thu theo mã U'!E38,'Arai 7121'!B:B)</f>
        <v>0</v>
      </c>
      <c r="H38" s="70">
        <f t="shared" si="1"/>
        <v>3797</v>
      </c>
      <c r="P38" s="110"/>
    </row>
    <row r="39" spans="4:16">
      <c r="D39">
        <v>37</v>
      </c>
      <c r="E39" t="s">
        <v>4170</v>
      </c>
      <c r="F39" s="110">
        <f>SUMIF('Yucho Arai'!N:N,'Tổng hợp tiền thu theo mã U'!E39,'Yucho Arai'!H:H)+SUMIF(GMO!I:I,'Tổng hợp tiền thu theo mã U'!E39,GMO!G:G)</f>
        <v>3297</v>
      </c>
      <c r="G39" s="110">
        <f>SUMIF('Yucho Arai'!N:N,'Tổng hợp tiền thu theo mã U'!E39,'Yucho Arai'!I:I)+SUMIF(GMO!I:I,'Tổng hợp tiền thu theo mã U'!E39,GMO!H:H)+SUMIF('Arai 7121'!H:H,'Tổng hợp tiền thu theo mã U'!E39,'Arai 7121'!B:B)</f>
        <v>0</v>
      </c>
      <c r="H39" s="70">
        <f t="shared" si="1"/>
        <v>3297</v>
      </c>
      <c r="P39" s="110"/>
    </row>
    <row r="40" spans="4:16">
      <c r="D40">
        <v>38</v>
      </c>
      <c r="E40" t="s">
        <v>4090</v>
      </c>
      <c r="F40" s="110">
        <f>SUMIF('Yucho Arai'!N:N,'Tổng hợp tiền thu theo mã U'!E40,'Yucho Arai'!H:H)+SUMIF(GMO!I:I,'Tổng hợp tiền thu theo mã U'!E40,GMO!G:G)</f>
        <v>1797</v>
      </c>
      <c r="G40" s="110">
        <f>SUMIF('Yucho Arai'!N:N,'Tổng hợp tiền thu theo mã U'!E40,'Yucho Arai'!I:I)+SUMIF(GMO!I:I,'Tổng hợp tiền thu theo mã U'!E40,GMO!H:H)+SUMIF('Arai 7121'!H:H,'Tổng hợp tiền thu theo mã U'!E40,'Arai 7121'!B:B)</f>
        <v>0</v>
      </c>
      <c r="H40" s="70">
        <f t="shared" si="1"/>
        <v>1797</v>
      </c>
      <c r="P40" s="110"/>
    </row>
    <row r="41" spans="4:16">
      <c r="D41">
        <v>39</v>
      </c>
      <c r="E41" t="s">
        <v>4107</v>
      </c>
      <c r="F41" s="110">
        <f>SUMIF('Yucho Arai'!N:N,'Tổng hợp tiền thu theo mã U'!E41,'Yucho Arai'!H:H)+SUMIF(GMO!I:I,'Tổng hợp tiền thu theo mã U'!E41,GMO!G:G)</f>
        <v>1797</v>
      </c>
      <c r="G41" s="110">
        <f>SUMIF('Yucho Arai'!N:N,'Tổng hợp tiền thu theo mã U'!E41,'Yucho Arai'!I:I)+SUMIF(GMO!I:I,'Tổng hợp tiền thu theo mã U'!E41,GMO!H:H)+SUMIF('Arai 7121'!H:H,'Tổng hợp tiền thu theo mã U'!E41,'Arai 7121'!B:B)</f>
        <v>0</v>
      </c>
      <c r="H41" s="70">
        <f t="shared" si="1"/>
        <v>1797</v>
      </c>
      <c r="P41" s="110"/>
    </row>
    <row r="42" spans="4:16">
      <c r="D42">
        <v>40</v>
      </c>
      <c r="E42" t="s">
        <v>4230</v>
      </c>
      <c r="F42" s="110">
        <f>SUMIF('Yucho Arai'!N:N,'Tổng hợp tiền thu theo mã U'!E42,'Yucho Arai'!H:H)+SUMIF(GMO!I:I,'Tổng hợp tiền thu theo mã U'!E42,GMO!G:G)</f>
        <v>3297</v>
      </c>
      <c r="G42" s="110">
        <f>SUMIF('Yucho Arai'!N:N,'Tổng hợp tiền thu theo mã U'!E42,'Yucho Arai'!I:I)+SUMIF(GMO!I:I,'Tổng hợp tiền thu theo mã U'!E42,GMO!H:H)+SUMIF('Arai 7121'!H:H,'Tổng hợp tiền thu theo mã U'!E42,'Arai 7121'!B:B)</f>
        <v>0</v>
      </c>
      <c r="H42" s="70">
        <f t="shared" si="1"/>
        <v>3297</v>
      </c>
      <c r="P42" s="110"/>
    </row>
    <row r="43" spans="4:16">
      <c r="D43">
        <v>41</v>
      </c>
      <c r="E43" t="s">
        <v>4165</v>
      </c>
      <c r="F43" s="110">
        <f>SUMIF('Yucho Arai'!N:N,'Tổng hợp tiền thu theo mã U'!E43,'Yucho Arai'!H:H)+SUMIF(GMO!I:I,'Tổng hợp tiền thu theo mã U'!E43,GMO!G:G)</f>
        <v>4000</v>
      </c>
      <c r="G43" s="110">
        <f>SUMIF('Yucho Arai'!N:N,'Tổng hợp tiền thu theo mã U'!E43,'Yucho Arai'!I:I)+SUMIF(GMO!I:I,'Tổng hợp tiền thu theo mã U'!E43,GMO!H:H)+SUMIF('Arai 7121'!H:H,'Tổng hợp tiền thu theo mã U'!E43,'Arai 7121'!B:B)</f>
        <v>290</v>
      </c>
      <c r="H43" s="70">
        <f t="shared" si="1"/>
        <v>4290</v>
      </c>
      <c r="P43" s="110"/>
    </row>
    <row r="44" spans="4:16">
      <c r="D44">
        <v>42</v>
      </c>
      <c r="E44" t="s">
        <v>4144</v>
      </c>
      <c r="F44" s="110">
        <f>SUMIF('Yucho Arai'!N:N,'Tổng hợp tiền thu theo mã U'!E44,'Yucho Arai'!H:H)+SUMIF(GMO!I:I,'Tổng hợp tiền thu theo mã U'!E44,GMO!G:G)</f>
        <v>2797</v>
      </c>
      <c r="G44" s="110">
        <f>SUMIF('Yucho Arai'!N:N,'Tổng hợp tiền thu theo mã U'!E44,'Yucho Arai'!I:I)+SUMIF(GMO!I:I,'Tổng hợp tiền thu theo mã U'!E44,GMO!H:H)+SUMIF('Arai 7121'!H:H,'Tổng hợp tiền thu theo mã U'!E44,'Arai 7121'!B:B)</f>
        <v>0</v>
      </c>
      <c r="H44" s="70">
        <f t="shared" si="1"/>
        <v>2797</v>
      </c>
      <c r="P44" s="110"/>
    </row>
    <row r="45" spans="4:16">
      <c r="D45">
        <v>43</v>
      </c>
      <c r="E45" t="s">
        <v>4081</v>
      </c>
      <c r="F45" s="110">
        <f>SUMIF('Yucho Arai'!N:N,'Tổng hợp tiền thu theo mã U'!E45,'Yucho Arai'!H:H)+SUMIF(GMO!I:I,'Tổng hợp tiền thu theo mã U'!E45,GMO!G:G)</f>
        <v>1797</v>
      </c>
      <c r="G45" s="110">
        <f>SUMIF('Yucho Arai'!N:N,'Tổng hợp tiền thu theo mã U'!E45,'Yucho Arai'!I:I)+SUMIF(GMO!I:I,'Tổng hợp tiền thu theo mã U'!E45,GMO!H:H)+SUMIF('Arai 7121'!H:H,'Tổng hợp tiền thu theo mã U'!E45,'Arai 7121'!B:B)</f>
        <v>0</v>
      </c>
      <c r="H45" s="70">
        <f t="shared" si="1"/>
        <v>1797</v>
      </c>
      <c r="P45" s="110"/>
    </row>
    <row r="46" spans="4:16">
      <c r="D46">
        <v>44</v>
      </c>
      <c r="E46" t="s">
        <v>4142</v>
      </c>
      <c r="F46" s="110">
        <f>SUMIF('Yucho Arai'!N:N,'Tổng hợp tiền thu theo mã U'!E46,'Yucho Arai'!H:H)+SUMIF(GMO!I:I,'Tổng hợp tiền thu theo mã U'!E46,GMO!G:G)</f>
        <v>3500</v>
      </c>
      <c r="G46" s="110">
        <f>SUMIF('Yucho Arai'!N:N,'Tổng hợp tiền thu theo mã U'!E46,'Yucho Arai'!I:I)+SUMIF(GMO!I:I,'Tổng hợp tiền thu theo mã U'!E46,GMO!H:H)+SUMIF('Arai 7121'!H:H,'Tổng hợp tiền thu theo mã U'!E46,'Arai 7121'!B:B)</f>
        <v>292</v>
      </c>
      <c r="H46" s="70">
        <f t="shared" si="1"/>
        <v>3792</v>
      </c>
      <c r="P46" s="110"/>
    </row>
    <row r="47" spans="4:16">
      <c r="D47">
        <v>45</v>
      </c>
      <c r="E47" t="s">
        <v>4108</v>
      </c>
      <c r="F47" s="110">
        <f>SUMIF('Yucho Arai'!N:N,'Tổng hợp tiền thu theo mã U'!E47,'Yucho Arai'!H:H)+SUMIF(GMO!I:I,'Tổng hợp tiền thu theo mã U'!E47,GMO!G:G)</f>
        <v>1797</v>
      </c>
      <c r="G47" s="110">
        <f>SUMIF('Yucho Arai'!N:N,'Tổng hợp tiền thu theo mã U'!E47,'Yucho Arai'!I:I)+SUMIF(GMO!I:I,'Tổng hợp tiền thu theo mã U'!E47,GMO!H:H)+SUMIF('Arai 7121'!H:H,'Tổng hợp tiền thu theo mã U'!E47,'Arai 7121'!B:B)</f>
        <v>0</v>
      </c>
      <c r="H47" s="70">
        <f t="shared" si="1"/>
        <v>1797</v>
      </c>
      <c r="P47" s="110"/>
    </row>
    <row r="48" spans="4:16">
      <c r="D48">
        <v>46</v>
      </c>
      <c r="E48" t="s">
        <v>4158</v>
      </c>
      <c r="F48" s="110">
        <f>SUMIF('Yucho Arai'!N:N,'Tổng hợp tiền thu theo mã U'!E48,'Yucho Arai'!H:H)+SUMIF(GMO!I:I,'Tổng hợp tiền thu theo mã U'!E48,GMO!G:G)</f>
        <v>6594</v>
      </c>
      <c r="G48" s="110">
        <f>SUMIF('Yucho Arai'!N:N,'Tổng hợp tiền thu theo mã U'!E48,'Yucho Arai'!I:I)+SUMIF(GMO!I:I,'Tổng hợp tiền thu theo mã U'!E48,GMO!H:H)+SUMIF('Arai 7121'!H:H,'Tổng hợp tiền thu theo mã U'!E48,'Arai 7121'!B:B)</f>
        <v>0</v>
      </c>
      <c r="H48" s="70">
        <f t="shared" si="1"/>
        <v>6594</v>
      </c>
      <c r="P48" s="110"/>
    </row>
    <row r="49" spans="4:16">
      <c r="D49">
        <v>47</v>
      </c>
      <c r="E49" t="s">
        <v>4179</v>
      </c>
      <c r="F49" s="110">
        <f>SUMIF('Yucho Arai'!N:N,'Tổng hợp tiền thu theo mã U'!E49,'Yucho Arai'!H:H)+SUMIF(GMO!I:I,'Tổng hợp tiền thu theo mã U'!E49,GMO!G:G)</f>
        <v>4000</v>
      </c>
      <c r="G49" s="110">
        <f>SUMIF('Yucho Arai'!N:N,'Tổng hợp tiền thu theo mã U'!E49,'Yucho Arai'!I:I)+SUMIF(GMO!I:I,'Tổng hợp tiền thu theo mã U'!E49,GMO!H:H)+SUMIF('Arai 7121'!H:H,'Tổng hợp tiền thu theo mã U'!E49,'Arai 7121'!B:B)</f>
        <v>290</v>
      </c>
      <c r="H49" s="70">
        <f t="shared" si="1"/>
        <v>4290</v>
      </c>
      <c r="P49" s="110"/>
    </row>
    <row r="50" spans="4:16">
      <c r="D50">
        <v>48</v>
      </c>
      <c r="E50" t="s">
        <v>4153</v>
      </c>
      <c r="F50" s="110">
        <f>SUMIF('Yucho Arai'!N:N,'Tổng hợp tiền thu theo mã U'!E50,'Yucho Arai'!H:H)+SUMIF(GMO!I:I,'Tổng hợp tiền thu theo mã U'!E50,GMO!G:G)</f>
        <v>4000</v>
      </c>
      <c r="G50" s="110">
        <f>SUMIF('Yucho Arai'!N:N,'Tổng hợp tiền thu theo mã U'!E50,'Yucho Arai'!I:I)+SUMIF(GMO!I:I,'Tổng hợp tiền thu theo mã U'!E50,GMO!H:H)+SUMIF('Arai 7121'!H:H,'Tổng hợp tiền thu theo mã U'!E50,'Arai 7121'!B:B)</f>
        <v>290</v>
      </c>
      <c r="H50" s="70">
        <f t="shared" si="1"/>
        <v>4290</v>
      </c>
      <c r="P50" s="110"/>
    </row>
    <row r="51" spans="4:16">
      <c r="D51">
        <v>49</v>
      </c>
      <c r="E51" t="s">
        <v>4233</v>
      </c>
      <c r="F51" s="110">
        <f>SUMIF('Yucho Arai'!N:N,'Tổng hợp tiền thu theo mã U'!E51,'Yucho Arai'!H:H)+SUMIF(GMO!I:I,'Tổng hợp tiền thu theo mã U'!E51,GMO!G:G)</f>
        <v>6850</v>
      </c>
      <c r="G51" s="110">
        <f>SUMIF('Yucho Arai'!N:N,'Tổng hợp tiền thu theo mã U'!E51,'Yucho Arai'!I:I)+SUMIF(GMO!I:I,'Tổng hợp tiền thu theo mã U'!E51,GMO!H:H)+SUMIF('Arai 7121'!H:H,'Tổng hợp tiền thu theo mã U'!E51,'Arai 7121'!B:B)</f>
        <v>0</v>
      </c>
      <c r="H51" s="70">
        <f t="shared" si="1"/>
        <v>6850</v>
      </c>
      <c r="P51" s="110"/>
    </row>
    <row r="52" spans="4:16">
      <c r="D52">
        <v>50</v>
      </c>
      <c r="E52" t="s">
        <v>4131</v>
      </c>
      <c r="F52" s="110">
        <f>SUMIF('Yucho Arai'!N:N,'Tổng hợp tiền thu theo mã U'!E52,'Yucho Arai'!H:H)+SUMIF(GMO!I:I,'Tổng hợp tiền thu theo mã U'!E52,GMO!G:G)</f>
        <v>6850</v>
      </c>
      <c r="G52" s="110">
        <f>SUMIF('Yucho Arai'!N:N,'Tổng hợp tiền thu theo mã U'!E52,'Yucho Arai'!I:I)+SUMIF(GMO!I:I,'Tổng hợp tiền thu theo mã U'!E52,GMO!H:H)+SUMIF('Arai 7121'!H:H,'Tổng hợp tiền thu theo mã U'!E52,'Arai 7121'!B:B)</f>
        <v>0</v>
      </c>
      <c r="H52" s="70">
        <f t="shared" si="1"/>
        <v>6850</v>
      </c>
      <c r="P52" s="110"/>
    </row>
    <row r="53" spans="4:16">
      <c r="D53">
        <v>51</v>
      </c>
      <c r="E53" t="s">
        <v>4235</v>
      </c>
      <c r="F53" s="110">
        <f>SUMIF('Yucho Arai'!N:N,'Tổng hợp tiền thu theo mã U'!E53,'Yucho Arai'!H:H)+SUMIF(GMO!I:I,'Tổng hợp tiền thu theo mã U'!E53,GMO!G:G)</f>
        <v>6850</v>
      </c>
      <c r="G53" s="110">
        <f>SUMIF('Yucho Arai'!N:N,'Tổng hợp tiền thu theo mã U'!E53,'Yucho Arai'!I:I)+SUMIF(GMO!I:I,'Tổng hợp tiền thu theo mã U'!E53,GMO!H:H)+SUMIF('Arai 7121'!H:H,'Tổng hợp tiền thu theo mã U'!E53,'Arai 7121'!B:B)</f>
        <v>0</v>
      </c>
      <c r="H53" s="70">
        <f t="shared" si="1"/>
        <v>6850</v>
      </c>
      <c r="P53" s="110"/>
    </row>
    <row r="54" spans="4:16">
      <c r="D54">
        <v>52</v>
      </c>
      <c r="E54" t="s">
        <v>4239</v>
      </c>
      <c r="F54" s="110">
        <f>SUMIF('Yucho Arai'!N:N,'Tổng hợp tiền thu theo mã U'!E54,'Yucho Arai'!H:H)+SUMIF(GMO!I:I,'Tổng hợp tiền thu theo mã U'!E54,GMO!G:G)</f>
        <v>6850</v>
      </c>
      <c r="G54" s="110">
        <f>SUMIF('Yucho Arai'!N:N,'Tổng hợp tiền thu theo mã U'!E54,'Yucho Arai'!I:I)+SUMIF(GMO!I:I,'Tổng hợp tiền thu theo mã U'!E54,GMO!H:H)+SUMIF('Arai 7121'!H:H,'Tổng hợp tiền thu theo mã U'!E54,'Arai 7121'!B:B)</f>
        <v>0</v>
      </c>
      <c r="H54" s="70">
        <f t="shared" si="1"/>
        <v>6850</v>
      </c>
      <c r="P54" s="110"/>
    </row>
    <row r="55" spans="4:16">
      <c r="D55">
        <v>53</v>
      </c>
      <c r="E55" t="s">
        <v>4240</v>
      </c>
      <c r="F55" s="110">
        <f>SUMIF('Yucho Arai'!N:N,'Tổng hợp tiền thu theo mã U'!E55,'Yucho Arai'!H:H)+SUMIF(GMO!I:I,'Tổng hợp tiền thu theo mã U'!E55,GMO!G:G)</f>
        <v>6850</v>
      </c>
      <c r="G55" s="110">
        <f>SUMIF('Yucho Arai'!N:N,'Tổng hợp tiền thu theo mã U'!E55,'Yucho Arai'!I:I)+SUMIF(GMO!I:I,'Tổng hợp tiền thu theo mã U'!E55,GMO!H:H)+SUMIF('Arai 7121'!H:H,'Tổng hợp tiền thu theo mã U'!E55,'Arai 7121'!B:B)</f>
        <v>0</v>
      </c>
      <c r="H55" s="70">
        <f t="shared" si="1"/>
        <v>6850</v>
      </c>
      <c r="P55" s="110"/>
    </row>
    <row r="56" spans="4:16">
      <c r="D56">
        <v>54</v>
      </c>
      <c r="E56" t="s">
        <v>826</v>
      </c>
      <c r="F56" s="110">
        <f>SUMIF('Yucho Arai'!N:N,'Tổng hợp tiền thu theo mã U'!E56,'Yucho Arai'!H:H)+SUMIF(GMO!I:I,'Tổng hợp tiền thu theo mã U'!E56,GMO!G:G)</f>
        <v>2000</v>
      </c>
      <c r="G56" s="110">
        <f>SUMIF('Yucho Arai'!N:N,'Tổng hợp tiền thu theo mã U'!E56,'Yucho Arai'!I:I)+SUMIF(GMO!I:I,'Tổng hợp tiền thu theo mã U'!E56,GMO!H:H)+SUMIF('Arai 7121'!H:H,'Tổng hợp tiền thu theo mã U'!E56,'Arai 7121'!B:B)</f>
        <v>0</v>
      </c>
      <c r="H56" s="70">
        <f t="shared" si="1"/>
        <v>2000</v>
      </c>
      <c r="P56" s="110"/>
    </row>
    <row r="57" spans="4:16">
      <c r="D57">
        <v>55</v>
      </c>
      <c r="E57" t="s">
        <v>4121</v>
      </c>
      <c r="F57" s="110">
        <f>SUMIF('Yucho Arai'!N:N,'Tổng hợp tiền thu theo mã U'!E57,'Yucho Arai'!H:H)+SUMIF(GMO!I:I,'Tổng hợp tiền thu theo mã U'!E57,GMO!G:G)</f>
        <v>3297</v>
      </c>
      <c r="G57" s="110">
        <f>SUMIF('Yucho Arai'!N:N,'Tổng hợp tiền thu theo mã U'!E57,'Yucho Arai'!I:I)+SUMIF(GMO!I:I,'Tổng hợp tiền thu theo mã U'!E57,GMO!H:H)+SUMIF('Arai 7121'!H:H,'Tổng hợp tiền thu theo mã U'!E57,'Arai 7121'!B:B)</f>
        <v>0</v>
      </c>
      <c r="H57" s="70">
        <f t="shared" si="1"/>
        <v>3297</v>
      </c>
      <c r="P57" s="110"/>
    </row>
    <row r="58" spans="4:16">
      <c r="D58">
        <v>56</v>
      </c>
      <c r="E58" t="s">
        <v>4161</v>
      </c>
      <c r="F58" s="110">
        <f>SUMIF('Yucho Arai'!N:N,'Tổng hợp tiền thu theo mã U'!E58,'Yucho Arai'!H:H)+SUMIF(GMO!I:I,'Tổng hợp tiền thu theo mã U'!E58,GMO!G:G)</f>
        <v>3297</v>
      </c>
      <c r="G58" s="110">
        <f>SUMIF('Yucho Arai'!N:N,'Tổng hợp tiền thu theo mã U'!E58,'Yucho Arai'!I:I)+SUMIF(GMO!I:I,'Tổng hợp tiền thu theo mã U'!E58,GMO!H:H)+SUMIF('Arai 7121'!H:H,'Tổng hợp tiền thu theo mã U'!E58,'Arai 7121'!B:B)</f>
        <v>0</v>
      </c>
      <c r="H58" s="70">
        <f t="shared" si="1"/>
        <v>3297</v>
      </c>
      <c r="P58" s="110"/>
    </row>
    <row r="59" spans="4:16">
      <c r="D59">
        <v>57</v>
      </c>
      <c r="E59" t="s">
        <v>4181</v>
      </c>
      <c r="F59" s="110">
        <f>SUMIF('Yucho Arai'!N:N,'Tổng hợp tiền thu theo mã U'!E59,'Yucho Arai'!H:H)+SUMIF(GMO!I:I,'Tổng hợp tiền thu theo mã U'!E59,GMO!G:G)</f>
        <v>3797</v>
      </c>
      <c r="G59" s="110">
        <f>SUMIF('Yucho Arai'!N:N,'Tổng hợp tiền thu theo mã U'!E59,'Yucho Arai'!I:I)+SUMIF(GMO!I:I,'Tổng hợp tiền thu theo mã U'!E59,GMO!H:H)+SUMIF('Arai 7121'!H:H,'Tổng hợp tiền thu theo mã U'!E59,'Arai 7121'!B:B)</f>
        <v>0</v>
      </c>
      <c r="H59" s="70">
        <f t="shared" si="1"/>
        <v>3797</v>
      </c>
      <c r="P59" s="110"/>
    </row>
    <row r="60" spans="4:16">
      <c r="D60">
        <v>58</v>
      </c>
      <c r="E60" t="s">
        <v>4151</v>
      </c>
      <c r="F60" s="110">
        <f>SUMIF('Yucho Arai'!N:N,'Tổng hợp tiền thu theo mã U'!E60,'Yucho Arai'!H:H)+SUMIF(GMO!I:I,'Tổng hợp tiền thu theo mã U'!E60,GMO!G:G)</f>
        <v>3297</v>
      </c>
      <c r="G60" s="110">
        <f>SUMIF('Yucho Arai'!N:N,'Tổng hợp tiền thu theo mã U'!E60,'Yucho Arai'!I:I)+SUMIF(GMO!I:I,'Tổng hợp tiền thu theo mã U'!E60,GMO!H:H)+SUMIF('Arai 7121'!H:H,'Tổng hợp tiền thu theo mã U'!E60,'Arai 7121'!B:B)</f>
        <v>0</v>
      </c>
      <c r="H60" s="70">
        <f t="shared" si="1"/>
        <v>3297</v>
      </c>
      <c r="P60" s="110"/>
    </row>
    <row r="61" spans="4:16">
      <c r="D61">
        <v>59</v>
      </c>
      <c r="E61" t="s">
        <v>4143</v>
      </c>
      <c r="F61" s="110">
        <f>SUMIF('Yucho Arai'!N:N,'Tổng hợp tiền thu theo mã U'!E61,'Yucho Arai'!H:H)+SUMIF(GMO!I:I,'Tổng hợp tiền thu theo mã U'!E61,GMO!G:G)</f>
        <v>4000</v>
      </c>
      <c r="G61" s="110">
        <f>SUMIF('Yucho Arai'!N:N,'Tổng hợp tiền thu theo mã U'!E61,'Yucho Arai'!I:I)+SUMIF(GMO!I:I,'Tổng hợp tiền thu theo mã U'!E61,GMO!H:H)+SUMIF('Arai 7121'!H:H,'Tổng hợp tiền thu theo mã U'!E61,'Arai 7121'!B:B)</f>
        <v>290</v>
      </c>
      <c r="H61" s="70">
        <f t="shared" si="1"/>
        <v>4290</v>
      </c>
      <c r="P61" s="110"/>
    </row>
    <row r="62" spans="4:16">
      <c r="D62">
        <v>60</v>
      </c>
      <c r="E62" t="s">
        <v>4167</v>
      </c>
      <c r="F62" s="110">
        <f>SUMIF('Yucho Arai'!N:N,'Tổng hợp tiền thu theo mã U'!E62,'Yucho Arai'!H:H)+SUMIF(GMO!I:I,'Tổng hợp tiền thu theo mã U'!E62,GMO!G:G)</f>
        <v>4290</v>
      </c>
      <c r="G62" s="110">
        <f>SUMIF('Yucho Arai'!N:N,'Tổng hợp tiền thu theo mã U'!E62,'Yucho Arai'!I:I)+SUMIF(GMO!I:I,'Tổng hợp tiền thu theo mã U'!E62,GMO!H:H)+SUMIF('Arai 7121'!H:H,'Tổng hợp tiền thu theo mã U'!E62,'Arai 7121'!B:B)</f>
        <v>0</v>
      </c>
      <c r="H62" s="70">
        <f t="shared" si="1"/>
        <v>4290</v>
      </c>
      <c r="P62" s="110"/>
    </row>
    <row r="63" spans="4:16">
      <c r="D63">
        <v>61</v>
      </c>
      <c r="E63" t="s">
        <v>4197</v>
      </c>
      <c r="F63" s="110">
        <f>SUMIF('Yucho Arai'!N:N,'Tổng hợp tiền thu theo mã U'!E63,'Yucho Arai'!H:H)+SUMIF(GMO!I:I,'Tổng hợp tiền thu theo mã U'!E63,GMO!G:G)</f>
        <v>4000</v>
      </c>
      <c r="G63" s="110">
        <f>SUMIF('Yucho Arai'!N:N,'Tổng hợp tiền thu theo mã U'!E63,'Yucho Arai'!I:I)+SUMIF(GMO!I:I,'Tổng hợp tiền thu theo mã U'!E63,GMO!H:H)+SUMIF('Arai 7121'!H:H,'Tổng hợp tiền thu theo mã U'!E63,'Arai 7121'!B:B)</f>
        <v>0</v>
      </c>
      <c r="H63" s="70">
        <f t="shared" si="1"/>
        <v>4000</v>
      </c>
      <c r="P63" s="110"/>
    </row>
    <row r="64" spans="4:16">
      <c r="D64">
        <v>62</v>
      </c>
      <c r="E64" t="s">
        <v>4184</v>
      </c>
      <c r="F64" s="110">
        <f>SUMIF('Yucho Arai'!N:N,'Tổng hợp tiền thu theo mã U'!E64,'Yucho Arai'!H:H)+SUMIF(GMO!I:I,'Tổng hợp tiền thu theo mã U'!E64,GMO!G:G)</f>
        <v>3797</v>
      </c>
      <c r="G64" s="110">
        <f>SUMIF('Yucho Arai'!N:N,'Tổng hợp tiền thu theo mã U'!E64,'Yucho Arai'!I:I)+SUMIF(GMO!I:I,'Tổng hợp tiền thu theo mã U'!E64,GMO!H:H)+SUMIF('Arai 7121'!H:H,'Tổng hợp tiền thu theo mã U'!E64,'Arai 7121'!B:B)</f>
        <v>0</v>
      </c>
      <c r="H64" s="70">
        <f t="shared" si="1"/>
        <v>3797</v>
      </c>
      <c r="P64" s="110"/>
    </row>
    <row r="65" spans="4:16">
      <c r="D65">
        <v>63</v>
      </c>
      <c r="E65" t="s">
        <v>4173</v>
      </c>
      <c r="F65" s="110">
        <f>SUMIF('Yucho Arai'!N:N,'Tổng hợp tiền thu theo mã U'!E65,'Yucho Arai'!H:H)+SUMIF(GMO!I:I,'Tổng hợp tiền thu theo mã U'!E65,GMO!G:G)</f>
        <v>3790</v>
      </c>
      <c r="G65" s="110">
        <f>SUMIF('Yucho Arai'!N:N,'Tổng hợp tiền thu theo mã U'!E65,'Yucho Arai'!I:I)+SUMIF(GMO!I:I,'Tổng hợp tiền thu theo mã U'!E65,GMO!H:H)+SUMIF('Arai 7121'!H:H,'Tổng hợp tiền thu theo mã U'!E65,'Arai 7121'!B:B)</f>
        <v>0</v>
      </c>
      <c r="H65" s="70">
        <f t="shared" si="1"/>
        <v>3790</v>
      </c>
      <c r="P65" s="110"/>
    </row>
    <row r="66" spans="4:16">
      <c r="D66">
        <v>64</v>
      </c>
      <c r="E66" t="s">
        <v>4194</v>
      </c>
      <c r="F66" s="110">
        <f>SUMIF('Yucho Arai'!N:N,'Tổng hợp tiền thu theo mã U'!E66,'Yucho Arai'!H:H)+SUMIF(GMO!I:I,'Tổng hợp tiền thu theo mã U'!E66,GMO!G:G)</f>
        <v>4000</v>
      </c>
      <c r="G66" s="110">
        <f>SUMIF('Yucho Arai'!N:N,'Tổng hợp tiền thu theo mã U'!E66,'Yucho Arai'!I:I)+SUMIF(GMO!I:I,'Tổng hợp tiền thu theo mã U'!E66,GMO!H:H)+SUMIF('Arai 7121'!H:H,'Tổng hợp tiền thu theo mã U'!E66,'Arai 7121'!B:B)</f>
        <v>0</v>
      </c>
      <c r="H66" s="70">
        <f t="shared" si="1"/>
        <v>4000</v>
      </c>
      <c r="P66" s="110"/>
    </row>
    <row r="67" spans="4:16">
      <c r="D67">
        <v>65</v>
      </c>
      <c r="E67" t="s">
        <v>4241</v>
      </c>
      <c r="F67" s="110">
        <f>SUMIF('Yucho Arai'!N:N,'Tổng hợp tiền thu theo mã U'!E67,'Yucho Arai'!H:H)+SUMIF(GMO!I:I,'Tổng hợp tiền thu theo mã U'!E67,GMO!G:G)</f>
        <v>6850</v>
      </c>
      <c r="G67" s="110">
        <f>SUMIF('Yucho Arai'!N:N,'Tổng hợp tiền thu theo mã U'!E67,'Yucho Arai'!I:I)+SUMIF(GMO!I:I,'Tổng hợp tiền thu theo mã U'!E67,GMO!H:H)+SUMIF('Arai 7121'!H:H,'Tổng hợp tiền thu theo mã U'!E67,'Arai 7121'!B:B)</f>
        <v>0</v>
      </c>
      <c r="H67" s="70">
        <f t="shared" si="1"/>
        <v>6850</v>
      </c>
      <c r="P67" s="110"/>
    </row>
    <row r="68" spans="4:16">
      <c r="D68">
        <v>66</v>
      </c>
      <c r="E68" t="s">
        <v>4156</v>
      </c>
      <c r="F68" s="110">
        <f>SUMIF('Yucho Arai'!N:N,'Tổng hợp tiền thu theo mã U'!E68,'Yucho Arai'!H:H)+SUMIF(GMO!I:I,'Tổng hợp tiền thu theo mã U'!E68,GMO!G:G)</f>
        <v>3000</v>
      </c>
      <c r="G68" s="110">
        <f>SUMIF('Yucho Arai'!N:N,'Tổng hợp tiền thu theo mã U'!E68,'Yucho Arai'!I:I)+SUMIF(GMO!I:I,'Tổng hợp tiền thu theo mã U'!E68,GMO!H:H)+SUMIF('Arai 7121'!H:H,'Tổng hợp tiền thu theo mã U'!E68,'Arai 7121'!B:B)</f>
        <v>290</v>
      </c>
      <c r="H68" s="70">
        <f t="shared" ref="H68:H131" si="2">G68+F68</f>
        <v>3290</v>
      </c>
      <c r="P68" s="110"/>
    </row>
    <row r="69" spans="4:16">
      <c r="D69">
        <v>67</v>
      </c>
      <c r="E69" t="s">
        <v>4187</v>
      </c>
      <c r="F69" s="110">
        <f>SUMIF('Yucho Arai'!N:N,'Tổng hợp tiền thu theo mã U'!E69,'Yucho Arai'!H:H)+SUMIF(GMO!I:I,'Tổng hợp tiền thu theo mã U'!E69,GMO!G:G)</f>
        <v>4000</v>
      </c>
      <c r="G69" s="110">
        <f>SUMIF('Yucho Arai'!N:N,'Tổng hợp tiền thu theo mã U'!E69,'Yucho Arai'!I:I)+SUMIF(GMO!I:I,'Tổng hợp tiền thu theo mã U'!E69,GMO!H:H)+SUMIF('Arai 7121'!H:H,'Tổng hợp tiền thu theo mã U'!E69,'Arai 7121'!B:B)</f>
        <v>290</v>
      </c>
      <c r="H69" s="70">
        <f t="shared" si="2"/>
        <v>4290</v>
      </c>
      <c r="P69" s="110"/>
    </row>
    <row r="70" spans="4:16">
      <c r="D70">
        <v>68</v>
      </c>
      <c r="E70" t="s">
        <v>4188</v>
      </c>
      <c r="F70" s="110">
        <f>SUMIF('Yucho Arai'!N:N,'Tổng hợp tiền thu theo mã U'!E70,'Yucho Arai'!H:H)+SUMIF(GMO!I:I,'Tổng hợp tiền thu theo mã U'!E70,GMO!G:G)</f>
        <v>4000</v>
      </c>
      <c r="G70" s="110">
        <f>SUMIF('Yucho Arai'!N:N,'Tổng hợp tiền thu theo mã U'!E70,'Yucho Arai'!I:I)+SUMIF(GMO!I:I,'Tổng hợp tiền thu theo mã U'!E70,GMO!H:H)+SUMIF('Arai 7121'!H:H,'Tổng hợp tiền thu theo mã U'!E70,'Arai 7121'!B:B)</f>
        <v>290</v>
      </c>
      <c r="H70" s="70">
        <f t="shared" si="2"/>
        <v>4290</v>
      </c>
      <c r="P70" s="110"/>
    </row>
    <row r="71" spans="4:16">
      <c r="D71">
        <v>69</v>
      </c>
      <c r="E71" t="s">
        <v>745</v>
      </c>
      <c r="F71" s="110">
        <f>SUMIF('Yucho Arai'!N:N,'Tổng hợp tiền thu theo mã U'!E71,'Yucho Arai'!H:H)+SUMIF(GMO!I:I,'Tổng hợp tiền thu theo mã U'!E71,GMO!G:G)</f>
        <v>2000</v>
      </c>
      <c r="G71" s="110">
        <f>SUMIF('Yucho Arai'!N:N,'Tổng hợp tiền thu theo mã U'!E71,'Yucho Arai'!I:I)+SUMIF(GMO!I:I,'Tổng hợp tiền thu theo mã U'!E71,GMO!H:H)+SUMIF('Arai 7121'!H:H,'Tổng hợp tiền thu theo mã U'!E71,'Arai 7121'!B:B)</f>
        <v>0</v>
      </c>
      <c r="H71" s="70">
        <f t="shared" si="2"/>
        <v>2000</v>
      </c>
      <c r="P71" s="110"/>
    </row>
    <row r="72" spans="4:16">
      <c r="D72">
        <v>70</v>
      </c>
      <c r="E72" t="s">
        <v>4122</v>
      </c>
      <c r="F72" s="110">
        <f>SUMIF('Yucho Arai'!N:N,'Tổng hợp tiền thu theo mã U'!E72,'Yucho Arai'!H:H)+SUMIF(GMO!I:I,'Tổng hợp tiền thu theo mã U'!E72,GMO!G:G)</f>
        <v>2000</v>
      </c>
      <c r="G72" s="110">
        <f>SUMIF('Yucho Arai'!N:N,'Tổng hợp tiền thu theo mã U'!E72,'Yucho Arai'!I:I)+SUMIF(GMO!I:I,'Tổng hợp tiền thu theo mã U'!E72,GMO!H:H)+SUMIF('Arai 7121'!H:H,'Tổng hợp tiền thu theo mã U'!E72,'Arai 7121'!B:B)</f>
        <v>0</v>
      </c>
      <c r="H72" s="70">
        <f t="shared" si="2"/>
        <v>2000</v>
      </c>
      <c r="P72" s="110"/>
    </row>
    <row r="73" spans="4:16">
      <c r="D73">
        <v>71</v>
      </c>
      <c r="E73" t="s">
        <v>4085</v>
      </c>
      <c r="F73" s="110">
        <f>SUMIF('Yucho Arai'!N:N,'Tổng hợp tiền thu theo mã U'!E73,'Yucho Arai'!H:H)+SUMIF(GMO!I:I,'Tổng hợp tiền thu theo mã U'!E73,GMO!G:G)</f>
        <v>5000</v>
      </c>
      <c r="G73" s="110">
        <f>SUMIF('Yucho Arai'!N:N,'Tổng hợp tiền thu theo mã U'!E73,'Yucho Arai'!I:I)+SUMIF(GMO!I:I,'Tổng hợp tiền thu theo mã U'!E73,GMO!H:H)+SUMIF('Arai 7121'!H:H,'Tổng hợp tiền thu theo mã U'!E73,'Arai 7121'!B:B)</f>
        <v>2000</v>
      </c>
      <c r="H73" s="70">
        <f t="shared" si="2"/>
        <v>7000</v>
      </c>
      <c r="P73" s="110"/>
    </row>
    <row r="74" spans="4:16">
      <c r="D74">
        <v>72</v>
      </c>
      <c r="E74" t="s">
        <v>4242</v>
      </c>
      <c r="F74" s="110">
        <f>SUMIF('Yucho Arai'!N:N,'Tổng hợp tiền thu theo mã U'!E74,'Yucho Arai'!H:H)+SUMIF(GMO!I:I,'Tổng hợp tiền thu theo mã U'!E74,GMO!G:G)</f>
        <v>6850</v>
      </c>
      <c r="G74" s="110">
        <f>SUMIF('Yucho Arai'!N:N,'Tổng hợp tiền thu theo mã U'!E74,'Yucho Arai'!I:I)+SUMIF(GMO!I:I,'Tổng hợp tiền thu theo mã U'!E74,GMO!H:H)+SUMIF('Arai 7121'!H:H,'Tổng hợp tiền thu theo mã U'!E74,'Arai 7121'!B:B)</f>
        <v>0</v>
      </c>
      <c r="H74" s="70">
        <f t="shared" si="2"/>
        <v>6850</v>
      </c>
      <c r="P74" s="110"/>
    </row>
    <row r="75" spans="4:16">
      <c r="D75">
        <v>73</v>
      </c>
      <c r="E75" t="s">
        <v>4247</v>
      </c>
      <c r="F75" s="110">
        <f>SUMIF('Yucho Arai'!N:N,'Tổng hợp tiền thu theo mã U'!E75,'Yucho Arai'!H:H)+SUMIF(GMO!I:I,'Tổng hợp tiền thu theo mã U'!E75,GMO!G:G)</f>
        <v>6850</v>
      </c>
      <c r="G75" s="110">
        <f>SUMIF('Yucho Arai'!N:N,'Tổng hợp tiền thu theo mã U'!E75,'Yucho Arai'!I:I)+SUMIF(GMO!I:I,'Tổng hợp tiền thu theo mã U'!E75,GMO!H:H)+SUMIF('Arai 7121'!H:H,'Tổng hợp tiền thu theo mã U'!E75,'Arai 7121'!B:B)</f>
        <v>0</v>
      </c>
      <c r="H75" s="70">
        <f t="shared" si="2"/>
        <v>6850</v>
      </c>
      <c r="P75" s="110"/>
    </row>
    <row r="76" spans="4:16">
      <c r="D76">
        <v>74</v>
      </c>
      <c r="E76" t="s">
        <v>4248</v>
      </c>
      <c r="F76" s="110">
        <f>SUMIF('Yucho Arai'!N:N,'Tổng hợp tiền thu theo mã U'!E76,'Yucho Arai'!H:H)+SUMIF(GMO!I:I,'Tổng hợp tiền thu theo mã U'!E76,GMO!G:G)</f>
        <v>6850</v>
      </c>
      <c r="G76" s="110">
        <f>SUMIF('Yucho Arai'!N:N,'Tổng hợp tiền thu theo mã U'!E76,'Yucho Arai'!I:I)+SUMIF(GMO!I:I,'Tổng hợp tiền thu theo mã U'!E76,GMO!H:H)+SUMIF('Arai 7121'!H:H,'Tổng hợp tiền thu theo mã U'!E76,'Arai 7121'!B:B)</f>
        <v>0</v>
      </c>
      <c r="H76" s="70">
        <f t="shared" si="2"/>
        <v>6850</v>
      </c>
      <c r="P76" s="110"/>
    </row>
    <row r="77" spans="4:16">
      <c r="D77">
        <v>75</v>
      </c>
      <c r="E77" t="s">
        <v>4251</v>
      </c>
      <c r="F77" s="110">
        <f>SUMIF('Yucho Arai'!N:N,'Tổng hợp tiền thu theo mã U'!E77,'Yucho Arai'!H:H)+SUMIF(GMO!I:I,'Tổng hợp tiền thu theo mã U'!E77,GMO!G:G)</f>
        <v>6850</v>
      </c>
      <c r="G77" s="110">
        <f>SUMIF('Yucho Arai'!N:N,'Tổng hợp tiền thu theo mã U'!E77,'Yucho Arai'!I:I)+SUMIF(GMO!I:I,'Tổng hợp tiền thu theo mã U'!E77,GMO!H:H)+SUMIF('Arai 7121'!H:H,'Tổng hợp tiền thu theo mã U'!E77,'Arai 7121'!B:B)</f>
        <v>0</v>
      </c>
      <c r="H77" s="70">
        <f t="shared" si="2"/>
        <v>6850</v>
      </c>
      <c r="P77" s="110"/>
    </row>
    <row r="78" spans="4:16">
      <c r="D78">
        <v>76</v>
      </c>
      <c r="E78" t="s">
        <v>4252</v>
      </c>
      <c r="F78" s="110">
        <f>SUMIF('Yucho Arai'!N:N,'Tổng hợp tiền thu theo mã U'!E78,'Yucho Arai'!H:H)+SUMIF(GMO!I:I,'Tổng hợp tiền thu theo mã U'!E78,GMO!G:G)</f>
        <v>6850</v>
      </c>
      <c r="G78" s="110">
        <f>SUMIF('Yucho Arai'!N:N,'Tổng hợp tiền thu theo mã U'!E78,'Yucho Arai'!I:I)+SUMIF(GMO!I:I,'Tổng hợp tiền thu theo mã U'!E78,GMO!H:H)+SUMIF('Arai 7121'!H:H,'Tổng hợp tiền thu theo mã U'!E78,'Arai 7121'!B:B)</f>
        <v>0</v>
      </c>
      <c r="H78" s="70">
        <f t="shared" si="2"/>
        <v>6850</v>
      </c>
      <c r="P78" s="110"/>
    </row>
    <row r="79" spans="4:16">
      <c r="D79">
        <v>77</v>
      </c>
      <c r="E79" t="s">
        <v>4172</v>
      </c>
      <c r="F79" s="110">
        <f>SUMIF('Yucho Arai'!N:N,'Tổng hợp tiền thu theo mã U'!E79,'Yucho Arai'!H:H)+SUMIF(GMO!I:I,'Tổng hợp tiền thu theo mã U'!E79,GMO!G:G)</f>
        <v>4000</v>
      </c>
      <c r="G79" s="110">
        <f>SUMIF('Yucho Arai'!N:N,'Tổng hợp tiền thu theo mã U'!E79,'Yucho Arai'!I:I)+SUMIF(GMO!I:I,'Tổng hợp tiền thu theo mã U'!E79,GMO!H:H)+SUMIF('Arai 7121'!H:H,'Tổng hợp tiền thu theo mã U'!E79,'Arai 7121'!B:B)</f>
        <v>290</v>
      </c>
      <c r="H79" s="70">
        <f t="shared" si="2"/>
        <v>4290</v>
      </c>
      <c r="P79" s="110"/>
    </row>
    <row r="80" spans="4:16">
      <c r="D80">
        <v>78</v>
      </c>
      <c r="E80" t="s">
        <v>4192</v>
      </c>
      <c r="F80" s="110">
        <f>SUMIF('Yucho Arai'!N:N,'Tổng hợp tiền thu theo mã U'!E80,'Yucho Arai'!H:H)+SUMIF(GMO!I:I,'Tổng hợp tiền thu theo mã U'!E80,GMO!G:G)</f>
        <v>3292</v>
      </c>
      <c r="G80" s="110">
        <f>SUMIF('Yucho Arai'!N:N,'Tổng hợp tiền thu theo mã U'!E80,'Yucho Arai'!I:I)+SUMIF(GMO!I:I,'Tổng hợp tiền thu theo mã U'!E80,GMO!H:H)+SUMIF('Arai 7121'!H:H,'Tổng hợp tiền thu theo mã U'!E80,'Arai 7121'!B:B)</f>
        <v>0</v>
      </c>
      <c r="H80" s="70">
        <f t="shared" si="2"/>
        <v>3292</v>
      </c>
      <c r="P80" s="110"/>
    </row>
    <row r="81" spans="4:16">
      <c r="D81">
        <v>79</v>
      </c>
      <c r="E81" t="s">
        <v>2064</v>
      </c>
      <c r="F81" s="110">
        <f>SUMIF('Yucho Arai'!N:N,'Tổng hợp tiền thu theo mã U'!E81,'Yucho Arai'!H:H)+SUMIF(GMO!I:I,'Tổng hợp tiền thu theo mã U'!E81,GMO!G:G)</f>
        <v>3297</v>
      </c>
      <c r="G81" s="110">
        <f>SUMIF('Yucho Arai'!N:N,'Tổng hợp tiền thu theo mã U'!E81,'Yucho Arai'!I:I)+SUMIF(GMO!I:I,'Tổng hợp tiền thu theo mã U'!E81,GMO!H:H)+SUMIF('Arai 7121'!H:H,'Tổng hợp tiền thu theo mã U'!E81,'Arai 7121'!B:B)</f>
        <v>0</v>
      </c>
      <c r="H81" s="70">
        <f t="shared" si="2"/>
        <v>3297</v>
      </c>
      <c r="P81" s="110"/>
    </row>
    <row r="82" spans="4:16">
      <c r="D82">
        <v>80</v>
      </c>
      <c r="E82" t="s">
        <v>4155</v>
      </c>
      <c r="F82" s="110">
        <f>SUMIF('Yucho Arai'!N:N,'Tổng hợp tiền thu theo mã U'!E82,'Yucho Arai'!H:H)+SUMIF(GMO!I:I,'Tổng hợp tiền thu theo mã U'!E82,GMO!G:G)</f>
        <v>4000</v>
      </c>
      <c r="G82" s="110">
        <f>SUMIF('Yucho Arai'!N:N,'Tổng hợp tiền thu theo mã U'!E82,'Yucho Arai'!I:I)+SUMIF(GMO!I:I,'Tổng hợp tiền thu theo mã U'!E82,GMO!H:H)+SUMIF('Arai 7121'!H:H,'Tổng hợp tiền thu theo mã U'!E82,'Arai 7121'!B:B)</f>
        <v>292</v>
      </c>
      <c r="H82" s="70">
        <f t="shared" si="2"/>
        <v>4292</v>
      </c>
      <c r="P82" s="110"/>
    </row>
    <row r="83" spans="4:16">
      <c r="D83">
        <v>81</v>
      </c>
      <c r="E83" t="s">
        <v>394</v>
      </c>
      <c r="F83" s="110">
        <f>SUMIF('Yucho Arai'!N:N,'Tổng hợp tiền thu theo mã U'!E83,'Yucho Arai'!H:H)+SUMIF(GMO!I:I,'Tổng hợp tiền thu theo mã U'!E83,GMO!G:G)</f>
        <v>3297</v>
      </c>
      <c r="G83" s="110">
        <f>SUMIF('Yucho Arai'!N:N,'Tổng hợp tiền thu theo mã U'!E83,'Yucho Arai'!I:I)+SUMIF(GMO!I:I,'Tổng hợp tiền thu theo mã U'!E83,GMO!H:H)+SUMIF('Arai 7121'!H:H,'Tổng hợp tiền thu theo mã U'!E83,'Arai 7121'!B:B)</f>
        <v>0</v>
      </c>
      <c r="H83" s="70">
        <f t="shared" si="2"/>
        <v>3297</v>
      </c>
      <c r="P83" s="110"/>
    </row>
    <row r="84" spans="4:16">
      <c r="D84">
        <v>82</v>
      </c>
      <c r="E84" t="s">
        <v>4185</v>
      </c>
      <c r="F84" s="110">
        <f>SUMIF('Yucho Arai'!N:N,'Tổng hợp tiền thu theo mã U'!E84,'Yucho Arai'!H:H)+SUMIF(GMO!I:I,'Tổng hợp tiền thu theo mã U'!E84,GMO!G:G)</f>
        <v>1000</v>
      </c>
      <c r="G84" s="110">
        <f>SUMIF('Yucho Arai'!N:N,'Tổng hợp tiền thu theo mã U'!E84,'Yucho Arai'!I:I)+SUMIF(GMO!I:I,'Tổng hợp tiền thu theo mã U'!E84,GMO!H:H)+SUMIF('Arai 7121'!H:H,'Tổng hợp tiền thu theo mã U'!E84,'Arai 7121'!B:B)</f>
        <v>290</v>
      </c>
      <c r="H84" s="70">
        <f t="shared" si="2"/>
        <v>1290</v>
      </c>
      <c r="P84" s="110"/>
    </row>
    <row r="85" spans="4:16">
      <c r="D85">
        <v>83</v>
      </c>
      <c r="E85" t="s">
        <v>4091</v>
      </c>
      <c r="F85" s="110">
        <f>SUMIF('Yucho Arai'!N:N,'Tổng hợp tiền thu theo mã U'!E85,'Yucho Arai'!H:H)+SUMIF(GMO!I:I,'Tổng hợp tiền thu theo mã U'!E85,GMO!G:G)</f>
        <v>3297</v>
      </c>
      <c r="G85" s="110">
        <f>SUMIF('Yucho Arai'!N:N,'Tổng hợp tiền thu theo mã U'!E85,'Yucho Arai'!I:I)+SUMIF(GMO!I:I,'Tổng hợp tiền thu theo mã U'!E85,GMO!H:H)+SUMIF('Arai 7121'!H:H,'Tổng hợp tiền thu theo mã U'!E85,'Arai 7121'!B:B)</f>
        <v>0</v>
      </c>
      <c r="H85" s="70">
        <f t="shared" si="2"/>
        <v>3297</v>
      </c>
      <c r="P85" s="110"/>
    </row>
    <row r="86" spans="4:16">
      <c r="D86">
        <v>84</v>
      </c>
      <c r="E86" t="s">
        <v>1125</v>
      </c>
      <c r="F86" s="110">
        <f>SUMIF('Yucho Arai'!N:N,'Tổng hợp tiền thu theo mã U'!E86,'Yucho Arai'!H:H)+SUMIF(GMO!I:I,'Tổng hợp tiền thu theo mã U'!E86,GMO!G:G)</f>
        <v>6000</v>
      </c>
      <c r="G86" s="110">
        <f>SUMIF('Yucho Arai'!N:N,'Tổng hợp tiền thu theo mã U'!E86,'Yucho Arai'!I:I)+SUMIF(GMO!I:I,'Tổng hợp tiền thu theo mã U'!E86,GMO!H:H)+SUMIF('Arai 7121'!H:H,'Tổng hợp tiền thu theo mã U'!E86,'Arai 7121'!B:B)</f>
        <v>290</v>
      </c>
      <c r="H86" s="70">
        <f t="shared" si="2"/>
        <v>6290</v>
      </c>
      <c r="P86" s="110"/>
    </row>
    <row r="87" spans="4:16">
      <c r="D87">
        <v>85</v>
      </c>
      <c r="E87" t="s">
        <v>4195</v>
      </c>
      <c r="F87" s="110">
        <f>SUMIF('Yucho Arai'!N:N,'Tổng hợp tiền thu theo mã U'!E87,'Yucho Arai'!H:H)+SUMIF(GMO!I:I,'Tổng hợp tiền thu theo mã U'!E87,GMO!G:G)</f>
        <v>3297</v>
      </c>
      <c r="G87" s="110">
        <f>SUMIF('Yucho Arai'!N:N,'Tổng hợp tiền thu theo mã U'!E87,'Yucho Arai'!I:I)+SUMIF(GMO!I:I,'Tổng hợp tiền thu theo mã U'!E87,GMO!H:H)+SUMIF('Arai 7121'!H:H,'Tổng hợp tiền thu theo mã U'!E87,'Arai 7121'!B:B)</f>
        <v>0</v>
      </c>
      <c r="H87" s="70">
        <f t="shared" si="2"/>
        <v>3297</v>
      </c>
      <c r="P87" s="110"/>
    </row>
    <row r="88" spans="4:16">
      <c r="D88">
        <v>86</v>
      </c>
      <c r="E88" t="s">
        <v>4196</v>
      </c>
      <c r="F88" s="110">
        <f>SUMIF('Yucho Arai'!N:N,'Tổng hợp tiền thu theo mã U'!E88,'Yucho Arai'!H:H)+SUMIF(GMO!I:I,'Tổng hợp tiền thu theo mã U'!E88,GMO!G:G)</f>
        <v>3297</v>
      </c>
      <c r="G88" s="110">
        <f>SUMIF('Yucho Arai'!N:N,'Tổng hợp tiền thu theo mã U'!E88,'Yucho Arai'!I:I)+SUMIF(GMO!I:I,'Tổng hợp tiền thu theo mã U'!E88,GMO!H:H)+SUMIF('Arai 7121'!H:H,'Tổng hợp tiền thu theo mã U'!E88,'Arai 7121'!B:B)</f>
        <v>0</v>
      </c>
      <c r="H88" s="70">
        <f t="shared" si="2"/>
        <v>3297</v>
      </c>
      <c r="P88" s="110"/>
    </row>
    <row r="89" spans="4:16">
      <c r="D89">
        <v>87</v>
      </c>
      <c r="E89" t="s">
        <v>4198</v>
      </c>
      <c r="F89" s="110">
        <f>SUMIF('Yucho Arai'!N:N,'Tổng hợp tiền thu theo mã U'!E89,'Yucho Arai'!H:H)+SUMIF(GMO!I:I,'Tổng hợp tiền thu theo mã U'!E89,GMO!G:G)</f>
        <v>3297</v>
      </c>
      <c r="G89" s="110">
        <f>SUMIF('Yucho Arai'!N:N,'Tổng hợp tiền thu theo mã U'!E89,'Yucho Arai'!I:I)+SUMIF(GMO!I:I,'Tổng hợp tiền thu theo mã U'!E89,GMO!H:H)+SUMIF('Arai 7121'!H:H,'Tổng hợp tiền thu theo mã U'!E89,'Arai 7121'!B:B)</f>
        <v>0</v>
      </c>
      <c r="H89" s="70">
        <f t="shared" si="2"/>
        <v>3297</v>
      </c>
      <c r="P89" s="110"/>
    </row>
    <row r="90" spans="4:16">
      <c r="D90">
        <v>88</v>
      </c>
      <c r="E90" t="s">
        <v>4253</v>
      </c>
      <c r="F90" s="110">
        <f>SUMIF('Yucho Arai'!N:N,'Tổng hợp tiền thu theo mã U'!E90,'Yucho Arai'!H:H)+SUMIF(GMO!I:I,'Tổng hợp tiền thu theo mã U'!E90,GMO!G:G)</f>
        <v>6850</v>
      </c>
      <c r="G90" s="110">
        <f>SUMIF('Yucho Arai'!N:N,'Tổng hợp tiền thu theo mã U'!E90,'Yucho Arai'!I:I)+SUMIF(GMO!I:I,'Tổng hợp tiền thu theo mã U'!E90,GMO!H:H)+SUMIF('Arai 7121'!H:H,'Tổng hợp tiền thu theo mã U'!E90,'Arai 7121'!B:B)</f>
        <v>0</v>
      </c>
      <c r="H90" s="70">
        <f t="shared" si="2"/>
        <v>6850</v>
      </c>
      <c r="P90" s="110"/>
    </row>
    <row r="91" spans="4:16">
      <c r="D91">
        <v>89</v>
      </c>
      <c r="E91" t="s">
        <v>4254</v>
      </c>
      <c r="F91" s="110">
        <f>SUMIF('Yucho Arai'!N:N,'Tổng hợp tiền thu theo mã U'!E91,'Yucho Arai'!H:H)+SUMIF(GMO!I:I,'Tổng hợp tiền thu theo mã U'!E91,GMO!G:G)</f>
        <v>6850</v>
      </c>
      <c r="G91" s="110">
        <f>SUMIF('Yucho Arai'!N:N,'Tổng hợp tiền thu theo mã U'!E91,'Yucho Arai'!I:I)+SUMIF(GMO!I:I,'Tổng hợp tiền thu theo mã U'!E91,GMO!H:H)+SUMIF('Arai 7121'!H:H,'Tổng hợp tiền thu theo mã U'!E91,'Arai 7121'!B:B)</f>
        <v>0</v>
      </c>
      <c r="H91" s="70">
        <f t="shared" si="2"/>
        <v>6850</v>
      </c>
      <c r="P91" s="110"/>
    </row>
    <row r="92" spans="4:16">
      <c r="D92">
        <v>90</v>
      </c>
      <c r="E92" t="s">
        <v>4130</v>
      </c>
      <c r="F92" s="110">
        <f>SUMIF('Yucho Arai'!N:N,'Tổng hợp tiền thu theo mã U'!E92,'Yucho Arai'!H:H)+SUMIF(GMO!I:I,'Tổng hợp tiền thu theo mã U'!E92,GMO!G:G)</f>
        <v>4000</v>
      </c>
      <c r="G92" s="110">
        <f>SUMIF('Yucho Arai'!N:N,'Tổng hợp tiền thu theo mã U'!E92,'Yucho Arai'!I:I)+SUMIF(GMO!I:I,'Tổng hợp tiền thu theo mã U'!E92,GMO!H:H)+SUMIF('Arai 7121'!H:H,'Tổng hợp tiền thu theo mã U'!E92,'Arai 7121'!B:B)</f>
        <v>0</v>
      </c>
      <c r="H92" s="70">
        <f t="shared" si="2"/>
        <v>4000</v>
      </c>
      <c r="P92" s="110"/>
    </row>
    <row r="93" spans="4:16">
      <c r="D93">
        <v>91</v>
      </c>
      <c r="E93" t="s">
        <v>4115</v>
      </c>
      <c r="F93" s="110">
        <f>SUMIF('Yucho Arai'!N:N,'Tổng hợp tiền thu theo mã U'!E93,'Yucho Arai'!H:H)+SUMIF(GMO!I:I,'Tổng hợp tiền thu theo mã U'!E93,GMO!G:G)</f>
        <v>2000</v>
      </c>
      <c r="G93" s="110">
        <f>SUMIF('Yucho Arai'!N:N,'Tổng hợp tiền thu theo mã U'!E93,'Yucho Arai'!I:I)+SUMIF(GMO!I:I,'Tổng hợp tiền thu theo mã U'!E93,GMO!H:H)+SUMIF('Arai 7121'!H:H,'Tổng hợp tiền thu theo mã U'!E93,'Arai 7121'!B:B)</f>
        <v>1800</v>
      </c>
      <c r="H93" s="70">
        <f t="shared" si="2"/>
        <v>3800</v>
      </c>
      <c r="P93" s="110"/>
    </row>
    <row r="94" spans="4:16">
      <c r="D94">
        <v>92</v>
      </c>
      <c r="E94" t="s">
        <v>4257</v>
      </c>
      <c r="F94" s="110">
        <f>SUMIF('Yucho Arai'!N:N,'Tổng hợp tiền thu theo mã U'!E94,'Yucho Arai'!H:H)+SUMIF(GMO!I:I,'Tổng hợp tiền thu theo mã U'!E94,GMO!G:G)</f>
        <v>6850</v>
      </c>
      <c r="G94" s="110">
        <f>SUMIF('Yucho Arai'!N:N,'Tổng hợp tiền thu theo mã U'!E94,'Yucho Arai'!I:I)+SUMIF(GMO!I:I,'Tổng hợp tiền thu theo mã U'!E94,GMO!H:H)+SUMIF('Arai 7121'!H:H,'Tổng hợp tiền thu theo mã U'!E94,'Arai 7121'!B:B)</f>
        <v>0</v>
      </c>
      <c r="H94" s="70">
        <f t="shared" si="2"/>
        <v>6850</v>
      </c>
      <c r="P94" s="110"/>
    </row>
    <row r="95" spans="4:16">
      <c r="D95">
        <v>93</v>
      </c>
      <c r="E95" t="s">
        <v>4128</v>
      </c>
      <c r="F95" s="110">
        <f>SUMIF('Yucho Arai'!N:N,'Tổng hợp tiền thu theo mã U'!E95,'Yucho Arai'!H:H)+SUMIF(GMO!I:I,'Tổng hợp tiền thu theo mã U'!E95,GMO!G:G)</f>
        <v>2493</v>
      </c>
      <c r="G95" s="110">
        <f>SUMIF('Yucho Arai'!N:N,'Tổng hợp tiền thu theo mã U'!E95,'Yucho Arai'!I:I)+SUMIF(GMO!I:I,'Tổng hợp tiền thu theo mã U'!E95,GMO!H:H)+SUMIF('Arai 7121'!H:H,'Tổng hợp tiền thu theo mã U'!E95,'Arai 7121'!B:B)</f>
        <v>2000</v>
      </c>
      <c r="H95" s="70">
        <f t="shared" si="2"/>
        <v>4493</v>
      </c>
      <c r="P95" s="110"/>
    </row>
    <row r="96" spans="4:16">
      <c r="D96">
        <v>94</v>
      </c>
      <c r="E96" t="s">
        <v>4258</v>
      </c>
      <c r="F96" s="110">
        <f>SUMIF('Yucho Arai'!N:N,'Tổng hợp tiền thu theo mã U'!E96,'Yucho Arai'!H:H)+SUMIF(GMO!I:I,'Tổng hợp tiền thu theo mã U'!E96,GMO!G:G)</f>
        <v>6850</v>
      </c>
      <c r="G96" s="110">
        <f>SUMIF('Yucho Arai'!N:N,'Tổng hợp tiền thu theo mã U'!E96,'Yucho Arai'!I:I)+SUMIF(GMO!I:I,'Tổng hợp tiền thu theo mã U'!E96,GMO!H:H)+SUMIF('Arai 7121'!H:H,'Tổng hợp tiền thu theo mã U'!E96,'Arai 7121'!B:B)</f>
        <v>0</v>
      </c>
      <c r="H96" s="70">
        <f t="shared" si="2"/>
        <v>6850</v>
      </c>
      <c r="P96" s="110"/>
    </row>
    <row r="97" spans="4:16">
      <c r="D97">
        <v>95</v>
      </c>
      <c r="E97" t="s">
        <v>4168</v>
      </c>
      <c r="F97" s="110">
        <f>SUMIF('Yucho Arai'!N:N,'Tổng hợp tiền thu theo mã U'!E97,'Yucho Arai'!H:H)+SUMIF(GMO!I:I,'Tổng hợp tiền thu theo mã U'!E97,GMO!G:G)</f>
        <v>7000</v>
      </c>
      <c r="G97" s="110">
        <f>SUMIF('Yucho Arai'!N:N,'Tổng hợp tiền thu theo mã U'!E97,'Yucho Arai'!I:I)+SUMIF(GMO!I:I,'Tổng hợp tiền thu theo mã U'!E97,GMO!H:H)+SUMIF('Arai 7121'!H:H,'Tổng hợp tiền thu theo mã U'!E97,'Arai 7121'!B:B)</f>
        <v>0</v>
      </c>
      <c r="H97" s="70">
        <f t="shared" si="2"/>
        <v>7000</v>
      </c>
      <c r="P97" s="110"/>
    </row>
    <row r="98" spans="4:16">
      <c r="D98">
        <v>96</v>
      </c>
      <c r="E98" t="s">
        <v>4259</v>
      </c>
      <c r="F98" s="110">
        <f>SUMIF('Yucho Arai'!N:N,'Tổng hợp tiền thu theo mã U'!E98,'Yucho Arai'!H:H)+SUMIF(GMO!I:I,'Tổng hợp tiền thu theo mã U'!E98,GMO!G:G)</f>
        <v>6850</v>
      </c>
      <c r="G98" s="110">
        <f>SUMIF('Yucho Arai'!N:N,'Tổng hợp tiền thu theo mã U'!E98,'Yucho Arai'!I:I)+SUMIF(GMO!I:I,'Tổng hợp tiền thu theo mã U'!E98,GMO!H:H)+SUMIF('Arai 7121'!H:H,'Tổng hợp tiền thu theo mã U'!E98,'Arai 7121'!B:B)</f>
        <v>0</v>
      </c>
      <c r="H98" s="70">
        <f t="shared" si="2"/>
        <v>6850</v>
      </c>
      <c r="P98" s="110"/>
    </row>
    <row r="99" spans="4:16">
      <c r="D99">
        <v>97</v>
      </c>
      <c r="E99" t="s">
        <v>4260</v>
      </c>
      <c r="F99" s="110">
        <f>SUMIF('Yucho Arai'!N:N,'Tổng hợp tiền thu theo mã U'!E99,'Yucho Arai'!H:H)+SUMIF(GMO!I:I,'Tổng hợp tiền thu theo mã U'!E99,GMO!G:G)</f>
        <v>6850</v>
      </c>
      <c r="G99" s="110">
        <f>SUMIF('Yucho Arai'!N:N,'Tổng hợp tiền thu theo mã U'!E99,'Yucho Arai'!I:I)+SUMIF(GMO!I:I,'Tổng hợp tiền thu theo mã U'!E99,GMO!H:H)+SUMIF('Arai 7121'!H:H,'Tổng hợp tiền thu theo mã U'!E99,'Arai 7121'!B:B)</f>
        <v>0</v>
      </c>
      <c r="H99" s="70">
        <f t="shared" si="2"/>
        <v>6850</v>
      </c>
      <c r="P99" s="110"/>
    </row>
    <row r="100" spans="4:16">
      <c r="D100">
        <v>98</v>
      </c>
      <c r="E100" t="s">
        <v>4261</v>
      </c>
      <c r="F100" s="110">
        <f>SUMIF('Yucho Arai'!N:N,'Tổng hợp tiền thu theo mã U'!E100,'Yucho Arai'!H:H)+SUMIF(GMO!I:I,'Tổng hợp tiền thu theo mã U'!E100,GMO!G:G)</f>
        <v>6850</v>
      </c>
      <c r="G100" s="110">
        <f>SUMIF('Yucho Arai'!N:N,'Tổng hợp tiền thu theo mã U'!E100,'Yucho Arai'!I:I)+SUMIF(GMO!I:I,'Tổng hợp tiền thu theo mã U'!E100,GMO!H:H)+SUMIF('Arai 7121'!H:H,'Tổng hợp tiền thu theo mã U'!E100,'Arai 7121'!B:B)</f>
        <v>0</v>
      </c>
      <c r="H100" s="70">
        <f t="shared" si="2"/>
        <v>6850</v>
      </c>
      <c r="P100" s="110"/>
    </row>
    <row r="101" spans="4:16">
      <c r="D101">
        <v>99</v>
      </c>
      <c r="E101" t="s">
        <v>4150</v>
      </c>
      <c r="F101" s="110">
        <f>SUMIF('Yucho Arai'!N:N,'Tổng hợp tiền thu theo mã U'!E101,'Yucho Arai'!H:H)+SUMIF(GMO!I:I,'Tổng hợp tiền thu theo mã U'!E101,GMO!G:G)</f>
        <v>3297</v>
      </c>
      <c r="G101" s="110">
        <f>SUMIF('Yucho Arai'!N:N,'Tổng hợp tiền thu theo mã U'!E101,'Yucho Arai'!I:I)+SUMIF(GMO!I:I,'Tổng hợp tiền thu theo mã U'!E101,GMO!H:H)+SUMIF('Arai 7121'!H:H,'Tổng hợp tiền thu theo mã U'!E101,'Arai 7121'!B:B)</f>
        <v>0</v>
      </c>
      <c r="H101" s="70">
        <f t="shared" si="2"/>
        <v>3297</v>
      </c>
      <c r="P101" s="110"/>
    </row>
    <row r="102" spans="4:16">
      <c r="D102">
        <v>100</v>
      </c>
      <c r="E102" t="s">
        <v>4193</v>
      </c>
      <c r="F102" s="110">
        <f>SUMIF('Yucho Arai'!N:N,'Tổng hợp tiền thu theo mã U'!E102,'Yucho Arai'!H:H)+SUMIF(GMO!I:I,'Tổng hợp tiền thu theo mã U'!E102,GMO!G:G)</f>
        <v>3297</v>
      </c>
      <c r="G102" s="110">
        <f>SUMIF('Yucho Arai'!N:N,'Tổng hợp tiền thu theo mã U'!E102,'Yucho Arai'!I:I)+SUMIF(GMO!I:I,'Tổng hợp tiền thu theo mã U'!E102,GMO!H:H)+SUMIF('Arai 7121'!H:H,'Tổng hợp tiền thu theo mã U'!E102,'Arai 7121'!B:B)</f>
        <v>0</v>
      </c>
      <c r="H102" s="70">
        <f t="shared" si="2"/>
        <v>3297</v>
      </c>
      <c r="P102" s="110"/>
    </row>
    <row r="103" spans="4:16">
      <c r="D103">
        <v>101</v>
      </c>
      <c r="E103" t="s">
        <v>4169</v>
      </c>
      <c r="F103" s="110">
        <f>SUMIF('Yucho Arai'!N:N,'Tổng hợp tiền thu theo mã U'!E103,'Yucho Arai'!H:H)+SUMIF(GMO!I:I,'Tổng hợp tiền thu theo mã U'!E103,GMO!G:G)</f>
        <v>4000</v>
      </c>
      <c r="G103" s="110">
        <f>SUMIF('Yucho Arai'!N:N,'Tổng hợp tiền thu theo mã U'!E103,'Yucho Arai'!I:I)+SUMIF(GMO!I:I,'Tổng hợp tiền thu theo mã U'!E103,GMO!H:H)+SUMIF('Arai 7121'!H:H,'Tổng hợp tiền thu theo mã U'!E103,'Arai 7121'!B:B)</f>
        <v>290</v>
      </c>
      <c r="H103" s="70">
        <f t="shared" si="2"/>
        <v>4290</v>
      </c>
      <c r="P103" s="110"/>
    </row>
    <row r="104" spans="4:16">
      <c r="D104">
        <v>102</v>
      </c>
      <c r="E104" t="s">
        <v>4204</v>
      </c>
      <c r="F104" s="110">
        <f>SUMIF('Yucho Arai'!N:N,'Tổng hợp tiền thu theo mã U'!E104,'Yucho Arai'!H:H)+SUMIF(GMO!I:I,'Tổng hợp tiền thu theo mã U'!E104,GMO!G:G)</f>
        <v>4000</v>
      </c>
      <c r="G104" s="110">
        <f>SUMIF('Yucho Arai'!N:N,'Tổng hợp tiền thu theo mã U'!E104,'Yucho Arai'!I:I)+SUMIF(GMO!I:I,'Tổng hợp tiền thu theo mã U'!E104,GMO!H:H)+SUMIF('Arai 7121'!H:H,'Tổng hợp tiền thu theo mã U'!E104,'Arai 7121'!B:B)</f>
        <v>290</v>
      </c>
      <c r="H104" s="70">
        <f t="shared" si="2"/>
        <v>4290</v>
      </c>
      <c r="P104" s="110"/>
    </row>
    <row r="105" spans="4:16">
      <c r="D105">
        <v>103</v>
      </c>
      <c r="E105" t="s">
        <v>4166</v>
      </c>
      <c r="F105" s="110">
        <f>SUMIF('Yucho Arai'!N:N,'Tổng hợp tiền thu theo mã U'!E105,'Yucho Arai'!H:H)+SUMIF(GMO!I:I,'Tổng hợp tiền thu theo mã U'!E105,GMO!G:G)</f>
        <v>6850</v>
      </c>
      <c r="G105" s="110">
        <f>SUMIF('Yucho Arai'!N:N,'Tổng hợp tiền thu theo mã U'!E105,'Yucho Arai'!I:I)+SUMIF(GMO!I:I,'Tổng hợp tiền thu theo mã U'!E105,GMO!H:H)+SUMIF('Arai 7121'!H:H,'Tổng hợp tiền thu theo mã U'!E105,'Arai 7121'!B:B)</f>
        <v>0</v>
      </c>
      <c r="H105" s="70">
        <f t="shared" si="2"/>
        <v>6850</v>
      </c>
      <c r="P105" s="110"/>
    </row>
    <row r="106" spans="4:16">
      <c r="D106">
        <v>104</v>
      </c>
      <c r="E106" t="s">
        <v>4263</v>
      </c>
      <c r="F106" s="110">
        <f>SUMIF('Yucho Arai'!N:N,'Tổng hợp tiền thu theo mã U'!E106,'Yucho Arai'!H:H)+SUMIF(GMO!I:I,'Tổng hợp tiền thu theo mã U'!E106,GMO!G:G)</f>
        <v>6850</v>
      </c>
      <c r="G106" s="110">
        <f>SUMIF('Yucho Arai'!N:N,'Tổng hợp tiền thu theo mã U'!E106,'Yucho Arai'!I:I)+SUMIF(GMO!I:I,'Tổng hợp tiền thu theo mã U'!E106,GMO!H:H)+SUMIF('Arai 7121'!H:H,'Tổng hợp tiền thu theo mã U'!E106,'Arai 7121'!B:B)</f>
        <v>0</v>
      </c>
      <c r="H106" s="70">
        <f t="shared" si="2"/>
        <v>6850</v>
      </c>
      <c r="P106" s="110"/>
    </row>
    <row r="107" spans="4:16">
      <c r="D107">
        <v>105</v>
      </c>
      <c r="E107" t="s">
        <v>4093</v>
      </c>
      <c r="F107" s="110">
        <f>SUMIF('Yucho Arai'!N:N,'Tổng hợp tiền thu theo mã U'!E107,'Yucho Arai'!H:H)+SUMIF(GMO!I:I,'Tổng hợp tiền thu theo mã U'!E107,GMO!G:G)</f>
        <v>2000</v>
      </c>
      <c r="G107" s="110">
        <f>SUMIF('Yucho Arai'!N:N,'Tổng hợp tiền thu theo mã U'!E107,'Yucho Arai'!I:I)+SUMIF(GMO!I:I,'Tổng hợp tiền thu theo mã U'!E107,GMO!H:H)+SUMIF('Arai 7121'!H:H,'Tổng hợp tiền thu theo mã U'!E107,'Arai 7121'!B:B)</f>
        <v>2000</v>
      </c>
      <c r="H107" s="70">
        <f t="shared" si="2"/>
        <v>4000</v>
      </c>
      <c r="P107" s="110"/>
    </row>
    <row r="108" spans="4:16">
      <c r="D108">
        <v>106</v>
      </c>
      <c r="E108" t="s">
        <v>4175</v>
      </c>
      <c r="F108" s="110">
        <f>SUMIF('Yucho Arai'!N:N,'Tổng hợp tiền thu theo mã U'!E108,'Yucho Arai'!H:H)+SUMIF(GMO!I:I,'Tổng hợp tiền thu theo mã U'!E108,GMO!G:G)</f>
        <v>7000</v>
      </c>
      <c r="G108" s="110">
        <f>SUMIF('Yucho Arai'!N:N,'Tổng hợp tiền thu theo mã U'!E108,'Yucho Arai'!I:I)+SUMIF(GMO!I:I,'Tổng hợp tiền thu theo mã U'!E108,GMO!H:H)+SUMIF('Arai 7121'!H:H,'Tổng hợp tiền thu theo mã U'!E108,'Arai 7121'!B:B)</f>
        <v>0</v>
      </c>
      <c r="H108" s="70">
        <f t="shared" si="2"/>
        <v>7000</v>
      </c>
      <c r="P108" s="110"/>
    </row>
    <row r="109" spans="4:16">
      <c r="D109">
        <v>107</v>
      </c>
      <c r="E109" t="s">
        <v>4264</v>
      </c>
      <c r="F109" s="110">
        <f>SUMIF('Yucho Arai'!N:N,'Tổng hợp tiền thu theo mã U'!E109,'Yucho Arai'!H:H)+SUMIF(GMO!I:I,'Tổng hợp tiền thu theo mã U'!E109,GMO!G:G)</f>
        <v>6850</v>
      </c>
      <c r="G109" s="110">
        <f>SUMIF('Yucho Arai'!N:N,'Tổng hợp tiền thu theo mã U'!E109,'Yucho Arai'!I:I)+SUMIF(GMO!I:I,'Tổng hợp tiền thu theo mã U'!E109,GMO!H:H)+SUMIF('Arai 7121'!H:H,'Tổng hợp tiền thu theo mã U'!E109,'Arai 7121'!B:B)</f>
        <v>0</v>
      </c>
      <c r="H109" s="70">
        <f t="shared" si="2"/>
        <v>6850</v>
      </c>
      <c r="P109" s="110"/>
    </row>
    <row r="110" spans="4:16">
      <c r="D110">
        <v>108</v>
      </c>
      <c r="E110" t="s">
        <v>4266</v>
      </c>
      <c r="F110" s="110">
        <f>SUMIF('Yucho Arai'!N:N,'Tổng hợp tiền thu theo mã U'!E110,'Yucho Arai'!H:H)+SUMIF(GMO!I:I,'Tổng hợp tiền thu theo mã U'!E110,GMO!G:G)</f>
        <v>6850</v>
      </c>
      <c r="G110" s="110">
        <f>SUMIF('Yucho Arai'!N:N,'Tổng hợp tiền thu theo mã U'!E110,'Yucho Arai'!I:I)+SUMIF(GMO!I:I,'Tổng hợp tiền thu theo mã U'!E110,GMO!H:H)+SUMIF('Arai 7121'!H:H,'Tổng hợp tiền thu theo mã U'!E110,'Arai 7121'!B:B)</f>
        <v>0</v>
      </c>
      <c r="H110" s="70">
        <f t="shared" si="2"/>
        <v>6850</v>
      </c>
      <c r="P110" s="110"/>
    </row>
    <row r="111" spans="4:16">
      <c r="D111">
        <v>109</v>
      </c>
      <c r="E111" t="s">
        <v>4212</v>
      </c>
      <c r="F111" s="110">
        <f>SUMIF('Yucho Arai'!N:N,'Tổng hợp tiền thu theo mã U'!E111,'Yucho Arai'!H:H)+SUMIF(GMO!I:I,'Tổng hợp tiền thu theo mã U'!E111,GMO!G:G)</f>
        <v>4000</v>
      </c>
      <c r="G111" s="110">
        <f>SUMIF('Yucho Arai'!N:N,'Tổng hợp tiền thu theo mã U'!E111,'Yucho Arai'!I:I)+SUMIF(GMO!I:I,'Tổng hợp tiền thu theo mã U'!E111,GMO!H:H)+SUMIF('Arai 7121'!H:H,'Tổng hợp tiền thu theo mã U'!E111,'Arai 7121'!B:B)</f>
        <v>290</v>
      </c>
      <c r="H111" s="70">
        <f t="shared" si="2"/>
        <v>4290</v>
      </c>
      <c r="P111" s="110"/>
    </row>
    <row r="112" spans="4:16">
      <c r="D112">
        <v>110</v>
      </c>
      <c r="E112" t="s">
        <v>4220</v>
      </c>
      <c r="F112" s="110">
        <f>SUMIF('Yucho Arai'!N:N,'Tổng hợp tiền thu theo mã U'!E112,'Yucho Arai'!H:H)+SUMIF(GMO!I:I,'Tổng hợp tiền thu theo mã U'!E112,GMO!G:G)</f>
        <v>3304</v>
      </c>
      <c r="G112" s="110">
        <f>SUMIF('Yucho Arai'!N:N,'Tổng hợp tiền thu theo mã U'!E112,'Yucho Arai'!I:I)+SUMIF(GMO!I:I,'Tổng hợp tiền thu theo mã U'!E112,GMO!H:H)+SUMIF('Arai 7121'!H:H,'Tổng hợp tiền thu theo mã U'!E112,'Arai 7121'!B:B)</f>
        <v>493</v>
      </c>
      <c r="H112" s="70">
        <f t="shared" si="2"/>
        <v>3797</v>
      </c>
      <c r="P112" s="110"/>
    </row>
    <row r="113" spans="4:16">
      <c r="D113">
        <v>111</v>
      </c>
      <c r="E113" t="s">
        <v>4218</v>
      </c>
      <c r="F113" s="110">
        <f>SUMIF('Yucho Arai'!N:N,'Tổng hợp tiền thu theo mã U'!E113,'Yucho Arai'!H:H)+SUMIF(GMO!I:I,'Tổng hợp tiền thu theo mã U'!E113,GMO!G:G)</f>
        <v>4000</v>
      </c>
      <c r="G113" s="110">
        <f>SUMIF('Yucho Arai'!N:N,'Tổng hợp tiền thu theo mã U'!E113,'Yucho Arai'!I:I)+SUMIF(GMO!I:I,'Tổng hợp tiền thu theo mã U'!E113,GMO!H:H)+SUMIF('Arai 7121'!H:H,'Tổng hợp tiền thu theo mã U'!E113,'Arai 7121'!B:B)</f>
        <v>290</v>
      </c>
      <c r="H113" s="70">
        <f t="shared" si="2"/>
        <v>4290</v>
      </c>
      <c r="P113" s="110"/>
    </row>
    <row r="114" spans="4:16">
      <c r="D114">
        <v>112</v>
      </c>
      <c r="E114" t="s">
        <v>4268</v>
      </c>
      <c r="F114" s="110">
        <f>SUMIF('Yucho Arai'!N:N,'Tổng hợp tiền thu theo mã U'!E114,'Yucho Arai'!H:H)+SUMIF(GMO!I:I,'Tổng hợp tiền thu theo mã U'!E114,GMO!G:G)</f>
        <v>6850</v>
      </c>
      <c r="G114" s="110">
        <f>SUMIF('Yucho Arai'!N:N,'Tổng hợp tiền thu theo mã U'!E114,'Yucho Arai'!I:I)+SUMIF(GMO!I:I,'Tổng hợp tiền thu theo mã U'!E114,GMO!H:H)+SUMIF('Arai 7121'!H:H,'Tổng hợp tiền thu theo mã U'!E114,'Arai 7121'!B:B)</f>
        <v>0</v>
      </c>
      <c r="H114" s="70">
        <f t="shared" si="2"/>
        <v>6850</v>
      </c>
      <c r="P114" s="110"/>
    </row>
    <row r="115" spans="4:16">
      <c r="D115">
        <v>113</v>
      </c>
      <c r="E115" t="s">
        <v>4186</v>
      </c>
      <c r="F115" s="110">
        <f>SUMIF('Yucho Arai'!N:N,'Tổng hợp tiền thu theo mã U'!E115,'Yucho Arai'!H:H)+SUMIF(GMO!I:I,'Tổng hợp tiền thu theo mã U'!E115,GMO!G:G)</f>
        <v>6850</v>
      </c>
      <c r="G115" s="110">
        <f>SUMIF('Yucho Arai'!N:N,'Tổng hợp tiền thu theo mã U'!E115,'Yucho Arai'!I:I)+SUMIF(GMO!I:I,'Tổng hợp tiền thu theo mã U'!E115,GMO!H:H)+SUMIF('Arai 7121'!H:H,'Tổng hợp tiền thu theo mã U'!E115,'Arai 7121'!B:B)</f>
        <v>0</v>
      </c>
      <c r="H115" s="70">
        <f t="shared" si="2"/>
        <v>6850</v>
      </c>
      <c r="P115" s="110"/>
    </row>
    <row r="116" spans="4:16">
      <c r="D116">
        <v>114</v>
      </c>
      <c r="E116" t="s">
        <v>4067</v>
      </c>
      <c r="F116" s="110">
        <f>SUMIF('Yucho Arai'!N:N,'Tổng hợp tiền thu theo mã U'!E116,'Yucho Arai'!H:H)+SUMIF(GMO!I:I,'Tổng hợp tiền thu theo mã U'!E116,GMO!G:G)</f>
        <v>2000</v>
      </c>
      <c r="G116" s="110">
        <f>SUMIF('Yucho Arai'!N:N,'Tổng hợp tiền thu theo mã U'!E116,'Yucho Arai'!I:I)+SUMIF(GMO!I:I,'Tổng hợp tiền thu theo mã U'!E116,GMO!H:H)+SUMIF('Arai 7121'!H:H,'Tổng hợp tiền thu theo mã U'!E116,'Arai 7121'!B:B)</f>
        <v>0</v>
      </c>
      <c r="H116" s="70">
        <f t="shared" si="2"/>
        <v>2000</v>
      </c>
      <c r="P116" s="110"/>
    </row>
    <row r="117" spans="4:16">
      <c r="D117">
        <v>115</v>
      </c>
      <c r="E117" t="s">
        <v>4205</v>
      </c>
      <c r="F117" s="110">
        <f>SUMIF('Yucho Arai'!N:N,'Tổng hợp tiền thu theo mã U'!E117,'Yucho Arai'!H:H)+SUMIF(GMO!I:I,'Tổng hợp tiền thu theo mã U'!E117,GMO!G:G)</f>
        <v>6850</v>
      </c>
      <c r="G117" s="110">
        <f>SUMIF('Yucho Arai'!N:N,'Tổng hợp tiền thu theo mã U'!E117,'Yucho Arai'!I:I)+SUMIF(GMO!I:I,'Tổng hợp tiền thu theo mã U'!E117,GMO!H:H)+SUMIF('Arai 7121'!H:H,'Tổng hợp tiền thu theo mã U'!E117,'Arai 7121'!B:B)</f>
        <v>0</v>
      </c>
      <c r="H117" s="70">
        <f t="shared" si="2"/>
        <v>6850</v>
      </c>
      <c r="P117" s="110"/>
    </row>
    <row r="118" spans="4:16">
      <c r="D118">
        <v>116</v>
      </c>
      <c r="E118" t="s">
        <v>4191</v>
      </c>
      <c r="F118" s="110">
        <f>SUMIF('Yucho Arai'!N:N,'Tổng hợp tiền thu theo mã U'!E118,'Yucho Arai'!H:H)+SUMIF(GMO!I:I,'Tổng hợp tiền thu theo mã U'!E118,GMO!G:G)</f>
        <v>2797</v>
      </c>
      <c r="G118" s="110">
        <f>SUMIF('Yucho Arai'!N:N,'Tổng hợp tiền thu theo mã U'!E118,'Yucho Arai'!I:I)+SUMIF(GMO!I:I,'Tổng hợp tiền thu theo mã U'!E118,GMO!H:H)+SUMIF('Arai 7121'!H:H,'Tổng hợp tiền thu theo mã U'!E118,'Arai 7121'!B:B)</f>
        <v>0</v>
      </c>
      <c r="H118" s="70">
        <f t="shared" si="2"/>
        <v>2797</v>
      </c>
      <c r="P118" s="110"/>
    </row>
    <row r="119" spans="4:16">
      <c r="D119">
        <v>117</v>
      </c>
      <c r="E119" t="s">
        <v>4211</v>
      </c>
      <c r="F119" s="110">
        <f>SUMIF('Yucho Arai'!N:N,'Tổng hợp tiền thu theo mã U'!E119,'Yucho Arai'!H:H)+SUMIF(GMO!I:I,'Tổng hợp tiền thu theo mã U'!E119,GMO!G:G)</f>
        <v>3292</v>
      </c>
      <c r="G119" s="110">
        <f>SUMIF('Yucho Arai'!N:N,'Tổng hợp tiền thu theo mã U'!E119,'Yucho Arai'!I:I)+SUMIF(GMO!I:I,'Tổng hợp tiền thu theo mã U'!E119,GMO!H:H)+SUMIF('Arai 7121'!H:H,'Tổng hợp tiền thu theo mã U'!E119,'Arai 7121'!B:B)</f>
        <v>0</v>
      </c>
      <c r="H119" s="70">
        <f t="shared" si="2"/>
        <v>3292</v>
      </c>
      <c r="P119" s="110"/>
    </row>
    <row r="120" spans="4:16">
      <c r="D120">
        <v>118</v>
      </c>
      <c r="E120" t="s">
        <v>4154</v>
      </c>
      <c r="F120" s="110">
        <f>SUMIF('Yucho Arai'!N:N,'Tổng hợp tiền thu theo mã U'!E120,'Yucho Arai'!H:H)+SUMIF(GMO!I:I,'Tổng hợp tiền thu theo mã U'!E120,GMO!G:G)</f>
        <v>3297</v>
      </c>
      <c r="G120" s="110">
        <f>SUMIF('Yucho Arai'!N:N,'Tổng hợp tiền thu theo mã U'!E120,'Yucho Arai'!I:I)+SUMIF(GMO!I:I,'Tổng hợp tiền thu theo mã U'!E120,GMO!H:H)+SUMIF('Arai 7121'!H:H,'Tổng hợp tiền thu theo mã U'!E120,'Arai 7121'!B:B)</f>
        <v>0</v>
      </c>
      <c r="H120" s="70">
        <f t="shared" si="2"/>
        <v>3297</v>
      </c>
      <c r="P120" s="110"/>
    </row>
    <row r="121" spans="4:16">
      <c r="D121">
        <v>119</v>
      </c>
      <c r="E121" t="s">
        <v>4157</v>
      </c>
      <c r="F121" s="110">
        <f>SUMIF('Yucho Arai'!N:N,'Tổng hợp tiền thu theo mã U'!E121,'Yucho Arai'!H:H)+SUMIF(GMO!I:I,'Tổng hợp tiền thu theo mã U'!E121,GMO!G:G)</f>
        <v>3297</v>
      </c>
      <c r="G121" s="110">
        <f>SUMIF('Yucho Arai'!N:N,'Tổng hợp tiền thu theo mã U'!E121,'Yucho Arai'!I:I)+SUMIF(GMO!I:I,'Tổng hợp tiền thu theo mã U'!E121,GMO!H:H)+SUMIF('Arai 7121'!H:H,'Tổng hợp tiền thu theo mã U'!E121,'Arai 7121'!B:B)</f>
        <v>0</v>
      </c>
      <c r="H121" s="70">
        <f t="shared" si="2"/>
        <v>3297</v>
      </c>
      <c r="P121" s="110"/>
    </row>
    <row r="122" spans="4:16">
      <c r="D122">
        <v>120</v>
      </c>
      <c r="E122" t="s">
        <v>4255</v>
      </c>
      <c r="F122" s="110">
        <f>SUMIF('Yucho Arai'!N:N,'Tổng hợp tiền thu theo mã U'!E122,'Yucho Arai'!H:H)+SUMIF(GMO!I:I,'Tổng hợp tiền thu theo mã U'!E122,GMO!G:G)</f>
        <v>4297</v>
      </c>
      <c r="G122" s="110">
        <f>SUMIF('Yucho Arai'!N:N,'Tổng hợp tiền thu theo mã U'!E122,'Yucho Arai'!I:I)+SUMIF(GMO!I:I,'Tổng hợp tiền thu theo mã U'!E122,GMO!H:H)+SUMIF('Arai 7121'!H:H,'Tổng hợp tiền thu theo mã U'!E122,'Arai 7121'!B:B)</f>
        <v>0</v>
      </c>
      <c r="H122" s="70">
        <f t="shared" si="2"/>
        <v>4297</v>
      </c>
      <c r="P122" s="110"/>
    </row>
    <row r="123" spans="4:16">
      <c r="D123">
        <v>121</v>
      </c>
      <c r="E123" t="s">
        <v>4206</v>
      </c>
      <c r="F123" s="110">
        <f>SUMIF('Yucho Arai'!N:N,'Tổng hợp tiền thu theo mã U'!E123,'Yucho Arai'!H:H)+SUMIF(GMO!I:I,'Tổng hợp tiền thu theo mã U'!E123,GMO!G:G)</f>
        <v>6850</v>
      </c>
      <c r="G123" s="110">
        <f>SUMIF('Yucho Arai'!N:N,'Tổng hợp tiền thu theo mã U'!E123,'Yucho Arai'!I:I)+SUMIF(GMO!I:I,'Tổng hợp tiền thu theo mã U'!E123,GMO!H:H)+SUMIF('Arai 7121'!H:H,'Tổng hợp tiền thu theo mã U'!E123,'Arai 7121'!B:B)</f>
        <v>0</v>
      </c>
      <c r="H123" s="70">
        <f t="shared" si="2"/>
        <v>6850</v>
      </c>
      <c r="P123" s="110"/>
    </row>
    <row r="124" spans="4:16">
      <c r="D124">
        <v>122</v>
      </c>
      <c r="E124" t="s">
        <v>485</v>
      </c>
      <c r="F124" s="110">
        <f>SUMIF('Yucho Arai'!N:N,'Tổng hợp tiền thu theo mã U'!E124,'Yucho Arai'!H:H)+SUMIF(GMO!I:I,'Tổng hợp tiền thu theo mã U'!E124,GMO!G:G)</f>
        <v>2000</v>
      </c>
      <c r="G124" s="110">
        <f>SUMIF('Yucho Arai'!N:N,'Tổng hợp tiền thu theo mã U'!E124,'Yucho Arai'!I:I)+SUMIF(GMO!I:I,'Tổng hợp tiền thu theo mã U'!E124,GMO!H:H)+SUMIF('Arai 7121'!H:H,'Tổng hợp tiền thu theo mã U'!E124,'Arai 7121'!B:B)</f>
        <v>0</v>
      </c>
      <c r="H124" s="70">
        <f t="shared" si="2"/>
        <v>2000</v>
      </c>
      <c r="P124" s="110"/>
    </row>
    <row r="125" spans="4:16">
      <c r="D125">
        <v>123</v>
      </c>
      <c r="E125" t="s">
        <v>4207</v>
      </c>
      <c r="F125" s="110">
        <f>SUMIF('Yucho Arai'!N:N,'Tổng hợp tiền thu theo mã U'!E125,'Yucho Arai'!H:H)+SUMIF(GMO!I:I,'Tổng hợp tiền thu theo mã U'!E125,GMO!G:G)</f>
        <v>6850</v>
      </c>
      <c r="G125" s="110">
        <f>SUMIF('Yucho Arai'!N:N,'Tổng hợp tiền thu theo mã U'!E125,'Yucho Arai'!I:I)+SUMIF(GMO!I:I,'Tổng hợp tiền thu theo mã U'!E125,GMO!H:H)+SUMIF('Arai 7121'!H:H,'Tổng hợp tiền thu theo mã U'!E125,'Arai 7121'!B:B)</f>
        <v>0</v>
      </c>
      <c r="H125" s="70">
        <f t="shared" si="2"/>
        <v>6850</v>
      </c>
      <c r="P125" s="110"/>
    </row>
    <row r="126" spans="4:16">
      <c r="D126">
        <v>124</v>
      </c>
      <c r="E126" t="s">
        <v>4202</v>
      </c>
      <c r="F126" s="110">
        <f>SUMIF('Yucho Arai'!N:N,'Tổng hợp tiền thu theo mã U'!E126,'Yucho Arai'!H:H)+SUMIF(GMO!I:I,'Tổng hợp tiền thu theo mã U'!E126,GMO!G:G)</f>
        <v>7000</v>
      </c>
      <c r="G126" s="110">
        <f>SUMIF('Yucho Arai'!N:N,'Tổng hợp tiền thu theo mã U'!E126,'Yucho Arai'!I:I)+SUMIF(GMO!I:I,'Tổng hợp tiền thu theo mã U'!E126,GMO!H:H)+SUMIF('Arai 7121'!H:H,'Tổng hợp tiền thu theo mã U'!E126,'Arai 7121'!B:B)</f>
        <v>0</v>
      </c>
      <c r="H126" s="70">
        <f t="shared" si="2"/>
        <v>7000</v>
      </c>
      <c r="P126" s="110"/>
    </row>
    <row r="127" spans="4:16">
      <c r="D127">
        <v>125</v>
      </c>
      <c r="E127" t="s">
        <v>4132</v>
      </c>
      <c r="F127" s="110">
        <f>SUMIF('Yucho Arai'!N:N,'Tổng hợp tiền thu theo mã U'!E127,'Yucho Arai'!H:H)+SUMIF(GMO!I:I,'Tổng hợp tiền thu theo mã U'!E127,GMO!G:G)</f>
        <v>2000</v>
      </c>
      <c r="G127" s="110">
        <f>SUMIF('Yucho Arai'!N:N,'Tổng hợp tiền thu theo mã U'!E127,'Yucho Arai'!I:I)+SUMIF(GMO!I:I,'Tổng hợp tiền thu theo mã U'!E127,GMO!H:H)+SUMIF('Arai 7121'!H:H,'Tổng hợp tiền thu theo mã U'!E127,'Arai 7121'!B:B)</f>
        <v>2000</v>
      </c>
      <c r="H127" s="70">
        <f t="shared" si="2"/>
        <v>4000</v>
      </c>
      <c r="P127" s="110"/>
    </row>
    <row r="128" spans="4:16">
      <c r="D128">
        <v>126</v>
      </c>
      <c r="E128" t="s">
        <v>4208</v>
      </c>
      <c r="F128" s="110">
        <f>SUMIF('Yucho Arai'!N:N,'Tổng hợp tiền thu theo mã U'!E128,'Yucho Arai'!H:H)+SUMIF(GMO!I:I,'Tổng hợp tiền thu theo mã U'!E128,GMO!G:G)</f>
        <v>6850</v>
      </c>
      <c r="G128" s="110">
        <f>SUMIF('Yucho Arai'!N:N,'Tổng hợp tiền thu theo mã U'!E128,'Yucho Arai'!I:I)+SUMIF(GMO!I:I,'Tổng hợp tiền thu theo mã U'!E128,GMO!H:H)+SUMIF('Arai 7121'!H:H,'Tổng hợp tiền thu theo mã U'!E128,'Arai 7121'!B:B)</f>
        <v>0</v>
      </c>
      <c r="H128" s="70">
        <f t="shared" si="2"/>
        <v>6850</v>
      </c>
      <c r="P128" s="110"/>
    </row>
    <row r="129" spans="4:16">
      <c r="D129">
        <v>127</v>
      </c>
      <c r="E129" t="s">
        <v>4246</v>
      </c>
      <c r="F129" s="110">
        <f>SUMIF('Yucho Arai'!N:N,'Tổng hợp tiền thu theo mã U'!E129,'Yucho Arai'!H:H)+SUMIF(GMO!I:I,'Tổng hợp tiền thu theo mã U'!E129,GMO!G:G)</f>
        <v>6850</v>
      </c>
      <c r="G129" s="110">
        <f>SUMIF('Yucho Arai'!N:N,'Tổng hợp tiền thu theo mã U'!E129,'Yucho Arai'!I:I)+SUMIF(GMO!I:I,'Tổng hợp tiền thu theo mã U'!E129,GMO!H:H)+SUMIF('Arai 7121'!H:H,'Tổng hợp tiền thu theo mã U'!E129,'Arai 7121'!B:B)</f>
        <v>0</v>
      </c>
      <c r="H129" s="70">
        <f t="shared" si="2"/>
        <v>6850</v>
      </c>
      <c r="P129" s="110"/>
    </row>
    <row r="130" spans="4:16">
      <c r="D130">
        <v>128</v>
      </c>
      <c r="E130" t="s">
        <v>4182</v>
      </c>
      <c r="F130" s="110">
        <f>SUMIF('Yucho Arai'!N:N,'Tổng hợp tiền thu theo mã U'!E130,'Yucho Arai'!H:H)+SUMIF(GMO!I:I,'Tổng hợp tiền thu theo mã U'!E130,GMO!G:G)</f>
        <v>7000</v>
      </c>
      <c r="G130" s="110">
        <f>SUMIF('Yucho Arai'!N:N,'Tổng hợp tiền thu theo mã U'!E130,'Yucho Arai'!I:I)+SUMIF(GMO!I:I,'Tổng hợp tiền thu theo mã U'!E130,GMO!H:H)+SUMIF('Arai 7121'!H:H,'Tổng hợp tiền thu theo mã U'!E130,'Arai 7121'!B:B)</f>
        <v>0</v>
      </c>
      <c r="H130" s="70">
        <f t="shared" si="2"/>
        <v>7000</v>
      </c>
      <c r="P130" s="110"/>
    </row>
    <row r="131" spans="4:16">
      <c r="D131">
        <v>129</v>
      </c>
      <c r="E131" t="s">
        <v>4209</v>
      </c>
      <c r="F131" s="110">
        <f>SUMIF('Yucho Arai'!N:N,'Tổng hợp tiền thu theo mã U'!E131,'Yucho Arai'!H:H)+SUMIF(GMO!I:I,'Tổng hợp tiền thu theo mã U'!E131,GMO!G:G)</f>
        <v>7000</v>
      </c>
      <c r="G131" s="110">
        <f>SUMIF('Yucho Arai'!N:N,'Tổng hợp tiền thu theo mã U'!E131,'Yucho Arai'!I:I)+SUMIF(GMO!I:I,'Tổng hợp tiền thu theo mã U'!E131,GMO!H:H)+SUMIF('Arai 7121'!H:H,'Tổng hợp tiền thu theo mã U'!E131,'Arai 7121'!B:B)</f>
        <v>0</v>
      </c>
      <c r="H131" s="70">
        <f t="shared" si="2"/>
        <v>7000</v>
      </c>
      <c r="P131" s="110"/>
    </row>
    <row r="132" spans="4:16">
      <c r="D132">
        <v>130</v>
      </c>
      <c r="E132" t="s">
        <v>4135</v>
      </c>
      <c r="F132" s="110">
        <f>SUMIF('Yucho Arai'!N:N,'Tổng hợp tiền thu theo mã U'!E132,'Yucho Arai'!H:H)+SUMIF(GMO!I:I,'Tổng hợp tiền thu theo mã U'!E132,GMO!G:G)</f>
        <v>2000</v>
      </c>
      <c r="G132" s="110">
        <f>SUMIF('Yucho Arai'!N:N,'Tổng hợp tiền thu theo mã U'!E132,'Yucho Arai'!I:I)+SUMIF(GMO!I:I,'Tổng hợp tiền thu theo mã U'!E132,GMO!H:H)+SUMIF('Arai 7121'!H:H,'Tổng hợp tiền thu theo mã U'!E132,'Arai 7121'!B:B)</f>
        <v>0</v>
      </c>
      <c r="H132" s="70">
        <f t="shared" ref="H132:H195" si="3">G132+F132</f>
        <v>2000</v>
      </c>
      <c r="P132" s="110"/>
    </row>
    <row r="133" spans="4:16">
      <c r="D133">
        <v>131</v>
      </c>
      <c r="E133" t="s">
        <v>4237</v>
      </c>
      <c r="F133" s="110">
        <f>SUMIF('Yucho Arai'!N:N,'Tổng hợp tiền thu theo mã U'!E133,'Yucho Arai'!H:H)+SUMIF(GMO!I:I,'Tổng hợp tiền thu theo mã U'!E133,GMO!G:G)</f>
        <v>3507</v>
      </c>
      <c r="G133" s="110">
        <f>SUMIF('Yucho Arai'!N:N,'Tổng hợp tiền thu theo mã U'!E133,'Yucho Arai'!I:I)+SUMIF(GMO!I:I,'Tổng hợp tiền thu theo mã U'!E133,GMO!H:H)+SUMIF('Arai 7121'!H:H,'Tổng hợp tiền thu theo mã U'!E133,'Arai 7121'!B:B)</f>
        <v>290</v>
      </c>
      <c r="H133" s="70">
        <f t="shared" si="3"/>
        <v>3797</v>
      </c>
      <c r="P133" s="110"/>
    </row>
    <row r="134" spans="4:16">
      <c r="D134">
        <v>132</v>
      </c>
      <c r="E134" t="s">
        <v>4219</v>
      </c>
      <c r="F134" s="110">
        <f>SUMIF('Yucho Arai'!N:N,'Tổng hợp tiền thu theo mã U'!E134,'Yucho Arai'!H:H)+SUMIF(GMO!I:I,'Tổng hợp tiền thu theo mã U'!E134,GMO!G:G)</f>
        <v>3000</v>
      </c>
      <c r="G134" s="110">
        <f>SUMIF('Yucho Arai'!N:N,'Tổng hợp tiền thu theo mã U'!E134,'Yucho Arai'!I:I)+SUMIF(GMO!I:I,'Tổng hợp tiền thu theo mã U'!E134,GMO!H:H)+SUMIF('Arai 7121'!H:H,'Tổng hợp tiền thu theo mã U'!E134,'Arai 7121'!B:B)</f>
        <v>297</v>
      </c>
      <c r="H134" s="70">
        <f t="shared" si="3"/>
        <v>3297</v>
      </c>
      <c r="P134" s="110"/>
    </row>
    <row r="135" spans="4:16">
      <c r="D135">
        <v>133</v>
      </c>
      <c r="E135" t="s">
        <v>4163</v>
      </c>
      <c r="F135" s="110">
        <f>SUMIF('Yucho Arai'!N:N,'Tổng hợp tiền thu theo mã U'!E135,'Yucho Arai'!H:H)+SUMIF(GMO!I:I,'Tổng hợp tiền thu theo mã U'!E135,GMO!G:G)</f>
        <v>4000</v>
      </c>
      <c r="G135" s="110">
        <f>SUMIF('Yucho Arai'!N:N,'Tổng hợp tiền thu theo mã U'!E135,'Yucho Arai'!I:I)+SUMIF(GMO!I:I,'Tổng hợp tiền thu theo mã U'!E135,GMO!H:H)+SUMIF('Arai 7121'!H:H,'Tổng hợp tiền thu theo mã U'!E135,'Arai 7121'!B:B)</f>
        <v>0</v>
      </c>
      <c r="H135" s="70">
        <f t="shared" si="3"/>
        <v>4000</v>
      </c>
      <c r="P135" s="110"/>
    </row>
    <row r="136" spans="4:16">
      <c r="D136">
        <v>134</v>
      </c>
      <c r="E136" t="s">
        <v>4160</v>
      </c>
      <c r="F136" s="110">
        <f>SUMIF('Yucho Arai'!N:N,'Tổng hợp tiền thu theo mã U'!E136,'Yucho Arai'!H:H)+SUMIF(GMO!I:I,'Tổng hợp tiền thu theo mã U'!E136,GMO!G:G)</f>
        <v>3000</v>
      </c>
      <c r="G136" s="110">
        <f>SUMIF('Yucho Arai'!N:N,'Tổng hợp tiền thu theo mã U'!E136,'Yucho Arai'!I:I)+SUMIF(GMO!I:I,'Tổng hợp tiền thu theo mã U'!E136,GMO!H:H)+SUMIF('Arai 7121'!H:H,'Tổng hợp tiền thu theo mã U'!E136,'Arai 7121'!B:B)</f>
        <v>0</v>
      </c>
      <c r="H136" s="70">
        <f t="shared" si="3"/>
        <v>3000</v>
      </c>
      <c r="P136" s="110"/>
    </row>
    <row r="137" spans="4:16">
      <c r="D137">
        <v>135</v>
      </c>
      <c r="E137" t="s">
        <v>4210</v>
      </c>
      <c r="F137" s="110">
        <f>SUMIF('Yucho Arai'!N:N,'Tổng hợp tiền thu theo mã U'!E137,'Yucho Arai'!H:H)+SUMIF(GMO!I:I,'Tổng hợp tiền thu theo mã U'!E137,GMO!G:G)</f>
        <v>6850</v>
      </c>
      <c r="G137" s="110">
        <f>SUMIF('Yucho Arai'!N:N,'Tổng hợp tiền thu theo mã U'!E137,'Yucho Arai'!I:I)+SUMIF(GMO!I:I,'Tổng hợp tiền thu theo mã U'!E137,GMO!H:H)+SUMIF('Arai 7121'!H:H,'Tổng hợp tiền thu theo mã U'!E137,'Arai 7121'!B:B)</f>
        <v>0</v>
      </c>
      <c r="H137" s="70">
        <f t="shared" si="3"/>
        <v>6850</v>
      </c>
      <c r="P137" s="110"/>
    </row>
    <row r="138" spans="4:16">
      <c r="D138">
        <v>136</v>
      </c>
      <c r="E138" t="s">
        <v>4213</v>
      </c>
      <c r="F138" s="110">
        <f>SUMIF('Yucho Arai'!N:N,'Tổng hợp tiền thu theo mã U'!E138,'Yucho Arai'!H:H)+SUMIF(GMO!I:I,'Tổng hợp tiền thu theo mã U'!E138,GMO!G:G)</f>
        <v>6850</v>
      </c>
      <c r="G138" s="110">
        <f>SUMIF('Yucho Arai'!N:N,'Tổng hợp tiền thu theo mã U'!E138,'Yucho Arai'!I:I)+SUMIF(GMO!I:I,'Tổng hợp tiền thu theo mã U'!E138,GMO!H:H)+SUMIF('Arai 7121'!H:H,'Tổng hợp tiền thu theo mã U'!E138,'Arai 7121'!B:B)</f>
        <v>0</v>
      </c>
      <c r="H138" s="70">
        <f t="shared" si="3"/>
        <v>6850</v>
      </c>
      <c r="P138" s="110"/>
    </row>
    <row r="139" spans="4:16">
      <c r="D139">
        <v>137</v>
      </c>
      <c r="E139" t="s">
        <v>4176</v>
      </c>
      <c r="F139" s="110">
        <f>SUMIF('Yucho Arai'!N:N,'Tổng hợp tiền thu theo mã U'!E139,'Yucho Arai'!H:H)+SUMIF(GMO!I:I,'Tổng hợp tiền thu theo mã U'!E139,GMO!G:G)</f>
        <v>3000</v>
      </c>
      <c r="G139" s="110">
        <f>SUMIF('Yucho Arai'!N:N,'Tổng hợp tiền thu theo mã U'!E139,'Yucho Arai'!I:I)+SUMIF(GMO!I:I,'Tổng hợp tiền thu theo mã U'!E139,GMO!H:H)+SUMIF('Arai 7121'!H:H,'Tổng hợp tiền thu theo mã U'!E139,'Arai 7121'!B:B)</f>
        <v>297</v>
      </c>
      <c r="H139" s="70">
        <f t="shared" si="3"/>
        <v>3297</v>
      </c>
      <c r="P139" s="110"/>
    </row>
    <row r="140" spans="4:16">
      <c r="D140">
        <v>138</v>
      </c>
      <c r="E140" t="s">
        <v>4077</v>
      </c>
      <c r="F140" s="110">
        <f>SUMIF('Yucho Arai'!N:N,'Tổng hợp tiền thu theo mã U'!E140,'Yucho Arai'!H:H)+SUMIF(GMO!I:I,'Tổng hợp tiền thu theo mã U'!E140,GMO!G:G)</f>
        <v>2000</v>
      </c>
      <c r="G140" s="110">
        <f>SUMIF('Yucho Arai'!N:N,'Tổng hợp tiền thu theo mã U'!E140,'Yucho Arai'!I:I)+SUMIF(GMO!I:I,'Tổng hợp tiền thu theo mã U'!E140,GMO!H:H)+SUMIF('Arai 7121'!H:H,'Tổng hợp tiền thu theo mã U'!E140,'Arai 7121'!B:B)</f>
        <v>0</v>
      </c>
      <c r="H140" s="70">
        <f t="shared" si="3"/>
        <v>2000</v>
      </c>
      <c r="P140" s="110"/>
    </row>
    <row r="141" spans="4:16">
      <c r="D141">
        <v>139</v>
      </c>
      <c r="E141" t="s">
        <v>4180</v>
      </c>
      <c r="F141" s="110">
        <f>SUMIF('Yucho Arai'!N:N,'Tổng hợp tiền thu theo mã U'!E141,'Yucho Arai'!H:H)+SUMIF(GMO!I:I,'Tổng hợp tiền thu theo mã U'!E141,GMO!G:G)</f>
        <v>6850</v>
      </c>
      <c r="G141" s="110">
        <f>SUMIF('Yucho Arai'!N:N,'Tổng hợp tiền thu theo mã U'!E141,'Yucho Arai'!I:I)+SUMIF(GMO!I:I,'Tổng hợp tiền thu theo mã U'!E141,GMO!H:H)+SUMIF('Arai 7121'!H:H,'Tổng hợp tiền thu theo mã U'!E141,'Arai 7121'!B:B)</f>
        <v>0</v>
      </c>
      <c r="H141" s="70">
        <f t="shared" si="3"/>
        <v>6850</v>
      </c>
      <c r="P141" s="110"/>
    </row>
    <row r="142" spans="4:16">
      <c r="D142">
        <v>140</v>
      </c>
      <c r="E142" t="s">
        <v>4262</v>
      </c>
      <c r="F142" s="110">
        <f>SUMIF('Yucho Arai'!N:N,'Tổng hợp tiền thu theo mã U'!E142,'Yucho Arai'!H:H)+SUMIF(GMO!I:I,'Tổng hợp tiền thu theo mã U'!E142,GMO!G:G)</f>
        <v>6850</v>
      </c>
      <c r="G142" s="110">
        <f>SUMIF('Yucho Arai'!N:N,'Tổng hợp tiền thu theo mã U'!E142,'Yucho Arai'!I:I)+SUMIF(GMO!I:I,'Tổng hợp tiền thu theo mã U'!E142,GMO!H:H)+SUMIF('Arai 7121'!H:H,'Tổng hợp tiền thu theo mã U'!E142,'Arai 7121'!B:B)</f>
        <v>0</v>
      </c>
      <c r="H142" s="70">
        <f t="shared" si="3"/>
        <v>6850</v>
      </c>
      <c r="P142" s="110"/>
    </row>
    <row r="143" spans="4:16">
      <c r="D143">
        <v>141</v>
      </c>
      <c r="E143" t="s">
        <v>4200</v>
      </c>
      <c r="F143" s="110">
        <f>SUMIF('Yucho Arai'!N:N,'Tổng hợp tiền thu theo mã U'!E143,'Yucho Arai'!H:H)+SUMIF(GMO!I:I,'Tổng hợp tiền thu theo mã U'!E143,GMO!G:G)</f>
        <v>6850</v>
      </c>
      <c r="G143" s="110">
        <f>SUMIF('Yucho Arai'!N:N,'Tổng hợp tiền thu theo mã U'!E143,'Yucho Arai'!I:I)+SUMIF(GMO!I:I,'Tổng hợp tiền thu theo mã U'!E143,GMO!H:H)+SUMIF('Arai 7121'!H:H,'Tổng hợp tiền thu theo mã U'!E143,'Arai 7121'!B:B)</f>
        <v>0</v>
      </c>
      <c r="H143" s="70">
        <f t="shared" si="3"/>
        <v>6850</v>
      </c>
      <c r="P143" s="110"/>
    </row>
    <row r="144" spans="4:16">
      <c r="D144">
        <v>142</v>
      </c>
      <c r="E144" t="s">
        <v>4201</v>
      </c>
      <c r="F144" s="110">
        <f>SUMIF('Yucho Arai'!N:N,'Tổng hợp tiền thu theo mã U'!E144,'Yucho Arai'!H:H)+SUMIF(GMO!I:I,'Tổng hợp tiền thu theo mã U'!E144,GMO!G:G)</f>
        <v>6850</v>
      </c>
      <c r="G144" s="110">
        <f>SUMIF('Yucho Arai'!N:N,'Tổng hợp tiền thu theo mã U'!E144,'Yucho Arai'!I:I)+SUMIF(GMO!I:I,'Tổng hợp tiền thu theo mã U'!E144,GMO!H:H)+SUMIF('Arai 7121'!H:H,'Tổng hợp tiền thu theo mã U'!E144,'Arai 7121'!B:B)</f>
        <v>0</v>
      </c>
      <c r="H144" s="70">
        <f t="shared" si="3"/>
        <v>6850</v>
      </c>
      <c r="P144" s="110"/>
    </row>
    <row r="145" spans="4:16">
      <c r="D145">
        <v>143</v>
      </c>
      <c r="E145" t="s">
        <v>4177</v>
      </c>
      <c r="F145" s="110">
        <f>SUMIF('Yucho Arai'!N:N,'Tổng hợp tiền thu theo mã U'!E145,'Yucho Arai'!H:H)+SUMIF(GMO!I:I,'Tổng hợp tiền thu theo mã U'!E145,GMO!G:G)</f>
        <v>4000</v>
      </c>
      <c r="G145" s="110">
        <f>SUMIF('Yucho Arai'!N:N,'Tổng hợp tiền thu theo mã U'!E145,'Yucho Arai'!I:I)+SUMIF(GMO!I:I,'Tổng hợp tiền thu theo mã U'!E145,GMO!H:H)+SUMIF('Arai 7121'!H:H,'Tổng hợp tiền thu theo mã U'!E145,'Arai 7121'!B:B)</f>
        <v>290</v>
      </c>
      <c r="H145" s="70">
        <f t="shared" si="3"/>
        <v>4290</v>
      </c>
      <c r="P145" s="110"/>
    </row>
    <row r="146" spans="4:16">
      <c r="D146">
        <v>144</v>
      </c>
      <c r="E146" t="s">
        <v>4164</v>
      </c>
      <c r="F146" s="110">
        <f>SUMIF('Yucho Arai'!N:N,'Tổng hợp tiền thu theo mã U'!E146,'Yucho Arai'!H:H)+SUMIF(GMO!I:I,'Tổng hợp tiền thu theo mã U'!E146,GMO!G:G)</f>
        <v>4000</v>
      </c>
      <c r="G146" s="110">
        <f>SUMIF('Yucho Arai'!N:N,'Tổng hợp tiền thu theo mã U'!E146,'Yucho Arai'!I:I)+SUMIF(GMO!I:I,'Tổng hợp tiền thu theo mã U'!E146,GMO!H:H)+SUMIF('Arai 7121'!H:H,'Tổng hợp tiền thu theo mã U'!E146,'Arai 7121'!B:B)</f>
        <v>290</v>
      </c>
      <c r="H146" s="70">
        <f t="shared" si="3"/>
        <v>4290</v>
      </c>
      <c r="P146" s="110"/>
    </row>
    <row r="147" spans="4:16">
      <c r="D147">
        <v>145</v>
      </c>
      <c r="E147" t="s">
        <v>4250</v>
      </c>
      <c r="F147" s="110">
        <f>SUMIF('Yucho Arai'!N:N,'Tổng hợp tiền thu theo mã U'!E147,'Yucho Arai'!H:H)+SUMIF(GMO!I:I,'Tổng hợp tiền thu theo mã U'!E147,GMO!G:G)</f>
        <v>4500</v>
      </c>
      <c r="G147" s="110">
        <f>SUMIF('Yucho Arai'!N:N,'Tổng hợp tiền thu theo mã U'!E147,'Yucho Arai'!I:I)+SUMIF(GMO!I:I,'Tổng hợp tiền thu theo mã U'!E147,GMO!H:H)+SUMIF('Arai 7121'!H:H,'Tổng hợp tiền thu theo mã U'!E147,'Arai 7121'!B:B)</f>
        <v>290</v>
      </c>
      <c r="H147" s="70">
        <f t="shared" si="3"/>
        <v>4790</v>
      </c>
      <c r="P147" s="110"/>
    </row>
    <row r="148" spans="4:16">
      <c r="D148">
        <v>146</v>
      </c>
      <c r="E148" t="s">
        <v>4178</v>
      </c>
      <c r="F148" s="110">
        <f>SUMIF('Yucho Arai'!N:N,'Tổng hợp tiền thu theo mã U'!E148,'Yucho Arai'!H:H)+SUMIF(GMO!I:I,'Tổng hợp tiền thu theo mã U'!E148,GMO!G:G)</f>
        <v>500</v>
      </c>
      <c r="G148" s="110">
        <f>SUMIF('Yucho Arai'!N:N,'Tổng hợp tiền thu theo mã U'!E148,'Yucho Arai'!I:I)+SUMIF(GMO!I:I,'Tổng hợp tiền thu theo mã U'!E148,GMO!H:H)+SUMIF('Arai 7121'!H:H,'Tổng hợp tiền thu theo mã U'!E148,'Arai 7121'!B:B)</f>
        <v>0</v>
      </c>
      <c r="H148" s="70">
        <f t="shared" si="3"/>
        <v>500</v>
      </c>
      <c r="P148" s="110"/>
    </row>
    <row r="149" spans="4:16">
      <c r="D149">
        <v>147</v>
      </c>
      <c r="E149" t="s">
        <v>4203</v>
      </c>
      <c r="F149" s="110">
        <f>SUMIF('Yucho Arai'!N:N,'Tổng hợp tiền thu theo mã U'!E149,'Yucho Arai'!H:H)+SUMIF(GMO!I:I,'Tổng hợp tiền thu theo mã U'!E149,GMO!G:G)</f>
        <v>7000</v>
      </c>
      <c r="G149" s="110">
        <f>SUMIF('Yucho Arai'!N:N,'Tổng hợp tiền thu theo mã U'!E149,'Yucho Arai'!I:I)+SUMIF(GMO!I:I,'Tổng hợp tiền thu theo mã U'!E149,GMO!H:H)+SUMIF('Arai 7121'!H:H,'Tổng hợp tiền thu theo mã U'!E149,'Arai 7121'!B:B)</f>
        <v>0</v>
      </c>
      <c r="H149" s="70">
        <f t="shared" si="3"/>
        <v>7000</v>
      </c>
      <c r="P149" s="110"/>
    </row>
    <row r="150" spans="4:16">
      <c r="D150">
        <v>148</v>
      </c>
      <c r="E150" t="s">
        <v>4216</v>
      </c>
      <c r="F150" s="110">
        <f>SUMIF('Yucho Arai'!N:N,'Tổng hợp tiền thu theo mã U'!E150,'Yucho Arai'!H:H)+SUMIF(GMO!I:I,'Tổng hợp tiền thu theo mã U'!E150,GMO!G:G)</f>
        <v>21000</v>
      </c>
      <c r="G150" s="110">
        <f>SUMIF('Yucho Arai'!N:N,'Tổng hợp tiền thu theo mã U'!E150,'Yucho Arai'!I:I)+SUMIF(GMO!I:I,'Tổng hợp tiền thu theo mã U'!E150,GMO!H:H)+SUMIF('Arai 7121'!H:H,'Tổng hợp tiền thu theo mã U'!E150,'Arai 7121'!B:B)</f>
        <v>0</v>
      </c>
      <c r="H150" s="70">
        <f t="shared" si="3"/>
        <v>21000</v>
      </c>
      <c r="P150" s="110"/>
    </row>
    <row r="151" spans="4:16">
      <c r="D151">
        <v>149</v>
      </c>
      <c r="E151" t="s">
        <v>4265</v>
      </c>
      <c r="F151" s="110">
        <f>SUMIF('Yucho Arai'!N:N,'Tổng hợp tiền thu theo mã U'!E151,'Yucho Arai'!H:H)+SUMIF(GMO!I:I,'Tổng hợp tiền thu theo mã U'!E151,GMO!G:G)</f>
        <v>7000</v>
      </c>
      <c r="G151" s="110">
        <f>SUMIF('Yucho Arai'!N:N,'Tổng hợp tiền thu theo mã U'!E151,'Yucho Arai'!I:I)+SUMIF(GMO!I:I,'Tổng hợp tiền thu theo mã U'!E151,GMO!H:H)+SUMIF('Arai 7121'!H:H,'Tổng hợp tiền thu theo mã U'!E151,'Arai 7121'!B:B)</f>
        <v>0</v>
      </c>
      <c r="H151" s="70">
        <f t="shared" si="3"/>
        <v>7000</v>
      </c>
      <c r="P151" s="110"/>
    </row>
    <row r="152" spans="4:16" ht="15">
      <c r="D152">
        <v>150</v>
      </c>
      <c r="E152" s="92" t="s">
        <v>4267</v>
      </c>
      <c r="F152" s="110">
        <f>SUMIF('Yucho Arai'!N:N,'Tổng hợp tiền thu theo mã U'!E152,'Yucho Arai'!H:H)+SUMIF(GMO!I:I,'Tổng hợp tiền thu theo mã U'!E152,GMO!G:G)</f>
        <v>7000</v>
      </c>
      <c r="G152" s="110">
        <f>SUMIF('Yucho Arai'!N:N,'Tổng hợp tiền thu theo mã U'!E152,'Yucho Arai'!I:I)+SUMIF(GMO!I:I,'Tổng hợp tiền thu theo mã U'!E152,GMO!H:H)+SUMIF('Arai 7121'!H:H,'Tổng hợp tiền thu theo mã U'!E152,'Arai 7121'!B:B)</f>
        <v>0</v>
      </c>
      <c r="H152" s="70">
        <f t="shared" si="3"/>
        <v>7000</v>
      </c>
      <c r="P152" s="110"/>
    </row>
    <row r="153" spans="4:16">
      <c r="D153">
        <v>151</v>
      </c>
      <c r="E153" s="65" t="s">
        <v>4028</v>
      </c>
      <c r="F153" s="110">
        <f>SUMIF('Yucho Arai'!N:N,'Tổng hợp tiền thu theo mã U'!E153,'Yucho Arai'!H:H)+SUMIF(GMO!I:I,'Tổng hợp tiền thu theo mã U'!E153,GMO!G:G)</f>
        <v>0</v>
      </c>
      <c r="G153" s="110">
        <f>SUMIF('Yucho Arai'!N:N,'Tổng hợp tiền thu theo mã U'!E153,'Yucho Arai'!I:I)+SUMIF(GMO!I:I,'Tổng hợp tiền thu theo mã U'!E153,GMO!H:H)+SUMIF('Arai 7121'!H:H,'Tổng hợp tiền thu theo mã U'!E153,'Arai 7121'!B:B)</f>
        <v>2000</v>
      </c>
      <c r="H153" s="70">
        <f t="shared" si="3"/>
        <v>2000</v>
      </c>
      <c r="P153" s="110"/>
    </row>
    <row r="154" spans="4:16">
      <c r="D154">
        <v>152</v>
      </c>
      <c r="E154" s="65" t="s">
        <v>4017</v>
      </c>
      <c r="F154" s="110">
        <f>SUMIF('Yucho Arai'!N:N,'Tổng hợp tiền thu theo mã U'!E154,'Yucho Arai'!H:H)+SUMIF(GMO!I:I,'Tổng hợp tiền thu theo mã U'!E154,GMO!G:G)</f>
        <v>0</v>
      </c>
      <c r="G154" s="110">
        <f>SUMIF('Yucho Arai'!N:N,'Tổng hợp tiền thu theo mã U'!E154,'Yucho Arai'!I:I)+SUMIF(GMO!I:I,'Tổng hợp tiền thu theo mã U'!E154,GMO!H:H)+SUMIF('Arai 7121'!H:H,'Tổng hợp tiền thu theo mã U'!E154,'Arai 7121'!B:B)</f>
        <v>2000</v>
      </c>
      <c r="H154" s="70">
        <f t="shared" si="3"/>
        <v>2000</v>
      </c>
      <c r="P154" s="110"/>
    </row>
    <row r="155" spans="4:16">
      <c r="D155">
        <v>153</v>
      </c>
      <c r="E155" s="65" t="s">
        <v>57</v>
      </c>
      <c r="F155" s="110">
        <f>SUMIF('Yucho Arai'!N:N,'Tổng hợp tiền thu theo mã U'!E155,'Yucho Arai'!H:H)+SUMIF(GMO!I:I,'Tổng hợp tiền thu theo mã U'!E155,GMO!G:G)</f>
        <v>0</v>
      </c>
      <c r="G155" s="110">
        <f>SUMIF('Yucho Arai'!N:N,'Tổng hợp tiền thu theo mã U'!E155,'Yucho Arai'!I:I)+SUMIF(GMO!I:I,'Tổng hợp tiền thu theo mã U'!E155,GMO!H:H)+SUMIF('Arai 7121'!H:H,'Tổng hợp tiền thu theo mã U'!E155,'Arai 7121'!B:B)</f>
        <v>2000</v>
      </c>
      <c r="H155" s="70">
        <f t="shared" si="3"/>
        <v>2000</v>
      </c>
      <c r="P155" s="110"/>
    </row>
    <row r="156" spans="4:16">
      <c r="D156">
        <v>154</v>
      </c>
      <c r="E156" s="65" t="s">
        <v>4025</v>
      </c>
      <c r="F156" s="110">
        <f>SUMIF('Yucho Arai'!N:N,'Tổng hợp tiền thu theo mã U'!E156,'Yucho Arai'!H:H)+SUMIF(GMO!I:I,'Tổng hợp tiền thu theo mã U'!E156,GMO!G:G)</f>
        <v>0</v>
      </c>
      <c r="G156" s="110">
        <f>SUMIF('Yucho Arai'!N:N,'Tổng hợp tiền thu theo mã U'!E156,'Yucho Arai'!I:I)+SUMIF(GMO!I:I,'Tổng hợp tiền thu theo mã U'!E156,GMO!H:H)+SUMIF('Arai 7121'!H:H,'Tổng hợp tiền thu theo mã U'!E156,'Arai 7121'!B:B)</f>
        <v>3000</v>
      </c>
      <c r="H156" s="70">
        <f t="shared" si="3"/>
        <v>3000</v>
      </c>
      <c r="P156" s="110"/>
    </row>
    <row r="157" spans="4:16">
      <c r="D157">
        <v>155</v>
      </c>
      <c r="E157" s="65" t="s">
        <v>1258</v>
      </c>
      <c r="F157" s="110">
        <f>SUMIF('Yucho Arai'!N:N,'Tổng hợp tiền thu theo mã U'!E157,'Yucho Arai'!H:H)+SUMIF(GMO!I:I,'Tổng hợp tiền thu theo mã U'!E157,GMO!G:G)</f>
        <v>0</v>
      </c>
      <c r="G157" s="110">
        <f>SUMIF('Yucho Arai'!N:N,'Tổng hợp tiền thu theo mã U'!E157,'Yucho Arai'!I:I)+SUMIF(GMO!I:I,'Tổng hợp tiền thu theo mã U'!E157,GMO!H:H)+SUMIF('Arai 7121'!H:H,'Tổng hợp tiền thu theo mã U'!E157,'Arai 7121'!B:B)</f>
        <v>2000</v>
      </c>
      <c r="H157" s="70">
        <f t="shared" si="3"/>
        <v>2000</v>
      </c>
      <c r="P157" s="110"/>
    </row>
    <row r="158" spans="4:16">
      <c r="D158">
        <v>156</v>
      </c>
      <c r="E158" s="65" t="s">
        <v>54</v>
      </c>
      <c r="F158" s="110">
        <f>SUMIF('Yucho Arai'!N:N,'Tổng hợp tiền thu theo mã U'!E158,'Yucho Arai'!H:H)+SUMIF(GMO!I:I,'Tổng hợp tiền thu theo mã U'!E158,GMO!G:G)</f>
        <v>0</v>
      </c>
      <c r="G158" s="110">
        <f>SUMIF('Yucho Arai'!N:N,'Tổng hợp tiền thu theo mã U'!E158,'Yucho Arai'!I:I)+SUMIF(GMO!I:I,'Tổng hợp tiền thu theo mã U'!E158,GMO!H:H)+SUMIF('Arai 7121'!H:H,'Tổng hợp tiền thu theo mã U'!E158,'Arai 7121'!B:B)</f>
        <v>2000</v>
      </c>
      <c r="H158" s="70">
        <f t="shared" si="3"/>
        <v>2000</v>
      </c>
      <c r="P158" s="110"/>
    </row>
    <row r="159" spans="4:16">
      <c r="D159">
        <v>157</v>
      </c>
      <c r="E159" s="65" t="s">
        <v>4004</v>
      </c>
      <c r="F159" s="110">
        <f>SUMIF('Yucho Arai'!N:N,'Tổng hợp tiền thu theo mã U'!E159,'Yucho Arai'!H:H)+SUMIF(GMO!I:I,'Tổng hợp tiền thu theo mã U'!E159,GMO!G:G)</f>
        <v>0</v>
      </c>
      <c r="G159" s="110">
        <f>SUMIF('Yucho Arai'!N:N,'Tổng hợp tiền thu theo mã U'!E159,'Yucho Arai'!I:I)+SUMIF(GMO!I:I,'Tổng hợp tiền thu theo mã U'!E159,GMO!H:H)+SUMIF('Arai 7121'!H:H,'Tổng hợp tiền thu theo mã U'!E159,'Arai 7121'!B:B)</f>
        <v>2000</v>
      </c>
      <c r="H159" s="70">
        <f t="shared" si="3"/>
        <v>2000</v>
      </c>
      <c r="P159" s="110"/>
    </row>
    <row r="160" spans="4:16">
      <c r="D160">
        <v>158</v>
      </c>
      <c r="E160" s="65" t="s">
        <v>119</v>
      </c>
      <c r="F160" s="110">
        <f>SUMIF('Yucho Arai'!N:N,'Tổng hợp tiền thu theo mã U'!E160,'Yucho Arai'!H:H)+SUMIF(GMO!I:I,'Tổng hợp tiền thu theo mã U'!E160,GMO!G:G)</f>
        <v>0</v>
      </c>
      <c r="G160" s="110">
        <f>SUMIF('Yucho Arai'!N:N,'Tổng hợp tiền thu theo mã U'!E160,'Yucho Arai'!I:I)+SUMIF(GMO!I:I,'Tổng hợp tiền thu theo mã U'!E160,GMO!H:H)+SUMIF('Arai 7121'!H:H,'Tổng hợp tiền thu theo mã U'!E160,'Arai 7121'!B:B)</f>
        <v>2000</v>
      </c>
      <c r="H160" s="70">
        <f t="shared" si="3"/>
        <v>2000</v>
      </c>
      <c r="P160" s="110"/>
    </row>
    <row r="161" spans="4:16">
      <c r="D161">
        <v>159</v>
      </c>
      <c r="E161" s="65" t="s">
        <v>60</v>
      </c>
      <c r="F161" s="110">
        <f>SUMIF('Yucho Arai'!N:N,'Tổng hợp tiền thu theo mã U'!E161,'Yucho Arai'!H:H)+SUMIF(GMO!I:I,'Tổng hợp tiền thu theo mã U'!E161,GMO!G:G)</f>
        <v>0</v>
      </c>
      <c r="G161" s="110">
        <f>SUMIF('Yucho Arai'!N:N,'Tổng hợp tiền thu theo mã U'!E161,'Yucho Arai'!I:I)+SUMIF(GMO!I:I,'Tổng hợp tiền thu theo mã U'!E161,GMO!H:H)+SUMIF('Arai 7121'!H:H,'Tổng hợp tiền thu theo mã U'!E161,'Arai 7121'!B:B)</f>
        <v>2000</v>
      </c>
      <c r="H161" s="70">
        <f t="shared" si="3"/>
        <v>2000</v>
      </c>
      <c r="P161" s="110"/>
    </row>
    <row r="162" spans="4:16">
      <c r="D162">
        <v>160</v>
      </c>
      <c r="E162" t="s">
        <v>4256</v>
      </c>
      <c r="F162" s="110">
        <f>SUMIF('Yucho Arai'!N:N,'Tổng hợp tiền thu theo mã U'!E162,'Yucho Arai'!H:H)+SUMIF(GMO!I:I,'Tổng hợp tiền thu theo mã U'!E162,GMO!G:G)</f>
        <v>500</v>
      </c>
      <c r="G162" s="110">
        <f>SUMIF('Yucho Arai'!N:N,'Tổng hợp tiền thu theo mã U'!E162,'Yucho Arai'!I:I)+SUMIF(GMO!I:I,'Tổng hợp tiền thu theo mã U'!E162,GMO!H:H)+SUMIF('Arai 7121'!H:H,'Tổng hợp tiền thu theo mã U'!E162,'Arai 7121'!B:B)</f>
        <v>0</v>
      </c>
      <c r="H162" s="70">
        <f t="shared" si="3"/>
        <v>500</v>
      </c>
    </row>
    <row r="163" spans="4:16">
      <c r="D163">
        <v>161</v>
      </c>
      <c r="E163" s="65" t="s">
        <v>4083</v>
      </c>
      <c r="F163" s="110">
        <f>SUMIF('Yucho Arai'!N:N,'Tổng hợp tiền thu theo mã U'!E163,'Yucho Arai'!H:H)+SUMIF(GMO!I:I,'Tổng hợp tiền thu theo mã U'!E163,GMO!G:G)</f>
        <v>0</v>
      </c>
      <c r="G163" s="110">
        <f>SUMIF('Yucho Arai'!N:N,'Tổng hợp tiền thu theo mã U'!E163,'Yucho Arai'!I:I)+SUMIF(GMO!I:I,'Tổng hợp tiền thu theo mã U'!E163,GMO!H:H)+SUMIF('Arai 7121'!H:H,'Tổng hợp tiền thu theo mã U'!E163,'Arai 7121'!B:B)</f>
        <v>2000</v>
      </c>
      <c r="H163" s="70">
        <f t="shared" si="3"/>
        <v>2000</v>
      </c>
    </row>
    <row r="164" spans="4:16">
      <c r="D164">
        <v>162</v>
      </c>
      <c r="E164" s="65" t="s">
        <v>51</v>
      </c>
      <c r="F164" s="110">
        <f>SUMIF('Yucho Arai'!N:N,'Tổng hợp tiền thu theo mã U'!E164,'Yucho Arai'!H:H)+SUMIF(GMO!I:I,'Tổng hợp tiền thu theo mã U'!E164,GMO!G:G)</f>
        <v>0</v>
      </c>
      <c r="G164" s="110">
        <f>SUMIF('Yucho Arai'!N:N,'Tổng hợp tiền thu theo mã U'!E164,'Yucho Arai'!I:I)+SUMIF(GMO!I:I,'Tổng hợp tiền thu theo mã U'!E164,GMO!H:H)+SUMIF('Arai 7121'!H:H,'Tổng hợp tiền thu theo mã U'!E164,'Arai 7121'!B:B)</f>
        <v>4000</v>
      </c>
      <c r="H164" s="70">
        <f t="shared" si="3"/>
        <v>4000</v>
      </c>
    </row>
    <row r="165" spans="4:16">
      <c r="D165">
        <v>163</v>
      </c>
      <c r="E165" s="65" t="s">
        <v>35</v>
      </c>
      <c r="F165" s="110">
        <f>SUMIF('Yucho Arai'!N:N,'Tổng hợp tiền thu theo mã U'!E165,'Yucho Arai'!H:H)+SUMIF(GMO!I:I,'Tổng hợp tiền thu theo mã U'!E165,GMO!G:G)</f>
        <v>0</v>
      </c>
      <c r="G165" s="110">
        <f>SUMIF('Yucho Arai'!N:N,'Tổng hợp tiền thu theo mã U'!E165,'Yucho Arai'!I:I)+SUMIF(GMO!I:I,'Tổng hợp tiền thu theo mã U'!E165,GMO!H:H)+SUMIF('Arai 7121'!H:H,'Tổng hợp tiền thu theo mã U'!E165,'Arai 7121'!B:B)</f>
        <v>2000</v>
      </c>
      <c r="H165" s="70">
        <f t="shared" si="3"/>
        <v>2000</v>
      </c>
    </row>
    <row r="166" spans="4:16">
      <c r="D166">
        <v>164</v>
      </c>
      <c r="E166" s="65" t="s">
        <v>2153</v>
      </c>
      <c r="F166" s="110">
        <f>SUMIF('Yucho Arai'!N:N,'Tổng hợp tiền thu theo mã U'!E166,'Yucho Arai'!H:H)+SUMIF(GMO!I:I,'Tổng hợp tiền thu theo mã U'!E166,GMO!G:G)</f>
        <v>0</v>
      </c>
      <c r="G166" s="110">
        <f>SUMIF('Yucho Arai'!N:N,'Tổng hợp tiền thu theo mã U'!E166,'Yucho Arai'!I:I)+SUMIF(GMO!I:I,'Tổng hợp tiền thu theo mã U'!E166,GMO!H:H)+SUMIF('Arai 7121'!H:H,'Tổng hợp tiền thu theo mã U'!E166,'Arai 7121'!B:B)</f>
        <v>4000</v>
      </c>
      <c r="H166" s="70">
        <f t="shared" si="3"/>
        <v>4000</v>
      </c>
    </row>
    <row r="167" spans="4:16">
      <c r="D167">
        <v>165</v>
      </c>
      <c r="E167" s="65" t="s">
        <v>2084</v>
      </c>
      <c r="F167" s="110">
        <f>SUMIF('Yucho Arai'!N:N,'Tổng hợp tiền thu theo mã U'!E167,'Yucho Arai'!H:H)+SUMIF(GMO!I:I,'Tổng hợp tiền thu theo mã U'!E167,GMO!G:G)</f>
        <v>0</v>
      </c>
      <c r="G167" s="110">
        <f>SUMIF('Yucho Arai'!N:N,'Tổng hợp tiền thu theo mã U'!E167,'Yucho Arai'!I:I)+SUMIF(GMO!I:I,'Tổng hợp tiền thu theo mã U'!E167,GMO!H:H)+SUMIF('Arai 7121'!H:H,'Tổng hợp tiền thu theo mã U'!E167,'Arai 7121'!B:B)</f>
        <v>2000</v>
      </c>
      <c r="H167" s="70">
        <f t="shared" si="3"/>
        <v>2000</v>
      </c>
    </row>
    <row r="168" spans="4:16">
      <c r="D168">
        <v>166</v>
      </c>
      <c r="E168" s="65" t="s">
        <v>1276</v>
      </c>
      <c r="F168" s="110">
        <f>SUMIF('Yucho Arai'!N:N,'Tổng hợp tiền thu theo mã U'!E168,'Yucho Arai'!H:H)+SUMIF(GMO!I:I,'Tổng hợp tiền thu theo mã U'!E168,GMO!G:G)</f>
        <v>0</v>
      </c>
      <c r="G168" s="110">
        <f>SUMIF('Yucho Arai'!N:N,'Tổng hợp tiền thu theo mã U'!E168,'Yucho Arai'!I:I)+SUMIF(GMO!I:I,'Tổng hợp tiền thu theo mã U'!E168,GMO!H:H)+SUMIF('Arai 7121'!H:H,'Tổng hợp tiền thu theo mã U'!E168,'Arai 7121'!B:B)</f>
        <v>2000</v>
      </c>
      <c r="H168" s="70">
        <f t="shared" si="3"/>
        <v>2000</v>
      </c>
    </row>
    <row r="169" spans="4:16">
      <c r="D169">
        <v>167</v>
      </c>
      <c r="E169" s="65" t="s">
        <v>55</v>
      </c>
      <c r="F169" s="110">
        <f>SUMIF('Yucho Arai'!N:N,'Tổng hợp tiền thu theo mã U'!E169,'Yucho Arai'!H:H)+SUMIF(GMO!I:I,'Tổng hợp tiền thu theo mã U'!E169,GMO!G:G)</f>
        <v>0</v>
      </c>
      <c r="G169" s="110">
        <f>SUMIF('Yucho Arai'!N:N,'Tổng hợp tiền thu theo mã U'!E169,'Yucho Arai'!I:I)+SUMIF(GMO!I:I,'Tổng hợp tiền thu theo mã U'!E169,GMO!H:H)+SUMIF('Arai 7121'!H:H,'Tổng hợp tiền thu theo mã U'!E169,'Arai 7121'!B:B)</f>
        <v>2000</v>
      </c>
      <c r="H169" s="70">
        <f t="shared" si="3"/>
        <v>2000</v>
      </c>
    </row>
    <row r="170" spans="4:16">
      <c r="D170">
        <v>168</v>
      </c>
      <c r="E170" s="65" t="s">
        <v>122</v>
      </c>
      <c r="F170" s="110">
        <f>SUMIF('Yucho Arai'!N:N,'Tổng hợp tiền thu theo mã U'!E170,'Yucho Arai'!H:H)+SUMIF(GMO!I:I,'Tổng hợp tiền thu theo mã U'!E170,GMO!G:G)</f>
        <v>0</v>
      </c>
      <c r="G170" s="110">
        <f>SUMIF('Yucho Arai'!N:N,'Tổng hợp tiền thu theo mã U'!E170,'Yucho Arai'!I:I)+SUMIF(GMO!I:I,'Tổng hợp tiền thu theo mã U'!E170,GMO!H:H)+SUMIF('Arai 7121'!H:H,'Tổng hợp tiền thu theo mã U'!E170,'Arai 7121'!B:B)</f>
        <v>2000</v>
      </c>
      <c r="H170" s="70">
        <f t="shared" si="3"/>
        <v>2000</v>
      </c>
    </row>
    <row r="171" spans="4:16">
      <c r="D171">
        <v>169</v>
      </c>
      <c r="E171" s="65" t="s">
        <v>72</v>
      </c>
      <c r="F171" s="110">
        <f>SUMIF('Yucho Arai'!N:N,'Tổng hợp tiền thu theo mã U'!E171,'Yucho Arai'!H:H)+SUMIF(GMO!I:I,'Tổng hợp tiền thu theo mã U'!E171,GMO!G:G)</f>
        <v>0</v>
      </c>
      <c r="G171" s="110">
        <f>SUMIF('Yucho Arai'!N:N,'Tổng hợp tiền thu theo mã U'!E171,'Yucho Arai'!I:I)+SUMIF(GMO!I:I,'Tổng hợp tiền thu theo mã U'!E171,GMO!H:H)+SUMIF('Arai 7121'!H:H,'Tổng hợp tiền thu theo mã U'!E171,'Arai 7121'!B:B)</f>
        <v>6000</v>
      </c>
      <c r="H171" s="70">
        <f t="shared" si="3"/>
        <v>6000</v>
      </c>
    </row>
    <row r="172" spans="4:16">
      <c r="D172">
        <v>170</v>
      </c>
      <c r="E172" t="s">
        <v>4249</v>
      </c>
      <c r="F172" s="110">
        <f>SUMIF('Yucho Arai'!N:N,'Tổng hợp tiền thu theo mã U'!E172,'Yucho Arai'!H:H)+SUMIF(GMO!I:I,'Tổng hợp tiền thu theo mã U'!E172,GMO!G:G)</f>
        <v>500</v>
      </c>
      <c r="G172" s="110">
        <f>SUMIF('Yucho Arai'!N:N,'Tổng hợp tiền thu theo mã U'!E172,'Yucho Arai'!I:I)+SUMIF(GMO!I:I,'Tổng hợp tiền thu theo mã U'!E172,GMO!H:H)+SUMIF('Arai 7121'!H:H,'Tổng hợp tiền thu theo mã U'!E172,'Arai 7121'!B:B)</f>
        <v>0</v>
      </c>
      <c r="H172" s="70">
        <f t="shared" si="3"/>
        <v>500</v>
      </c>
    </row>
    <row r="173" spans="4:16">
      <c r="D173">
        <v>171</v>
      </c>
      <c r="E173" s="65" t="s">
        <v>38</v>
      </c>
      <c r="F173" s="110">
        <f>SUMIF('Yucho Arai'!N:N,'Tổng hợp tiền thu theo mã U'!E173,'Yucho Arai'!H:H)+SUMIF(GMO!I:I,'Tổng hợp tiền thu theo mã U'!E173,GMO!G:G)</f>
        <v>0</v>
      </c>
      <c r="G173" s="110">
        <f>SUMIF('Yucho Arai'!N:N,'Tổng hợp tiền thu theo mã U'!E173,'Yucho Arai'!I:I)+SUMIF(GMO!I:I,'Tổng hợp tiền thu theo mã U'!E173,GMO!H:H)+SUMIF('Arai 7121'!H:H,'Tổng hợp tiền thu theo mã U'!E173,'Arai 7121'!B:B)</f>
        <v>3000</v>
      </c>
      <c r="H173" s="70">
        <f t="shared" si="3"/>
        <v>3000</v>
      </c>
    </row>
    <row r="174" spans="4:16">
      <c r="D174">
        <v>172</v>
      </c>
      <c r="E174" s="65" t="s">
        <v>103</v>
      </c>
      <c r="F174" s="110">
        <f>SUMIF('Yucho Arai'!N:N,'Tổng hợp tiền thu theo mã U'!E174,'Yucho Arai'!H:H)+SUMIF(GMO!I:I,'Tổng hợp tiền thu theo mã U'!E174,GMO!G:G)</f>
        <v>0</v>
      </c>
      <c r="G174" s="110">
        <f>SUMIF('Yucho Arai'!N:N,'Tổng hợp tiền thu theo mã U'!E174,'Yucho Arai'!I:I)+SUMIF(GMO!I:I,'Tổng hợp tiền thu theo mã U'!E174,GMO!H:H)+SUMIF('Arai 7121'!H:H,'Tổng hợp tiền thu theo mã U'!E174,'Arai 7121'!B:B)</f>
        <v>2000</v>
      </c>
      <c r="H174" s="70">
        <f t="shared" si="3"/>
        <v>2000</v>
      </c>
    </row>
    <row r="175" spans="4:16">
      <c r="D175">
        <v>173</v>
      </c>
      <c r="E175" s="65" t="s">
        <v>4086</v>
      </c>
      <c r="F175" s="110">
        <f>SUMIF('Yucho Arai'!N:N,'Tổng hợp tiền thu theo mã U'!E175,'Yucho Arai'!H:H)+SUMIF(GMO!I:I,'Tổng hợp tiền thu theo mã U'!E175,GMO!G:G)</f>
        <v>0</v>
      </c>
      <c r="G175" s="110">
        <f>SUMIF('Yucho Arai'!N:N,'Tổng hợp tiền thu theo mã U'!E175,'Yucho Arai'!I:I)+SUMIF(GMO!I:I,'Tổng hợp tiền thu theo mã U'!E175,GMO!H:H)+SUMIF('Arai 7121'!H:H,'Tổng hợp tiền thu theo mã U'!E175,'Arai 7121'!B:B)</f>
        <v>2000</v>
      </c>
      <c r="H175" s="70">
        <f t="shared" si="3"/>
        <v>2000</v>
      </c>
    </row>
    <row r="176" spans="4:16">
      <c r="D176">
        <v>174</v>
      </c>
      <c r="E176" s="65" t="s">
        <v>1212</v>
      </c>
      <c r="F176" s="110">
        <f>SUMIF('Yucho Arai'!N:N,'Tổng hợp tiền thu theo mã U'!E176,'Yucho Arai'!H:H)+SUMIF(GMO!I:I,'Tổng hợp tiền thu theo mã U'!E176,GMO!G:G)</f>
        <v>0</v>
      </c>
      <c r="G176" s="110">
        <f>SUMIF('Yucho Arai'!N:N,'Tổng hợp tiền thu theo mã U'!E176,'Yucho Arai'!I:I)+SUMIF(GMO!I:I,'Tổng hợp tiền thu theo mã U'!E176,GMO!H:H)+SUMIF('Arai 7121'!H:H,'Tổng hợp tiền thu theo mã U'!E176,'Arai 7121'!B:B)</f>
        <v>2000</v>
      </c>
      <c r="H176" s="70">
        <f t="shared" si="3"/>
        <v>2000</v>
      </c>
    </row>
    <row r="177" spans="4:8">
      <c r="D177">
        <v>175</v>
      </c>
      <c r="E177" s="65" t="s">
        <v>4071</v>
      </c>
      <c r="F177" s="110">
        <f>SUMIF('Yucho Arai'!N:N,'Tổng hợp tiền thu theo mã U'!E177,'Yucho Arai'!H:H)+SUMIF(GMO!I:I,'Tổng hợp tiền thu theo mã U'!E177,GMO!G:G)</f>
        <v>0</v>
      </c>
      <c r="G177" s="110">
        <f>SUMIF('Yucho Arai'!N:N,'Tổng hợp tiền thu theo mã U'!E177,'Yucho Arai'!I:I)+SUMIF(GMO!I:I,'Tổng hợp tiền thu theo mã U'!E177,GMO!H:H)+SUMIF('Arai 7121'!H:H,'Tổng hợp tiền thu theo mã U'!E177,'Arai 7121'!B:B)</f>
        <v>4000</v>
      </c>
      <c r="H177" s="70">
        <f t="shared" si="3"/>
        <v>4000</v>
      </c>
    </row>
    <row r="178" spans="4:8">
      <c r="D178">
        <v>176</v>
      </c>
      <c r="E178" s="65" t="s">
        <v>4014</v>
      </c>
      <c r="F178" s="110">
        <f>SUMIF('Yucho Arai'!N:N,'Tổng hợp tiền thu theo mã U'!E178,'Yucho Arai'!H:H)+SUMIF(GMO!I:I,'Tổng hợp tiền thu theo mã U'!E178,GMO!G:G)</f>
        <v>0</v>
      </c>
      <c r="G178" s="110">
        <f>SUMIF('Yucho Arai'!N:N,'Tổng hợp tiền thu theo mã U'!E178,'Yucho Arai'!I:I)+SUMIF(GMO!I:I,'Tổng hợp tiền thu theo mã U'!E178,GMO!H:H)+SUMIF('Arai 7121'!H:H,'Tổng hợp tiền thu theo mã U'!E178,'Arai 7121'!B:B)</f>
        <v>3000</v>
      </c>
      <c r="H178" s="70">
        <f t="shared" si="3"/>
        <v>3000</v>
      </c>
    </row>
    <row r="179" spans="4:8">
      <c r="D179">
        <v>177</v>
      </c>
      <c r="E179" s="65" t="s">
        <v>77</v>
      </c>
      <c r="F179" s="110">
        <f>SUMIF('Yucho Arai'!N:N,'Tổng hợp tiền thu theo mã U'!E179,'Yucho Arai'!H:H)+SUMIF(GMO!I:I,'Tổng hợp tiền thu theo mã U'!E179,GMO!G:G)</f>
        <v>0</v>
      </c>
      <c r="G179" s="110">
        <f>SUMIF('Yucho Arai'!N:N,'Tổng hợp tiền thu theo mã U'!E179,'Yucho Arai'!I:I)+SUMIF(GMO!I:I,'Tổng hợp tiền thu theo mã U'!E179,GMO!H:H)+SUMIF('Arai 7121'!H:H,'Tổng hợp tiền thu theo mã U'!E179,'Arai 7121'!B:B)</f>
        <v>4000</v>
      </c>
      <c r="H179" s="70">
        <f t="shared" si="3"/>
        <v>4000</v>
      </c>
    </row>
    <row r="180" spans="4:8">
      <c r="D180">
        <v>178</v>
      </c>
      <c r="E180" s="65" t="s">
        <v>4057</v>
      </c>
      <c r="F180" s="110">
        <f>SUMIF('Yucho Arai'!N:N,'Tổng hợp tiền thu theo mã U'!E180,'Yucho Arai'!H:H)+SUMIF(GMO!I:I,'Tổng hợp tiền thu theo mã U'!E180,GMO!G:G)</f>
        <v>0</v>
      </c>
      <c r="G180" s="110">
        <f>SUMIF('Yucho Arai'!N:N,'Tổng hợp tiền thu theo mã U'!E180,'Yucho Arai'!I:I)+SUMIF(GMO!I:I,'Tổng hợp tiền thu theo mã U'!E180,GMO!H:H)+SUMIF('Arai 7121'!H:H,'Tổng hợp tiền thu theo mã U'!E180,'Arai 7121'!B:B)</f>
        <v>2000</v>
      </c>
      <c r="H180" s="70">
        <f t="shared" si="3"/>
        <v>2000</v>
      </c>
    </row>
    <row r="181" spans="4:8">
      <c r="D181">
        <v>179</v>
      </c>
      <c r="E181" s="65" t="s">
        <v>1190</v>
      </c>
      <c r="F181" s="110">
        <f>SUMIF('Yucho Arai'!N:N,'Tổng hợp tiền thu theo mã U'!E181,'Yucho Arai'!H:H)+SUMIF(GMO!I:I,'Tổng hợp tiền thu theo mã U'!E181,GMO!G:G)</f>
        <v>0</v>
      </c>
      <c r="G181" s="110">
        <f>SUMIF('Yucho Arai'!N:N,'Tổng hợp tiền thu theo mã U'!E181,'Yucho Arai'!I:I)+SUMIF(GMO!I:I,'Tổng hợp tiền thu theo mã U'!E181,GMO!H:H)+SUMIF('Arai 7121'!H:H,'Tổng hợp tiền thu theo mã U'!E181,'Arai 7121'!B:B)</f>
        <v>2000</v>
      </c>
      <c r="H181" s="70">
        <f t="shared" si="3"/>
        <v>2000</v>
      </c>
    </row>
    <row r="182" spans="4:8">
      <c r="D182">
        <v>180</v>
      </c>
      <c r="E182" s="65" t="s">
        <v>2149</v>
      </c>
      <c r="F182" s="110">
        <f>SUMIF('Yucho Arai'!N:N,'Tổng hợp tiền thu theo mã U'!E182,'Yucho Arai'!H:H)+SUMIF(GMO!I:I,'Tổng hợp tiền thu theo mã U'!E182,GMO!G:G)</f>
        <v>0</v>
      </c>
      <c r="G182" s="110">
        <f>SUMIF('Yucho Arai'!N:N,'Tổng hợp tiền thu theo mã U'!E182,'Yucho Arai'!I:I)+SUMIF(GMO!I:I,'Tổng hợp tiền thu theo mã U'!E182,GMO!H:H)+SUMIF('Arai 7121'!H:H,'Tổng hợp tiền thu theo mã U'!E182,'Arai 7121'!B:B)</f>
        <v>2000</v>
      </c>
      <c r="H182" s="70">
        <f t="shared" si="3"/>
        <v>2000</v>
      </c>
    </row>
    <row r="183" spans="4:8">
      <c r="D183">
        <v>181</v>
      </c>
      <c r="E183" s="65" t="s">
        <v>33</v>
      </c>
      <c r="F183" s="110">
        <f>SUMIF('Yucho Arai'!N:N,'Tổng hợp tiền thu theo mã U'!E183,'Yucho Arai'!H:H)+SUMIF(GMO!I:I,'Tổng hợp tiền thu theo mã U'!E183,GMO!G:G)</f>
        <v>0</v>
      </c>
      <c r="G183" s="110">
        <f>SUMIF('Yucho Arai'!N:N,'Tổng hợp tiền thu theo mã U'!E183,'Yucho Arai'!I:I)+SUMIF(GMO!I:I,'Tổng hợp tiền thu theo mã U'!E183,GMO!H:H)+SUMIF('Arai 7121'!H:H,'Tổng hợp tiền thu theo mã U'!E183,'Arai 7121'!B:B)</f>
        <v>4000</v>
      </c>
      <c r="H183" s="70">
        <f t="shared" si="3"/>
        <v>4000</v>
      </c>
    </row>
    <row r="184" spans="4:8">
      <c r="D184">
        <v>182</v>
      </c>
      <c r="E184" s="65" t="s">
        <v>96</v>
      </c>
      <c r="F184" s="110">
        <f>SUMIF('Yucho Arai'!N:N,'Tổng hợp tiền thu theo mã U'!E184,'Yucho Arai'!H:H)+SUMIF(GMO!I:I,'Tổng hợp tiền thu theo mã U'!E184,GMO!G:G)</f>
        <v>0</v>
      </c>
      <c r="G184" s="110">
        <f>SUMIF('Yucho Arai'!N:N,'Tổng hợp tiền thu theo mã U'!E184,'Yucho Arai'!I:I)+SUMIF(GMO!I:I,'Tổng hợp tiền thu theo mã U'!E184,GMO!H:H)+SUMIF('Arai 7121'!H:H,'Tổng hợp tiền thu theo mã U'!E184,'Arai 7121'!B:B)</f>
        <v>4000</v>
      </c>
      <c r="H184" s="70">
        <f t="shared" si="3"/>
        <v>4000</v>
      </c>
    </row>
    <row r="185" spans="4:8">
      <c r="D185">
        <v>183</v>
      </c>
      <c r="E185" s="65" t="s">
        <v>69</v>
      </c>
      <c r="F185" s="110">
        <f>SUMIF('Yucho Arai'!N:N,'Tổng hợp tiền thu theo mã U'!E185,'Yucho Arai'!H:H)+SUMIF(GMO!I:I,'Tổng hợp tiền thu theo mã U'!E185,GMO!G:G)</f>
        <v>0</v>
      </c>
      <c r="G185" s="110">
        <f>SUMIF('Yucho Arai'!N:N,'Tổng hợp tiền thu theo mã U'!E185,'Yucho Arai'!I:I)+SUMIF(GMO!I:I,'Tổng hợp tiền thu theo mã U'!E185,GMO!H:H)+SUMIF('Arai 7121'!H:H,'Tổng hợp tiền thu theo mã U'!E185,'Arai 7121'!B:B)</f>
        <v>2000</v>
      </c>
      <c r="H185" s="70">
        <f t="shared" si="3"/>
        <v>2000</v>
      </c>
    </row>
    <row r="186" spans="4:8">
      <c r="D186">
        <v>184</v>
      </c>
      <c r="E186" s="65" t="s">
        <v>1237</v>
      </c>
      <c r="F186" s="110">
        <f>SUMIF('Yucho Arai'!N:N,'Tổng hợp tiền thu theo mã U'!E186,'Yucho Arai'!H:H)+SUMIF(GMO!I:I,'Tổng hợp tiền thu theo mã U'!E186,GMO!G:G)</f>
        <v>0</v>
      </c>
      <c r="G186" s="110">
        <f>SUMIF('Yucho Arai'!N:N,'Tổng hợp tiền thu theo mã U'!E186,'Yucho Arai'!I:I)+SUMIF(GMO!I:I,'Tổng hợp tiền thu theo mã U'!E186,GMO!H:H)+SUMIF('Arai 7121'!H:H,'Tổng hợp tiền thu theo mã U'!E186,'Arai 7121'!B:B)</f>
        <v>2000</v>
      </c>
      <c r="H186" s="70">
        <f t="shared" si="3"/>
        <v>2000</v>
      </c>
    </row>
    <row r="187" spans="4:8">
      <c r="D187">
        <v>185</v>
      </c>
      <c r="E187" t="s">
        <v>4244</v>
      </c>
      <c r="F187" s="110">
        <f>SUMIF('Yucho Arai'!N:N,'Tổng hợp tiền thu theo mã U'!E187,'Yucho Arai'!H:H)+SUMIF(GMO!I:I,'Tổng hợp tiền thu theo mã U'!E187,GMO!G:G)</f>
        <v>3000</v>
      </c>
      <c r="G187" s="110">
        <f>SUMIF('Yucho Arai'!N:N,'Tổng hợp tiền thu theo mã U'!E187,'Yucho Arai'!I:I)+SUMIF(GMO!I:I,'Tổng hợp tiền thu theo mã U'!E187,GMO!H:H)+SUMIF('Arai 7121'!H:H,'Tổng hợp tiền thu theo mã U'!E187,'Arai 7121'!B:B)</f>
        <v>0</v>
      </c>
      <c r="H187" s="70">
        <f t="shared" si="3"/>
        <v>3000</v>
      </c>
    </row>
    <row r="188" spans="4:8">
      <c r="D188">
        <v>186</v>
      </c>
      <c r="E188" s="65" t="s">
        <v>4064</v>
      </c>
      <c r="F188" s="110">
        <f>SUMIF('Yucho Arai'!N:N,'Tổng hợp tiền thu theo mã U'!E188,'Yucho Arai'!H:H)+SUMIF(GMO!I:I,'Tổng hợp tiền thu theo mã U'!E188,GMO!G:G)</f>
        <v>0</v>
      </c>
      <c r="G188" s="110">
        <f>SUMIF('Yucho Arai'!N:N,'Tổng hợp tiền thu theo mã U'!E188,'Yucho Arai'!I:I)+SUMIF(GMO!I:I,'Tổng hợp tiền thu theo mã U'!E188,GMO!H:H)+SUMIF('Arai 7121'!H:H,'Tổng hợp tiền thu theo mã U'!E188,'Arai 7121'!B:B)</f>
        <v>2000</v>
      </c>
      <c r="H188" s="70">
        <f t="shared" si="3"/>
        <v>2000</v>
      </c>
    </row>
    <row r="189" spans="4:8">
      <c r="D189">
        <v>187</v>
      </c>
      <c r="E189" s="65" t="s">
        <v>4060</v>
      </c>
      <c r="F189" s="110">
        <f>SUMIF('Yucho Arai'!N:N,'Tổng hợp tiền thu theo mã U'!E189,'Yucho Arai'!H:H)+SUMIF(GMO!I:I,'Tổng hợp tiền thu theo mã U'!E189,GMO!G:G)</f>
        <v>0</v>
      </c>
      <c r="G189" s="110">
        <f>SUMIF('Yucho Arai'!N:N,'Tổng hợp tiền thu theo mã U'!E189,'Yucho Arai'!I:I)+SUMIF(GMO!I:I,'Tổng hợp tiền thu theo mã U'!E189,GMO!H:H)+SUMIF('Arai 7121'!H:H,'Tổng hợp tiền thu theo mã U'!E189,'Arai 7121'!B:B)</f>
        <v>2000</v>
      </c>
      <c r="H189" s="70">
        <f t="shared" si="3"/>
        <v>2000</v>
      </c>
    </row>
    <row r="190" spans="4:8">
      <c r="D190">
        <v>188</v>
      </c>
      <c r="E190" s="65" t="s">
        <v>4062</v>
      </c>
      <c r="F190" s="110">
        <f>SUMIF('Yucho Arai'!N:N,'Tổng hợp tiền thu theo mã U'!E190,'Yucho Arai'!H:H)+SUMIF(GMO!I:I,'Tổng hợp tiền thu theo mã U'!E190,GMO!G:G)</f>
        <v>0</v>
      </c>
      <c r="G190" s="110">
        <f>SUMIF('Yucho Arai'!N:N,'Tổng hợp tiền thu theo mã U'!E190,'Yucho Arai'!I:I)+SUMIF(GMO!I:I,'Tổng hợp tiền thu theo mã U'!E190,GMO!H:H)+SUMIF('Arai 7121'!H:H,'Tổng hợp tiền thu theo mã U'!E190,'Arai 7121'!B:B)</f>
        <v>2000</v>
      </c>
      <c r="H190" s="70">
        <f t="shared" si="3"/>
        <v>2000</v>
      </c>
    </row>
    <row r="191" spans="4:8">
      <c r="D191">
        <v>189</v>
      </c>
      <c r="E191" s="65" t="s">
        <v>1710</v>
      </c>
      <c r="F191" s="110">
        <f>SUMIF('Yucho Arai'!N:N,'Tổng hợp tiền thu theo mã U'!E191,'Yucho Arai'!H:H)+SUMIF(GMO!I:I,'Tổng hợp tiền thu theo mã U'!E191,GMO!G:G)</f>
        <v>0</v>
      </c>
      <c r="G191" s="110">
        <f>SUMIF('Yucho Arai'!N:N,'Tổng hợp tiền thu theo mã U'!E191,'Yucho Arai'!I:I)+SUMIF(GMO!I:I,'Tổng hợp tiền thu theo mã U'!E191,GMO!H:H)+SUMIF('Arai 7121'!H:H,'Tổng hợp tiền thu theo mã U'!E191,'Arai 7121'!B:B)</f>
        <v>5000</v>
      </c>
      <c r="H191" s="70">
        <f t="shared" si="3"/>
        <v>5000</v>
      </c>
    </row>
    <row r="192" spans="4:8">
      <c r="D192">
        <v>190</v>
      </c>
      <c r="E192" s="65" t="s">
        <v>4023</v>
      </c>
      <c r="F192" s="110">
        <f>SUMIF('Yucho Arai'!N:N,'Tổng hợp tiền thu theo mã U'!E192,'Yucho Arai'!H:H)+SUMIF(GMO!I:I,'Tổng hợp tiền thu theo mã U'!E192,GMO!G:G)</f>
        <v>0</v>
      </c>
      <c r="G192" s="110">
        <f>SUMIF('Yucho Arai'!N:N,'Tổng hợp tiền thu theo mã U'!E192,'Yucho Arai'!I:I)+SUMIF(GMO!I:I,'Tổng hợp tiền thu theo mã U'!E192,GMO!H:H)+SUMIF('Arai 7121'!H:H,'Tổng hợp tiền thu theo mã U'!E192,'Arai 7121'!B:B)</f>
        <v>3000</v>
      </c>
      <c r="H192" s="70">
        <f t="shared" si="3"/>
        <v>3000</v>
      </c>
    </row>
    <row r="193" spans="4:8">
      <c r="D193">
        <v>191</v>
      </c>
      <c r="E193" s="65" t="s">
        <v>90</v>
      </c>
      <c r="F193" s="110">
        <f>SUMIF('Yucho Arai'!N:N,'Tổng hợp tiền thu theo mã U'!E193,'Yucho Arai'!H:H)+SUMIF(GMO!I:I,'Tổng hợp tiền thu theo mã U'!E193,GMO!G:G)</f>
        <v>0</v>
      </c>
      <c r="G193" s="110">
        <f>SUMIF('Yucho Arai'!N:N,'Tổng hợp tiền thu theo mã U'!E193,'Yucho Arai'!I:I)+SUMIF(GMO!I:I,'Tổng hợp tiền thu theo mã U'!E193,GMO!H:H)+SUMIF('Arai 7121'!H:H,'Tổng hợp tiền thu theo mã U'!E193,'Arai 7121'!B:B)</f>
        <v>2000</v>
      </c>
      <c r="H193" s="70">
        <f t="shared" si="3"/>
        <v>2000</v>
      </c>
    </row>
    <row r="194" spans="4:8">
      <c r="D194">
        <v>192</v>
      </c>
      <c r="E194" t="s">
        <v>4245</v>
      </c>
      <c r="F194" s="110">
        <f>SUMIF('Yucho Arai'!N:N,'Tổng hợp tiền thu theo mã U'!E194,'Yucho Arai'!H:H)+SUMIF(GMO!I:I,'Tổng hợp tiền thu theo mã U'!E194,GMO!G:G)</f>
        <v>4000</v>
      </c>
      <c r="G194" s="110">
        <f>SUMIF('Yucho Arai'!N:N,'Tổng hợp tiền thu theo mã U'!E194,'Yucho Arai'!I:I)+SUMIF(GMO!I:I,'Tổng hợp tiền thu theo mã U'!E194,GMO!H:H)+SUMIF('Arai 7121'!H:H,'Tổng hợp tiền thu theo mã U'!E194,'Arai 7121'!B:B)</f>
        <v>0</v>
      </c>
      <c r="H194" s="70">
        <f t="shared" si="3"/>
        <v>4000</v>
      </c>
    </row>
    <row r="195" spans="4:8">
      <c r="D195">
        <v>193</v>
      </c>
      <c r="E195" t="s">
        <v>4243</v>
      </c>
      <c r="F195" s="110">
        <f>SUMIF('Yucho Arai'!N:N,'Tổng hợp tiền thu theo mã U'!E195,'Yucho Arai'!H:H)+SUMIF(GMO!I:I,'Tổng hợp tiền thu theo mã U'!E195,GMO!G:G)</f>
        <v>500</v>
      </c>
      <c r="G195" s="110">
        <f>SUMIF('Yucho Arai'!N:N,'Tổng hợp tiền thu theo mã U'!E195,'Yucho Arai'!I:I)+SUMIF(GMO!I:I,'Tổng hợp tiền thu theo mã U'!E195,GMO!H:H)+SUMIF('Arai 7121'!H:H,'Tổng hợp tiền thu theo mã U'!E195,'Arai 7121'!B:B)</f>
        <v>0</v>
      </c>
      <c r="H195" s="70">
        <f t="shared" si="3"/>
        <v>500</v>
      </c>
    </row>
    <row r="196" spans="4:8">
      <c r="D196">
        <v>194</v>
      </c>
      <c r="E196" t="s">
        <v>4228</v>
      </c>
      <c r="F196" s="110">
        <f>SUMIF('Yucho Arai'!N:N,'Tổng hợp tiền thu theo mã U'!E196,'Yucho Arai'!H:H)+SUMIF(GMO!I:I,'Tổng hợp tiền thu theo mã U'!E196,GMO!G:G)</f>
        <v>500</v>
      </c>
      <c r="G196" s="110">
        <f>SUMIF('Yucho Arai'!N:N,'Tổng hợp tiền thu theo mã U'!E196,'Yucho Arai'!I:I)+SUMIF(GMO!I:I,'Tổng hợp tiền thu theo mã U'!E196,GMO!H:H)+SUMIF('Arai 7121'!H:H,'Tổng hợp tiền thu theo mã U'!E196,'Arai 7121'!B:B)</f>
        <v>0</v>
      </c>
      <c r="H196" s="70">
        <f t="shared" ref="H196:H259" si="4">G196+F196</f>
        <v>500</v>
      </c>
    </row>
    <row r="197" spans="4:8">
      <c r="D197">
        <v>195</v>
      </c>
      <c r="E197" t="s">
        <v>4227</v>
      </c>
      <c r="F197" s="110">
        <f>SUMIF('Yucho Arai'!N:N,'Tổng hợp tiền thu theo mã U'!E197,'Yucho Arai'!H:H)+SUMIF(GMO!I:I,'Tổng hợp tiền thu theo mã U'!E197,GMO!G:G)</f>
        <v>500</v>
      </c>
      <c r="G197" s="110">
        <f>SUMIF('Yucho Arai'!N:N,'Tổng hợp tiền thu theo mã U'!E197,'Yucho Arai'!I:I)+SUMIF(GMO!I:I,'Tổng hợp tiền thu theo mã U'!E197,GMO!H:H)+SUMIF('Arai 7121'!H:H,'Tổng hợp tiền thu theo mã U'!E197,'Arai 7121'!B:B)</f>
        <v>0</v>
      </c>
      <c r="H197" s="70">
        <f t="shared" si="4"/>
        <v>500</v>
      </c>
    </row>
    <row r="198" spans="4:8">
      <c r="D198">
        <v>196</v>
      </c>
      <c r="E198" s="65" t="s">
        <v>4039</v>
      </c>
      <c r="F198" s="110">
        <f>SUMIF('Yucho Arai'!N:N,'Tổng hợp tiền thu theo mã U'!E198,'Yucho Arai'!H:H)+SUMIF(GMO!I:I,'Tổng hợp tiền thu theo mã U'!E198,GMO!G:G)</f>
        <v>0</v>
      </c>
      <c r="G198" s="110">
        <f>SUMIF('Yucho Arai'!N:N,'Tổng hợp tiền thu theo mã U'!E198,'Yucho Arai'!I:I)+SUMIF(GMO!I:I,'Tổng hợp tiền thu theo mã U'!E198,GMO!H:H)+SUMIF('Arai 7121'!H:H,'Tổng hợp tiền thu theo mã U'!E198,'Arai 7121'!B:B)</f>
        <v>2000</v>
      </c>
      <c r="H198" s="70">
        <f t="shared" si="4"/>
        <v>2000</v>
      </c>
    </row>
    <row r="199" spans="4:8">
      <c r="D199">
        <v>197</v>
      </c>
      <c r="E199" s="65" t="s">
        <v>87</v>
      </c>
      <c r="F199" s="110">
        <f>SUMIF('Yucho Arai'!N:N,'Tổng hợp tiền thu theo mã U'!E199,'Yucho Arai'!H:H)+SUMIF(GMO!I:I,'Tổng hợp tiền thu theo mã U'!E199,GMO!G:G)</f>
        <v>0</v>
      </c>
      <c r="G199" s="110">
        <f>SUMIF('Yucho Arai'!N:N,'Tổng hợp tiền thu theo mã U'!E199,'Yucho Arai'!I:I)+SUMIF(GMO!I:I,'Tổng hợp tiền thu theo mã U'!E199,GMO!H:H)+SUMIF('Arai 7121'!H:H,'Tổng hợp tiền thu theo mã U'!E199,'Arai 7121'!B:B)</f>
        <v>2000</v>
      </c>
      <c r="H199" s="70">
        <f t="shared" si="4"/>
        <v>2000</v>
      </c>
    </row>
    <row r="200" spans="4:8">
      <c r="D200">
        <v>198</v>
      </c>
      <c r="E200" t="s">
        <v>4222</v>
      </c>
      <c r="F200" s="110">
        <f>SUMIF('Yucho Arai'!N:N,'Tổng hợp tiền thu theo mã U'!E200,'Yucho Arai'!H:H)+SUMIF(GMO!I:I,'Tổng hợp tiền thu theo mã U'!E200,GMO!G:G)</f>
        <v>4000</v>
      </c>
      <c r="G200" s="110">
        <f>SUMIF('Yucho Arai'!N:N,'Tổng hợp tiền thu theo mã U'!E200,'Yucho Arai'!I:I)+SUMIF(GMO!I:I,'Tổng hợp tiền thu theo mã U'!E200,GMO!H:H)+SUMIF('Arai 7121'!H:H,'Tổng hợp tiền thu theo mã U'!E200,'Arai 7121'!B:B)</f>
        <v>0</v>
      </c>
      <c r="H200" s="70">
        <f t="shared" si="4"/>
        <v>4000</v>
      </c>
    </row>
    <row r="201" spans="4:8">
      <c r="D201">
        <v>199</v>
      </c>
      <c r="E201" s="65" t="s">
        <v>1261</v>
      </c>
      <c r="F201" s="110">
        <f>SUMIF('Yucho Arai'!N:N,'Tổng hợp tiền thu theo mã U'!E201,'Yucho Arai'!H:H)+SUMIF(GMO!I:I,'Tổng hợp tiền thu theo mã U'!E201,GMO!G:G)</f>
        <v>0</v>
      </c>
      <c r="G201" s="110">
        <f>SUMIF('Yucho Arai'!N:N,'Tổng hợp tiền thu theo mã U'!E201,'Yucho Arai'!I:I)+SUMIF(GMO!I:I,'Tổng hợp tiền thu theo mã U'!E201,GMO!H:H)+SUMIF('Arai 7121'!H:H,'Tổng hợp tiền thu theo mã U'!E201,'Arai 7121'!B:B)</f>
        <v>2000</v>
      </c>
      <c r="H201" s="70">
        <f t="shared" si="4"/>
        <v>2000</v>
      </c>
    </row>
    <row r="202" spans="4:8">
      <c r="D202">
        <v>200</v>
      </c>
      <c r="E202" s="65" t="s">
        <v>4048</v>
      </c>
      <c r="F202" s="110">
        <f>SUMIF('Yucho Arai'!N:N,'Tổng hợp tiền thu theo mã U'!E202,'Yucho Arai'!H:H)+SUMIF(GMO!I:I,'Tổng hợp tiền thu theo mã U'!E202,GMO!G:G)</f>
        <v>0</v>
      </c>
      <c r="G202" s="110">
        <f>SUMIF('Yucho Arai'!N:N,'Tổng hợp tiền thu theo mã U'!E202,'Yucho Arai'!I:I)+SUMIF(GMO!I:I,'Tổng hợp tiền thu theo mã U'!E202,GMO!H:H)+SUMIF('Arai 7121'!H:H,'Tổng hợp tiền thu theo mã U'!E202,'Arai 7121'!B:B)</f>
        <v>3000</v>
      </c>
      <c r="H202" s="70">
        <f t="shared" si="4"/>
        <v>3000</v>
      </c>
    </row>
    <row r="203" spans="4:8">
      <c r="D203">
        <v>201</v>
      </c>
      <c r="E203" s="65" t="s">
        <v>25</v>
      </c>
      <c r="F203" s="110">
        <f>SUMIF('Yucho Arai'!N:N,'Tổng hợp tiền thu theo mã U'!E203,'Yucho Arai'!H:H)+SUMIF(GMO!I:I,'Tổng hợp tiền thu theo mã U'!E203,GMO!G:G)</f>
        <v>0</v>
      </c>
      <c r="G203" s="110">
        <f>SUMIF('Yucho Arai'!N:N,'Tổng hợp tiền thu theo mã U'!E203,'Yucho Arai'!I:I)+SUMIF(GMO!I:I,'Tổng hợp tiền thu theo mã U'!E203,GMO!H:H)+SUMIF('Arai 7121'!H:H,'Tổng hợp tiền thu theo mã U'!E203,'Arai 7121'!B:B)</f>
        <v>2000</v>
      </c>
      <c r="H203" s="70">
        <f t="shared" si="4"/>
        <v>2000</v>
      </c>
    </row>
    <row r="204" spans="4:8">
      <c r="D204">
        <v>202</v>
      </c>
      <c r="E204" s="65" t="s">
        <v>46</v>
      </c>
      <c r="F204" s="110">
        <f>SUMIF('Yucho Arai'!N:N,'Tổng hợp tiền thu theo mã U'!E204,'Yucho Arai'!H:H)+SUMIF(GMO!I:I,'Tổng hợp tiền thu theo mã U'!E204,GMO!G:G)</f>
        <v>0</v>
      </c>
      <c r="G204" s="110">
        <f>SUMIF('Yucho Arai'!N:N,'Tổng hợp tiền thu theo mã U'!E204,'Yucho Arai'!I:I)+SUMIF(GMO!I:I,'Tổng hợp tiền thu theo mã U'!E204,GMO!H:H)+SUMIF('Arai 7121'!H:H,'Tổng hợp tiền thu theo mã U'!E204,'Arai 7121'!B:B)</f>
        <v>2000</v>
      </c>
      <c r="H204" s="70">
        <f t="shared" si="4"/>
        <v>2000</v>
      </c>
    </row>
    <row r="205" spans="4:8">
      <c r="D205">
        <v>203</v>
      </c>
      <c r="E205" s="65" t="s">
        <v>91</v>
      </c>
      <c r="F205" s="110">
        <f>SUMIF('Yucho Arai'!N:N,'Tổng hợp tiền thu theo mã U'!E205,'Yucho Arai'!H:H)+SUMIF(GMO!I:I,'Tổng hợp tiền thu theo mã U'!E205,GMO!G:G)</f>
        <v>0</v>
      </c>
      <c r="G205" s="110">
        <f>SUMIF('Yucho Arai'!N:N,'Tổng hợp tiền thu theo mã U'!E205,'Yucho Arai'!I:I)+SUMIF(GMO!I:I,'Tổng hợp tiền thu theo mã U'!E205,GMO!H:H)+SUMIF('Arai 7121'!H:H,'Tổng hợp tiền thu theo mã U'!E205,'Arai 7121'!B:B)</f>
        <v>4000</v>
      </c>
      <c r="H205" s="70">
        <f t="shared" si="4"/>
        <v>4000</v>
      </c>
    </row>
    <row r="206" spans="4:8">
      <c r="D206">
        <v>204</v>
      </c>
      <c r="E206" s="65" t="s">
        <v>4040</v>
      </c>
      <c r="F206" s="110">
        <f>SUMIF('Yucho Arai'!N:N,'Tổng hợp tiền thu theo mã U'!E206,'Yucho Arai'!H:H)+SUMIF(GMO!I:I,'Tổng hợp tiền thu theo mã U'!E206,GMO!G:G)</f>
        <v>0</v>
      </c>
      <c r="G206" s="110">
        <f>SUMIF('Yucho Arai'!N:N,'Tổng hợp tiền thu theo mã U'!E206,'Yucho Arai'!I:I)+SUMIF(GMO!I:I,'Tổng hợp tiền thu theo mã U'!E206,GMO!H:H)+SUMIF('Arai 7121'!H:H,'Tổng hợp tiền thu theo mã U'!E206,'Arai 7121'!B:B)</f>
        <v>6000</v>
      </c>
      <c r="H206" s="70">
        <f t="shared" si="4"/>
        <v>6000</v>
      </c>
    </row>
    <row r="207" spans="4:8">
      <c r="D207">
        <v>205</v>
      </c>
      <c r="E207" t="s">
        <v>4221</v>
      </c>
      <c r="F207" s="110">
        <f>SUMIF('Yucho Arai'!N:N,'Tổng hợp tiền thu theo mã U'!E207,'Yucho Arai'!H:H)+SUMIF(GMO!I:I,'Tổng hợp tiền thu theo mã U'!E207,GMO!G:G)</f>
        <v>2500</v>
      </c>
      <c r="G207" s="110">
        <f>SUMIF('Yucho Arai'!N:N,'Tổng hợp tiền thu theo mã U'!E207,'Yucho Arai'!I:I)+SUMIF(GMO!I:I,'Tổng hợp tiền thu theo mã U'!E207,GMO!H:H)+SUMIF('Arai 7121'!H:H,'Tổng hợp tiền thu theo mã U'!E207,'Arai 7121'!B:B)</f>
        <v>0</v>
      </c>
      <c r="H207" s="70">
        <f t="shared" si="4"/>
        <v>2500</v>
      </c>
    </row>
    <row r="208" spans="4:8">
      <c r="D208">
        <v>206</v>
      </c>
      <c r="E208" s="65" t="s">
        <v>1318</v>
      </c>
      <c r="F208" s="110">
        <f>SUMIF('Yucho Arai'!N:N,'Tổng hợp tiền thu theo mã U'!E208,'Yucho Arai'!H:H)+SUMIF(GMO!I:I,'Tổng hợp tiền thu theo mã U'!E208,GMO!G:G)</f>
        <v>0</v>
      </c>
      <c r="G208" s="110">
        <f>SUMIF('Yucho Arai'!N:N,'Tổng hợp tiền thu theo mã U'!E208,'Yucho Arai'!I:I)+SUMIF(GMO!I:I,'Tổng hợp tiền thu theo mã U'!E208,GMO!H:H)+SUMIF('Arai 7121'!H:H,'Tổng hợp tiền thu theo mã U'!E208,'Arai 7121'!B:B)</f>
        <v>2000</v>
      </c>
      <c r="H208" s="70">
        <f t="shared" si="4"/>
        <v>2000</v>
      </c>
    </row>
    <row r="209" spans="4:8">
      <c r="D209">
        <v>207</v>
      </c>
      <c r="E209" s="65" t="s">
        <v>76</v>
      </c>
      <c r="F209" s="110">
        <f>SUMIF('Yucho Arai'!N:N,'Tổng hợp tiền thu theo mã U'!E209,'Yucho Arai'!H:H)+SUMIF(GMO!I:I,'Tổng hợp tiền thu theo mã U'!E209,GMO!G:G)</f>
        <v>0</v>
      </c>
      <c r="G209" s="110">
        <f>SUMIF('Yucho Arai'!N:N,'Tổng hợp tiền thu theo mã U'!E209,'Yucho Arai'!I:I)+SUMIF(GMO!I:I,'Tổng hợp tiền thu theo mã U'!E209,GMO!H:H)+SUMIF('Arai 7121'!H:H,'Tổng hợp tiền thu theo mã U'!E209,'Arai 7121'!B:B)</f>
        <v>6000</v>
      </c>
      <c r="H209" s="70">
        <f t="shared" si="4"/>
        <v>6000</v>
      </c>
    </row>
    <row r="210" spans="4:8">
      <c r="D210">
        <v>208</v>
      </c>
      <c r="E210" s="65" t="s">
        <v>4036</v>
      </c>
      <c r="F210" s="110">
        <f>SUMIF('Yucho Arai'!N:N,'Tổng hợp tiền thu theo mã U'!E210,'Yucho Arai'!H:H)+SUMIF(GMO!I:I,'Tổng hợp tiền thu theo mã U'!E210,GMO!G:G)</f>
        <v>0</v>
      </c>
      <c r="G210" s="110">
        <f>SUMIF('Yucho Arai'!N:N,'Tổng hợp tiền thu theo mã U'!E210,'Yucho Arai'!I:I)+SUMIF(GMO!I:I,'Tổng hợp tiền thu theo mã U'!E210,GMO!H:H)+SUMIF('Arai 7121'!H:H,'Tổng hợp tiền thu theo mã U'!E210,'Arai 7121'!B:B)</f>
        <v>3000</v>
      </c>
      <c r="H210" s="70">
        <f t="shared" si="4"/>
        <v>3000</v>
      </c>
    </row>
    <row r="211" spans="4:8">
      <c r="D211">
        <v>209</v>
      </c>
      <c r="E211" s="65" t="s">
        <v>52</v>
      </c>
      <c r="F211" s="110">
        <f>SUMIF('Yucho Arai'!N:N,'Tổng hợp tiền thu theo mã U'!E211,'Yucho Arai'!H:H)+SUMIF(GMO!I:I,'Tổng hợp tiền thu theo mã U'!E211,GMO!G:G)</f>
        <v>0</v>
      </c>
      <c r="G211" s="110">
        <f>SUMIF('Yucho Arai'!N:N,'Tổng hợp tiền thu theo mã U'!E211,'Yucho Arai'!I:I)+SUMIF(GMO!I:I,'Tổng hợp tiền thu theo mã U'!E211,GMO!H:H)+SUMIF('Arai 7121'!H:H,'Tổng hợp tiền thu theo mã U'!E211,'Arai 7121'!B:B)</f>
        <v>2000</v>
      </c>
      <c r="H211" s="70">
        <f t="shared" si="4"/>
        <v>2000</v>
      </c>
    </row>
    <row r="212" spans="4:8">
      <c r="D212">
        <v>210</v>
      </c>
      <c r="E212" s="65" t="s">
        <v>4026</v>
      </c>
      <c r="F212" s="110">
        <f>SUMIF('Yucho Arai'!N:N,'Tổng hợp tiền thu theo mã U'!E212,'Yucho Arai'!H:H)+SUMIF(GMO!I:I,'Tổng hợp tiền thu theo mã U'!E212,GMO!G:G)</f>
        <v>0</v>
      </c>
      <c r="G212" s="110">
        <f>SUMIF('Yucho Arai'!N:N,'Tổng hợp tiền thu theo mã U'!E212,'Yucho Arai'!I:I)+SUMIF(GMO!I:I,'Tổng hợp tiền thu theo mã U'!E212,GMO!H:H)+SUMIF('Arai 7121'!H:H,'Tổng hợp tiền thu theo mã U'!E212,'Arai 7121'!B:B)</f>
        <v>4000</v>
      </c>
      <c r="H212" s="70">
        <f t="shared" si="4"/>
        <v>4000</v>
      </c>
    </row>
    <row r="213" spans="4:8">
      <c r="D213">
        <v>211</v>
      </c>
      <c r="E213" s="65" t="s">
        <v>4038</v>
      </c>
      <c r="F213" s="110">
        <f>SUMIF('Yucho Arai'!N:N,'Tổng hợp tiền thu theo mã U'!E213,'Yucho Arai'!H:H)+SUMIF(GMO!I:I,'Tổng hợp tiền thu theo mã U'!E213,GMO!G:G)</f>
        <v>0</v>
      </c>
      <c r="G213" s="110">
        <f>SUMIF('Yucho Arai'!N:N,'Tổng hợp tiền thu theo mã U'!E213,'Yucho Arai'!I:I)+SUMIF(GMO!I:I,'Tổng hợp tiền thu theo mã U'!E213,GMO!H:H)+SUMIF('Arai 7121'!H:H,'Tổng hợp tiền thu theo mã U'!E213,'Arai 7121'!B:B)</f>
        <v>2000</v>
      </c>
      <c r="H213" s="70">
        <f t="shared" si="4"/>
        <v>2000</v>
      </c>
    </row>
    <row r="214" spans="4:8">
      <c r="D214">
        <v>212</v>
      </c>
      <c r="E214" s="65" t="s">
        <v>79</v>
      </c>
      <c r="F214" s="110">
        <f>SUMIF('Yucho Arai'!N:N,'Tổng hợp tiền thu theo mã U'!E214,'Yucho Arai'!H:H)+SUMIF(GMO!I:I,'Tổng hợp tiền thu theo mã U'!E214,GMO!G:G)</f>
        <v>0</v>
      </c>
      <c r="G214" s="110">
        <f>SUMIF('Yucho Arai'!N:N,'Tổng hợp tiền thu theo mã U'!E214,'Yucho Arai'!I:I)+SUMIF(GMO!I:I,'Tổng hợp tiền thu theo mã U'!E214,GMO!H:H)+SUMIF('Arai 7121'!H:H,'Tổng hợp tiền thu theo mã U'!E214,'Arai 7121'!B:B)</f>
        <v>4000</v>
      </c>
      <c r="H214" s="70">
        <f t="shared" si="4"/>
        <v>4000</v>
      </c>
    </row>
    <row r="215" spans="4:8">
      <c r="D215">
        <v>213</v>
      </c>
      <c r="E215" s="65" t="s">
        <v>4050</v>
      </c>
      <c r="F215" s="110">
        <f>SUMIF('Yucho Arai'!N:N,'Tổng hợp tiền thu theo mã U'!E215,'Yucho Arai'!H:H)+SUMIF(GMO!I:I,'Tổng hợp tiền thu theo mã U'!E215,GMO!G:G)</f>
        <v>0</v>
      </c>
      <c r="G215" s="110">
        <f>SUMIF('Yucho Arai'!N:N,'Tổng hợp tiền thu theo mã U'!E215,'Yucho Arai'!I:I)+SUMIF(GMO!I:I,'Tổng hợp tiền thu theo mã U'!E215,GMO!H:H)+SUMIF('Arai 7121'!H:H,'Tổng hợp tiền thu theo mã U'!E215,'Arai 7121'!B:B)</f>
        <v>2000</v>
      </c>
      <c r="H215" s="70">
        <f t="shared" si="4"/>
        <v>2000</v>
      </c>
    </row>
    <row r="216" spans="4:8">
      <c r="D216">
        <v>214</v>
      </c>
      <c r="E216" s="65" t="s">
        <v>4063</v>
      </c>
      <c r="F216" s="110">
        <f>SUMIF('Yucho Arai'!N:N,'Tổng hợp tiền thu theo mã U'!E216,'Yucho Arai'!H:H)+SUMIF(GMO!I:I,'Tổng hợp tiền thu theo mã U'!E216,GMO!G:G)</f>
        <v>0</v>
      </c>
      <c r="G216" s="110">
        <f>SUMIF('Yucho Arai'!N:N,'Tổng hợp tiền thu theo mã U'!E216,'Yucho Arai'!I:I)+SUMIF(GMO!I:I,'Tổng hợp tiền thu theo mã U'!E216,GMO!H:H)+SUMIF('Arai 7121'!H:H,'Tổng hợp tiền thu theo mã U'!E216,'Arai 7121'!B:B)</f>
        <v>2000</v>
      </c>
      <c r="H216" s="70">
        <f t="shared" si="4"/>
        <v>2000</v>
      </c>
    </row>
    <row r="217" spans="4:8">
      <c r="D217">
        <v>215</v>
      </c>
      <c r="E217" s="65" t="s">
        <v>2148</v>
      </c>
      <c r="F217" s="110">
        <f>SUMIF('Yucho Arai'!N:N,'Tổng hợp tiền thu theo mã U'!E217,'Yucho Arai'!H:H)+SUMIF(GMO!I:I,'Tổng hợp tiền thu theo mã U'!E217,GMO!G:G)</f>
        <v>0</v>
      </c>
      <c r="G217" s="110">
        <f>SUMIF('Yucho Arai'!N:N,'Tổng hợp tiền thu theo mã U'!E217,'Yucho Arai'!I:I)+SUMIF(GMO!I:I,'Tổng hợp tiền thu theo mã U'!E217,GMO!H:H)+SUMIF('Arai 7121'!H:H,'Tổng hợp tiền thu theo mã U'!E217,'Arai 7121'!B:B)</f>
        <v>1500</v>
      </c>
      <c r="H217" s="70">
        <f t="shared" si="4"/>
        <v>1500</v>
      </c>
    </row>
    <row r="218" spans="4:8">
      <c r="D218">
        <v>216</v>
      </c>
      <c r="E218" t="s">
        <v>70</v>
      </c>
      <c r="F218" s="110">
        <f>SUMIF('Yucho Arai'!N:N,'Tổng hợp tiền thu theo mã U'!E218,'Yucho Arai'!H:H)+SUMIF(GMO!I:I,'Tổng hợp tiền thu theo mã U'!E218,GMO!G:G)</f>
        <v>0</v>
      </c>
      <c r="G218" s="110">
        <f>SUMIF('Yucho Arai'!N:N,'Tổng hợp tiền thu theo mã U'!E218,'Yucho Arai'!I:I)+SUMIF(GMO!I:I,'Tổng hợp tiền thu theo mã U'!E218,GMO!H:H)+SUMIF('Arai 7121'!H:H,'Tổng hợp tiền thu theo mã U'!E218,'Arai 7121'!B:B)</f>
        <v>3000</v>
      </c>
      <c r="H218" s="70">
        <f t="shared" si="4"/>
        <v>3000</v>
      </c>
    </row>
    <row r="219" spans="4:8">
      <c r="D219">
        <v>217</v>
      </c>
      <c r="E219" s="65" t="s">
        <v>29</v>
      </c>
      <c r="F219" s="110">
        <f>SUMIF('Yucho Arai'!N:N,'Tổng hợp tiền thu theo mã U'!E219,'Yucho Arai'!H:H)+SUMIF(GMO!I:I,'Tổng hợp tiền thu theo mã U'!E219,GMO!G:G)</f>
        <v>0</v>
      </c>
      <c r="G219" s="110">
        <f>SUMIF('Yucho Arai'!N:N,'Tổng hợp tiền thu theo mã U'!E219,'Yucho Arai'!I:I)+SUMIF(GMO!I:I,'Tổng hợp tiền thu theo mã U'!E219,GMO!H:H)+SUMIF('Arai 7121'!H:H,'Tổng hợp tiền thu theo mã U'!E219,'Arai 7121'!B:B)</f>
        <v>2000</v>
      </c>
      <c r="H219" s="70">
        <f t="shared" si="4"/>
        <v>2000</v>
      </c>
    </row>
    <row r="220" spans="4:8">
      <c r="D220">
        <v>218</v>
      </c>
      <c r="E220" s="65" t="s">
        <v>50</v>
      </c>
      <c r="F220" s="110">
        <f>SUMIF('Yucho Arai'!N:N,'Tổng hợp tiền thu theo mã U'!E220,'Yucho Arai'!H:H)+SUMIF(GMO!I:I,'Tổng hợp tiền thu theo mã U'!E220,GMO!G:G)</f>
        <v>0</v>
      </c>
      <c r="G220" s="110">
        <f>SUMIF('Yucho Arai'!N:N,'Tổng hợp tiền thu theo mã U'!E220,'Yucho Arai'!I:I)+SUMIF(GMO!I:I,'Tổng hợp tiền thu theo mã U'!E220,GMO!H:H)+SUMIF('Arai 7121'!H:H,'Tổng hợp tiền thu theo mã U'!E220,'Arai 7121'!B:B)</f>
        <v>3000</v>
      </c>
      <c r="H220" s="70">
        <f t="shared" si="4"/>
        <v>3000</v>
      </c>
    </row>
    <row r="221" spans="4:8">
      <c r="D221">
        <v>219</v>
      </c>
      <c r="E221" s="65" t="s">
        <v>4009</v>
      </c>
      <c r="F221" s="110">
        <f>SUMIF('Yucho Arai'!N:N,'Tổng hợp tiền thu theo mã U'!E221,'Yucho Arai'!H:H)+SUMIF(GMO!I:I,'Tổng hợp tiền thu theo mã U'!E221,GMO!G:G)</f>
        <v>0</v>
      </c>
      <c r="G221" s="110">
        <f>SUMIF('Yucho Arai'!N:N,'Tổng hợp tiền thu theo mã U'!E221,'Yucho Arai'!I:I)+SUMIF(GMO!I:I,'Tổng hợp tiền thu theo mã U'!E221,GMO!H:H)+SUMIF('Arai 7121'!H:H,'Tổng hợp tiền thu theo mã U'!E221,'Arai 7121'!B:B)</f>
        <v>4000</v>
      </c>
      <c r="H221" s="70">
        <f t="shared" si="4"/>
        <v>4000</v>
      </c>
    </row>
    <row r="222" spans="4:8">
      <c r="D222">
        <v>220</v>
      </c>
      <c r="E222" t="s">
        <v>874</v>
      </c>
      <c r="F222" s="110">
        <f>SUMIF('Yucho Arai'!N:N,'Tổng hợp tiền thu theo mã U'!E222,'Yucho Arai'!H:H)+SUMIF(GMO!I:I,'Tổng hợp tiền thu theo mã U'!E222,GMO!G:G)</f>
        <v>500</v>
      </c>
      <c r="G222" s="110">
        <f>SUMIF('Yucho Arai'!N:N,'Tổng hợp tiền thu theo mã U'!E222,'Yucho Arai'!I:I)+SUMIF(GMO!I:I,'Tổng hợp tiền thu theo mã U'!E222,GMO!H:H)+SUMIF('Arai 7121'!H:H,'Tổng hợp tiền thu theo mã U'!E222,'Arai 7121'!B:B)</f>
        <v>0</v>
      </c>
      <c r="H222" s="70">
        <f t="shared" si="4"/>
        <v>500</v>
      </c>
    </row>
    <row r="223" spans="4:8">
      <c r="D223">
        <v>221</v>
      </c>
      <c r="E223" t="s">
        <v>400</v>
      </c>
      <c r="F223" s="110">
        <f>SUMIF('Yucho Arai'!N:N,'Tổng hợp tiền thu theo mã U'!E223,'Yucho Arai'!H:H)+SUMIF(GMO!I:I,'Tổng hợp tiền thu theo mã U'!E223,GMO!G:G)</f>
        <v>500</v>
      </c>
      <c r="G223" s="110">
        <f>SUMIF('Yucho Arai'!N:N,'Tổng hợp tiền thu theo mã U'!E223,'Yucho Arai'!I:I)+SUMIF(GMO!I:I,'Tổng hợp tiền thu theo mã U'!E223,GMO!H:H)+SUMIF('Arai 7121'!H:H,'Tổng hợp tiền thu theo mã U'!E223,'Arai 7121'!B:B)</f>
        <v>0</v>
      </c>
      <c r="H223" s="70">
        <f t="shared" si="4"/>
        <v>500</v>
      </c>
    </row>
    <row r="224" spans="4:8">
      <c r="D224">
        <v>222</v>
      </c>
      <c r="E224" t="s">
        <v>94</v>
      </c>
      <c r="F224" s="110">
        <f>SUMIF('Yucho Arai'!N:N,'Tổng hợp tiền thu theo mã U'!E224,'Yucho Arai'!H:H)+SUMIF(GMO!I:I,'Tổng hợp tiền thu theo mã U'!E224,GMO!G:G)</f>
        <v>0</v>
      </c>
      <c r="G224" s="110">
        <f>SUMIF('Yucho Arai'!N:N,'Tổng hợp tiền thu theo mã U'!E224,'Yucho Arai'!I:I)+SUMIF(GMO!I:I,'Tổng hợp tiền thu theo mã U'!E224,GMO!H:H)+SUMIF('Arai 7121'!H:H,'Tổng hợp tiền thu theo mã U'!E224,'Arai 7121'!B:B)</f>
        <v>6000</v>
      </c>
      <c r="H224" s="70">
        <f t="shared" si="4"/>
        <v>6000</v>
      </c>
    </row>
    <row r="225" spans="4:8">
      <c r="D225">
        <v>223</v>
      </c>
      <c r="E225" s="65" t="s">
        <v>4051</v>
      </c>
      <c r="F225" s="110">
        <f>SUMIF('Yucho Arai'!N:N,'Tổng hợp tiền thu theo mã U'!E225,'Yucho Arai'!H:H)+SUMIF(GMO!I:I,'Tổng hợp tiền thu theo mã U'!E225,GMO!G:G)</f>
        <v>0</v>
      </c>
      <c r="G225" s="110">
        <f>SUMIF('Yucho Arai'!N:N,'Tổng hợp tiền thu theo mã U'!E225,'Yucho Arai'!I:I)+SUMIF(GMO!I:I,'Tổng hợp tiền thu theo mã U'!E225,GMO!H:H)+SUMIF('Arai 7121'!H:H,'Tổng hợp tiền thu theo mã U'!E225,'Arai 7121'!B:B)</f>
        <v>4000</v>
      </c>
      <c r="H225" s="70">
        <f t="shared" si="4"/>
        <v>4000</v>
      </c>
    </row>
    <row r="226" spans="4:8">
      <c r="D226">
        <v>224</v>
      </c>
      <c r="E226" t="s">
        <v>4095</v>
      </c>
      <c r="F226" s="110">
        <f>SUMIF('Yucho Arai'!N:N,'Tổng hợp tiền thu theo mã U'!E226,'Yucho Arai'!H:H)+SUMIF(GMO!I:I,'Tổng hợp tiền thu theo mã U'!E226,GMO!G:G)</f>
        <v>493</v>
      </c>
      <c r="G226" s="110">
        <f>SUMIF('Yucho Arai'!N:N,'Tổng hợp tiền thu theo mã U'!E226,'Yucho Arai'!I:I)+SUMIF(GMO!I:I,'Tổng hợp tiền thu theo mã U'!E226,GMO!H:H)+SUMIF('Arai 7121'!H:H,'Tổng hợp tiền thu theo mã U'!E226,'Arai 7121'!B:B)</f>
        <v>0</v>
      </c>
      <c r="H226" s="70">
        <f t="shared" si="4"/>
        <v>493</v>
      </c>
    </row>
    <row r="227" spans="4:8">
      <c r="D227">
        <v>225</v>
      </c>
      <c r="E227" t="s">
        <v>104</v>
      </c>
      <c r="F227" s="110">
        <f>SUMIF('Yucho Arai'!N:N,'Tổng hợp tiền thu theo mã U'!E227,'Yucho Arai'!H:H)+SUMIF(GMO!I:I,'Tổng hợp tiền thu theo mã U'!E227,GMO!G:G)</f>
        <v>0</v>
      </c>
      <c r="G227" s="110">
        <f>SUMIF('Yucho Arai'!N:N,'Tổng hợp tiền thu theo mã U'!E227,'Yucho Arai'!I:I)+SUMIF(GMO!I:I,'Tổng hợp tiền thu theo mã U'!E227,GMO!H:H)+SUMIF('Arai 7121'!H:H,'Tổng hợp tiền thu theo mã U'!E227,'Arai 7121'!B:B)</f>
        <v>2000</v>
      </c>
      <c r="H227" s="70">
        <f t="shared" si="4"/>
        <v>2000</v>
      </c>
    </row>
    <row r="228" spans="4:8">
      <c r="D228">
        <v>226</v>
      </c>
      <c r="E228" t="s">
        <v>4024</v>
      </c>
      <c r="F228" s="110">
        <f>SUMIF('Yucho Arai'!N:N,'Tổng hợp tiền thu theo mã U'!E228,'Yucho Arai'!H:H)+SUMIF(GMO!I:I,'Tổng hợp tiền thu theo mã U'!E228,GMO!G:G)</f>
        <v>0</v>
      </c>
      <c r="G228" s="110">
        <f>SUMIF('Yucho Arai'!N:N,'Tổng hợp tiền thu theo mã U'!E228,'Yucho Arai'!I:I)+SUMIF(GMO!I:I,'Tổng hợp tiền thu theo mã U'!E228,GMO!H:H)+SUMIF('Arai 7121'!H:H,'Tổng hợp tiền thu theo mã U'!E228,'Arai 7121'!B:B)</f>
        <v>4000</v>
      </c>
      <c r="H228" s="70">
        <f t="shared" si="4"/>
        <v>4000</v>
      </c>
    </row>
    <row r="229" spans="4:8">
      <c r="D229">
        <v>227</v>
      </c>
      <c r="E229" t="s">
        <v>644</v>
      </c>
      <c r="F229" s="110">
        <f>SUMIF('Yucho Arai'!N:N,'Tổng hợp tiền thu theo mã U'!E229,'Yucho Arai'!H:H)+SUMIF(GMO!I:I,'Tổng hợp tiền thu theo mã U'!E229,GMO!G:G)</f>
        <v>500</v>
      </c>
      <c r="G229" s="110">
        <f>SUMIF('Yucho Arai'!N:N,'Tổng hợp tiền thu theo mã U'!E229,'Yucho Arai'!I:I)+SUMIF(GMO!I:I,'Tổng hợp tiền thu theo mã U'!E229,GMO!H:H)+SUMIF('Arai 7121'!H:H,'Tổng hợp tiền thu theo mã U'!E229,'Arai 7121'!B:B)</f>
        <v>0</v>
      </c>
      <c r="H229" s="70">
        <f t="shared" si="4"/>
        <v>500</v>
      </c>
    </row>
    <row r="230" spans="4:8">
      <c r="D230">
        <v>228</v>
      </c>
      <c r="E230" s="65" t="s">
        <v>4052</v>
      </c>
      <c r="F230" s="110">
        <f>SUMIF('Yucho Arai'!N:N,'Tổng hợp tiền thu theo mã U'!E230,'Yucho Arai'!H:H)+SUMIF(GMO!I:I,'Tổng hợp tiền thu theo mã U'!E230,GMO!G:G)</f>
        <v>0</v>
      </c>
      <c r="G230" s="110">
        <f>SUMIF('Yucho Arai'!N:N,'Tổng hợp tiền thu theo mã U'!E230,'Yucho Arai'!I:I)+SUMIF(GMO!I:I,'Tổng hợp tiền thu theo mã U'!E230,GMO!H:H)+SUMIF('Arai 7121'!H:H,'Tổng hợp tiền thu theo mã U'!E230,'Arai 7121'!B:B)</f>
        <v>4000</v>
      </c>
      <c r="H230" s="70">
        <f t="shared" si="4"/>
        <v>4000</v>
      </c>
    </row>
    <row r="231" spans="4:8">
      <c r="D231">
        <v>229</v>
      </c>
      <c r="E231" s="65" t="s">
        <v>4096</v>
      </c>
      <c r="F231" s="110">
        <f>SUMIF('Yucho Arai'!N:N,'Tổng hợp tiền thu theo mã U'!E231,'Yucho Arai'!H:H)+SUMIF(GMO!I:I,'Tổng hợp tiền thu theo mã U'!E231,GMO!G:G)</f>
        <v>0</v>
      </c>
      <c r="G231" s="110">
        <f>SUMIF('Yucho Arai'!N:N,'Tổng hợp tiền thu theo mã U'!E231,'Yucho Arai'!I:I)+SUMIF(GMO!I:I,'Tổng hợp tiền thu theo mã U'!E231,GMO!H:H)+SUMIF('Arai 7121'!H:H,'Tổng hợp tiền thu theo mã U'!E231,'Arai 7121'!B:B)</f>
        <v>1000</v>
      </c>
      <c r="H231" s="70">
        <f t="shared" si="4"/>
        <v>1000</v>
      </c>
    </row>
    <row r="232" spans="4:8">
      <c r="D232">
        <v>230</v>
      </c>
      <c r="E232" t="s">
        <v>4099</v>
      </c>
      <c r="F232" s="110">
        <f>SUMIF('Yucho Arai'!N:N,'Tổng hợp tiền thu theo mã U'!E232,'Yucho Arai'!H:H)+SUMIF(GMO!I:I,'Tổng hợp tiền thu theo mã U'!E232,GMO!G:G)</f>
        <v>493</v>
      </c>
      <c r="G232" s="110">
        <f>SUMIF('Yucho Arai'!N:N,'Tổng hợp tiền thu theo mã U'!E232,'Yucho Arai'!I:I)+SUMIF(GMO!I:I,'Tổng hợp tiền thu theo mã U'!E232,GMO!H:H)+SUMIF('Arai 7121'!H:H,'Tổng hợp tiền thu theo mã U'!E232,'Arai 7121'!B:B)</f>
        <v>0</v>
      </c>
      <c r="H232" s="70">
        <f t="shared" si="4"/>
        <v>493</v>
      </c>
    </row>
    <row r="233" spans="4:8">
      <c r="D233">
        <v>231</v>
      </c>
      <c r="E233" t="s">
        <v>1062</v>
      </c>
      <c r="F233" s="110">
        <f>SUMIF('Yucho Arai'!N:N,'Tổng hợp tiền thu theo mã U'!E233,'Yucho Arai'!H:H)+SUMIF(GMO!I:I,'Tổng hợp tiền thu theo mã U'!E233,GMO!G:G)</f>
        <v>500</v>
      </c>
      <c r="G233" s="110">
        <f>SUMIF('Yucho Arai'!N:N,'Tổng hợp tiền thu theo mã U'!E233,'Yucho Arai'!I:I)+SUMIF(GMO!I:I,'Tổng hợp tiền thu theo mã U'!E233,GMO!H:H)+SUMIF('Arai 7121'!H:H,'Tổng hợp tiền thu theo mã U'!E233,'Arai 7121'!B:B)</f>
        <v>0</v>
      </c>
      <c r="H233" s="70">
        <f t="shared" si="4"/>
        <v>500</v>
      </c>
    </row>
    <row r="234" spans="4:8">
      <c r="D234">
        <v>232</v>
      </c>
      <c r="E234" s="65" t="s">
        <v>4055</v>
      </c>
      <c r="F234" s="110">
        <f>SUMIF('Yucho Arai'!N:N,'Tổng hợp tiền thu theo mã U'!E234,'Yucho Arai'!H:H)+SUMIF(GMO!I:I,'Tổng hợp tiền thu theo mã U'!E234,GMO!G:G)</f>
        <v>0</v>
      </c>
      <c r="G234" s="110">
        <f>SUMIF('Yucho Arai'!N:N,'Tổng hợp tiền thu theo mã U'!E234,'Yucho Arai'!I:I)+SUMIF(GMO!I:I,'Tổng hợp tiền thu theo mã U'!E234,GMO!H:H)+SUMIF('Arai 7121'!H:H,'Tổng hợp tiền thu theo mã U'!E234,'Arai 7121'!B:B)</f>
        <v>2000</v>
      </c>
      <c r="H234" s="70">
        <f t="shared" si="4"/>
        <v>2000</v>
      </c>
    </row>
    <row r="235" spans="4:8">
      <c r="D235">
        <v>233</v>
      </c>
      <c r="E235" s="65" t="s">
        <v>4053</v>
      </c>
      <c r="F235" s="110">
        <f>SUMIF('Yucho Arai'!N:N,'Tổng hợp tiền thu theo mã U'!E235,'Yucho Arai'!H:H)+SUMIF(GMO!I:I,'Tổng hợp tiền thu theo mã U'!E235,GMO!G:G)</f>
        <v>0</v>
      </c>
      <c r="G235" s="110">
        <f>SUMIF('Yucho Arai'!N:N,'Tổng hợp tiền thu theo mã U'!E235,'Yucho Arai'!I:I)+SUMIF(GMO!I:I,'Tổng hợp tiền thu theo mã U'!E235,GMO!H:H)+SUMIF('Arai 7121'!H:H,'Tổng hợp tiền thu theo mã U'!E235,'Arai 7121'!B:B)</f>
        <v>4000</v>
      </c>
      <c r="H235" s="70">
        <f t="shared" si="4"/>
        <v>4000</v>
      </c>
    </row>
    <row r="236" spans="4:8">
      <c r="D236">
        <v>234</v>
      </c>
      <c r="E236" t="s">
        <v>4101</v>
      </c>
      <c r="F236" s="110">
        <f>SUMIF('Yucho Arai'!N:N,'Tổng hợp tiền thu theo mã U'!E236,'Yucho Arai'!H:H)+SUMIF(GMO!I:I,'Tổng hợp tiền thu theo mã U'!E236,GMO!G:G)</f>
        <v>493</v>
      </c>
      <c r="G236" s="110">
        <f>SUMIF('Yucho Arai'!N:N,'Tổng hợp tiền thu theo mã U'!E236,'Yucho Arai'!I:I)+SUMIF(GMO!I:I,'Tổng hợp tiền thu theo mã U'!E236,GMO!H:H)+SUMIF('Arai 7121'!H:H,'Tổng hợp tiền thu theo mã U'!E236,'Arai 7121'!B:B)</f>
        <v>0</v>
      </c>
      <c r="H236" s="70">
        <f t="shared" si="4"/>
        <v>493</v>
      </c>
    </row>
    <row r="237" spans="4:8">
      <c r="D237">
        <v>235</v>
      </c>
      <c r="E237" s="65" t="s">
        <v>81</v>
      </c>
      <c r="F237" s="110">
        <f>SUMIF('Yucho Arai'!N:N,'Tổng hợp tiền thu theo mã U'!E237,'Yucho Arai'!H:H)+SUMIF(GMO!I:I,'Tổng hợp tiền thu theo mã U'!E237,GMO!G:G)</f>
        <v>0</v>
      </c>
      <c r="G237" s="110">
        <f>SUMIF('Yucho Arai'!N:N,'Tổng hợp tiền thu theo mã U'!E237,'Yucho Arai'!I:I)+SUMIF(GMO!I:I,'Tổng hợp tiền thu theo mã U'!E237,GMO!H:H)+SUMIF('Arai 7121'!H:H,'Tổng hợp tiền thu theo mã U'!E237,'Arai 7121'!B:B)</f>
        <v>2000</v>
      </c>
      <c r="H237" s="70">
        <f t="shared" si="4"/>
        <v>2000</v>
      </c>
    </row>
    <row r="238" spans="4:8">
      <c r="D238">
        <v>236</v>
      </c>
      <c r="E238" s="65" t="s">
        <v>2150</v>
      </c>
      <c r="F238" s="110">
        <f>SUMIF('Yucho Arai'!N:N,'Tổng hợp tiền thu theo mã U'!E238,'Yucho Arai'!H:H)+SUMIF(GMO!I:I,'Tổng hợp tiền thu theo mã U'!E238,GMO!G:G)</f>
        <v>0</v>
      </c>
      <c r="G238" s="110">
        <f>SUMIF('Yucho Arai'!N:N,'Tổng hợp tiền thu theo mã U'!E238,'Yucho Arai'!I:I)+SUMIF(GMO!I:I,'Tổng hợp tiền thu theo mã U'!E238,GMO!H:H)+SUMIF('Arai 7121'!H:H,'Tổng hợp tiền thu theo mã U'!E238,'Arai 7121'!B:B)</f>
        <v>2000</v>
      </c>
      <c r="H238" s="70">
        <f t="shared" si="4"/>
        <v>2000</v>
      </c>
    </row>
    <row r="239" spans="4:8">
      <c r="D239">
        <v>237</v>
      </c>
      <c r="E239" s="65" t="s">
        <v>4044</v>
      </c>
      <c r="F239" s="110">
        <f>SUMIF('Yucho Arai'!N:N,'Tổng hợp tiền thu theo mã U'!E239,'Yucho Arai'!H:H)+SUMIF(GMO!I:I,'Tổng hợp tiền thu theo mã U'!E239,GMO!G:G)</f>
        <v>0</v>
      </c>
      <c r="G239" s="110">
        <f>SUMIF('Yucho Arai'!N:N,'Tổng hợp tiền thu theo mã U'!E239,'Yucho Arai'!I:I)+SUMIF(GMO!I:I,'Tổng hợp tiền thu theo mã U'!E239,GMO!H:H)+SUMIF('Arai 7121'!H:H,'Tổng hợp tiền thu theo mã U'!E239,'Arai 7121'!B:B)</f>
        <v>1000</v>
      </c>
      <c r="H239" s="70">
        <f t="shared" si="4"/>
        <v>1000</v>
      </c>
    </row>
    <row r="240" spans="4:8">
      <c r="D240">
        <v>238</v>
      </c>
      <c r="E240" s="65" t="s">
        <v>1309</v>
      </c>
      <c r="F240" s="110">
        <f>SUMIF('Yucho Arai'!N:N,'Tổng hợp tiền thu theo mã U'!E240,'Yucho Arai'!H:H)+SUMIF(GMO!I:I,'Tổng hợp tiền thu theo mã U'!E240,GMO!G:G)</f>
        <v>0</v>
      </c>
      <c r="G240" s="110">
        <f>SUMIF('Yucho Arai'!N:N,'Tổng hợp tiền thu theo mã U'!E240,'Yucho Arai'!I:I)+SUMIF(GMO!I:I,'Tổng hợp tiền thu theo mã U'!E240,GMO!H:H)+SUMIF('Arai 7121'!H:H,'Tổng hợp tiền thu theo mã U'!E240,'Arai 7121'!B:B)</f>
        <v>2000</v>
      </c>
      <c r="H240" s="70">
        <f t="shared" si="4"/>
        <v>2000</v>
      </c>
    </row>
    <row r="241" spans="4:8">
      <c r="D241">
        <v>239</v>
      </c>
      <c r="E241" s="65" t="s">
        <v>4117</v>
      </c>
      <c r="F241" s="110">
        <f>SUMIF('Yucho Arai'!N:N,'Tổng hợp tiền thu theo mã U'!E241,'Yucho Arai'!H:H)+SUMIF(GMO!I:I,'Tổng hợp tiền thu theo mã U'!E241,GMO!G:G)</f>
        <v>0</v>
      </c>
      <c r="G241" s="110">
        <f>SUMIF('Yucho Arai'!N:N,'Tổng hợp tiền thu theo mã U'!E241,'Yucho Arai'!I:I)+SUMIF(GMO!I:I,'Tổng hợp tiền thu theo mã U'!E241,GMO!H:H)+SUMIF('Arai 7121'!H:H,'Tổng hợp tiền thu theo mã U'!E241,'Arai 7121'!B:B)</f>
        <v>2000</v>
      </c>
      <c r="H241" s="70">
        <f t="shared" si="4"/>
        <v>2000</v>
      </c>
    </row>
    <row r="242" spans="4:8">
      <c r="D242">
        <v>240</v>
      </c>
      <c r="E242" s="65" t="s">
        <v>4012</v>
      </c>
      <c r="F242" s="110">
        <f>SUMIF('Yucho Arai'!N:N,'Tổng hợp tiền thu theo mã U'!E242,'Yucho Arai'!H:H)+SUMIF(GMO!I:I,'Tổng hợp tiền thu theo mã U'!E242,GMO!G:G)</f>
        <v>0</v>
      </c>
      <c r="G242" s="110">
        <f>SUMIF('Yucho Arai'!N:N,'Tổng hợp tiền thu theo mã U'!E242,'Yucho Arai'!I:I)+SUMIF(GMO!I:I,'Tổng hợp tiền thu theo mã U'!E242,GMO!H:H)+SUMIF('Arai 7121'!H:H,'Tổng hợp tiền thu theo mã U'!E242,'Arai 7121'!B:B)</f>
        <v>4000</v>
      </c>
      <c r="H242" s="70">
        <f t="shared" si="4"/>
        <v>4000</v>
      </c>
    </row>
    <row r="243" spans="4:8">
      <c r="D243">
        <v>241</v>
      </c>
      <c r="E243" s="65" t="s">
        <v>4058</v>
      </c>
      <c r="F243" s="110">
        <f>SUMIF('Yucho Arai'!N:N,'Tổng hợp tiền thu theo mã U'!E243,'Yucho Arai'!H:H)+SUMIF(GMO!I:I,'Tổng hợp tiền thu theo mã U'!E243,GMO!G:G)</f>
        <v>0</v>
      </c>
      <c r="G243" s="110">
        <f>SUMIF('Yucho Arai'!N:N,'Tổng hợp tiền thu theo mã U'!E243,'Yucho Arai'!I:I)+SUMIF(GMO!I:I,'Tổng hợp tiền thu theo mã U'!E243,GMO!H:H)+SUMIF('Arai 7121'!H:H,'Tổng hợp tiền thu theo mã U'!E243,'Arai 7121'!B:B)</f>
        <v>4000</v>
      </c>
      <c r="H243" s="70">
        <f t="shared" si="4"/>
        <v>4000</v>
      </c>
    </row>
    <row r="244" spans="4:8">
      <c r="D244">
        <v>242</v>
      </c>
      <c r="E244" s="65" t="s">
        <v>65</v>
      </c>
      <c r="F244" s="110">
        <f>SUMIF('Yucho Arai'!N:N,'Tổng hợp tiền thu theo mã U'!E244,'Yucho Arai'!H:H)+SUMIF(GMO!I:I,'Tổng hợp tiền thu theo mã U'!E244,GMO!G:G)</f>
        <v>0</v>
      </c>
      <c r="G244" s="110">
        <f>SUMIF('Yucho Arai'!N:N,'Tổng hợp tiền thu theo mã U'!E244,'Yucho Arai'!I:I)+SUMIF(GMO!I:I,'Tổng hợp tiền thu theo mã U'!E244,GMO!H:H)+SUMIF('Arai 7121'!H:H,'Tổng hợp tiền thu theo mã U'!E244,'Arai 7121'!B:B)</f>
        <v>2000</v>
      </c>
      <c r="H244" s="70">
        <f t="shared" si="4"/>
        <v>2000</v>
      </c>
    </row>
    <row r="245" spans="4:8">
      <c r="D245">
        <v>243</v>
      </c>
      <c r="E245" t="s">
        <v>4102</v>
      </c>
      <c r="F245" s="110">
        <f>SUMIF('Yucho Arai'!N:N,'Tổng hợp tiền thu theo mã U'!E245,'Yucho Arai'!H:H)+SUMIF(GMO!I:I,'Tổng hợp tiền thu theo mã U'!E245,GMO!G:G)</f>
        <v>500</v>
      </c>
      <c r="G245" s="110">
        <f>SUMIF('Yucho Arai'!N:N,'Tổng hợp tiền thu theo mã U'!E245,'Yucho Arai'!I:I)+SUMIF(GMO!I:I,'Tổng hợp tiền thu theo mã U'!E245,GMO!H:H)+SUMIF('Arai 7121'!H:H,'Tổng hợp tiền thu theo mã U'!E245,'Arai 7121'!B:B)</f>
        <v>0</v>
      </c>
      <c r="H245" s="70">
        <f t="shared" si="4"/>
        <v>500</v>
      </c>
    </row>
    <row r="246" spans="4:8">
      <c r="D246">
        <v>244</v>
      </c>
      <c r="E246" s="65" t="s">
        <v>101</v>
      </c>
      <c r="F246" s="110">
        <f>SUMIF('Yucho Arai'!N:N,'Tổng hợp tiền thu theo mã U'!E246,'Yucho Arai'!H:H)+SUMIF(GMO!I:I,'Tổng hợp tiền thu theo mã U'!E246,GMO!G:G)</f>
        <v>0</v>
      </c>
      <c r="G246" s="110">
        <f>SUMIF('Yucho Arai'!N:N,'Tổng hợp tiền thu theo mã U'!E246,'Yucho Arai'!I:I)+SUMIF(GMO!I:I,'Tổng hợp tiền thu theo mã U'!E246,GMO!H:H)+SUMIF('Arai 7121'!H:H,'Tổng hợp tiền thu theo mã U'!E246,'Arai 7121'!B:B)</f>
        <v>2000</v>
      </c>
      <c r="H246" s="70">
        <f t="shared" si="4"/>
        <v>2000</v>
      </c>
    </row>
    <row r="247" spans="4:8">
      <c r="D247">
        <v>245</v>
      </c>
      <c r="E247" s="65" t="s">
        <v>1306</v>
      </c>
      <c r="F247" s="110">
        <f>SUMIF('Yucho Arai'!N:N,'Tổng hợp tiền thu theo mã U'!E247,'Yucho Arai'!H:H)+SUMIF(GMO!I:I,'Tổng hợp tiền thu theo mã U'!E247,GMO!G:G)</f>
        <v>0</v>
      </c>
      <c r="G247" s="110">
        <f>SUMIF('Yucho Arai'!N:N,'Tổng hợp tiền thu theo mã U'!E247,'Yucho Arai'!I:I)+SUMIF(GMO!I:I,'Tổng hợp tiền thu theo mã U'!E247,GMO!H:H)+SUMIF('Arai 7121'!H:H,'Tổng hợp tiền thu theo mã U'!E247,'Arai 7121'!B:B)</f>
        <v>2000</v>
      </c>
      <c r="H247" s="70">
        <f t="shared" si="4"/>
        <v>2000</v>
      </c>
    </row>
    <row r="248" spans="4:8">
      <c r="D248">
        <v>246</v>
      </c>
      <c r="E248" s="65" t="s">
        <v>4006</v>
      </c>
      <c r="F248" s="110">
        <f>SUMIF('Yucho Arai'!N:N,'Tổng hợp tiền thu theo mã U'!E248,'Yucho Arai'!H:H)+SUMIF(GMO!I:I,'Tổng hợp tiền thu theo mã U'!E248,GMO!G:G)</f>
        <v>0</v>
      </c>
      <c r="G248" s="110">
        <f>SUMIF('Yucho Arai'!N:N,'Tổng hợp tiền thu theo mã U'!E248,'Yucho Arai'!I:I)+SUMIF(GMO!I:I,'Tổng hợp tiền thu theo mã U'!E248,GMO!H:H)+SUMIF('Arai 7121'!H:H,'Tổng hợp tiền thu theo mã U'!E248,'Arai 7121'!B:B)</f>
        <v>4000</v>
      </c>
      <c r="H248" s="70">
        <f t="shared" si="4"/>
        <v>4000</v>
      </c>
    </row>
    <row r="249" spans="4:8">
      <c r="D249">
        <v>247</v>
      </c>
      <c r="E249" s="65" t="s">
        <v>42</v>
      </c>
      <c r="F249" s="110">
        <f>SUMIF('Yucho Arai'!N:N,'Tổng hợp tiền thu theo mã U'!E249,'Yucho Arai'!H:H)+SUMIF(GMO!I:I,'Tổng hợp tiền thu theo mã U'!E249,GMO!G:G)</f>
        <v>0</v>
      </c>
      <c r="G249" s="110">
        <f>SUMIF('Yucho Arai'!N:N,'Tổng hợp tiền thu theo mã U'!E249,'Yucho Arai'!I:I)+SUMIF(GMO!I:I,'Tổng hợp tiền thu theo mã U'!E249,GMO!H:H)+SUMIF('Arai 7121'!H:H,'Tổng hợp tiền thu theo mã U'!E249,'Arai 7121'!B:B)</f>
        <v>4000</v>
      </c>
      <c r="H249" s="70">
        <f t="shared" si="4"/>
        <v>4000</v>
      </c>
    </row>
    <row r="250" spans="4:8">
      <c r="D250">
        <v>248</v>
      </c>
      <c r="E250" t="s">
        <v>1061</v>
      </c>
      <c r="F250" s="110">
        <f>SUMIF('Yucho Arai'!N:N,'Tổng hợp tiền thu theo mã U'!E250,'Yucho Arai'!H:H)+SUMIF(GMO!I:I,'Tổng hợp tiền thu theo mã U'!E250,GMO!G:G)</f>
        <v>4000</v>
      </c>
      <c r="G250" s="110">
        <f>SUMIF('Yucho Arai'!N:N,'Tổng hợp tiền thu theo mã U'!E250,'Yucho Arai'!I:I)+SUMIF(GMO!I:I,'Tổng hợp tiền thu theo mã U'!E250,GMO!H:H)+SUMIF('Arai 7121'!H:H,'Tổng hợp tiền thu theo mã U'!E250,'Arai 7121'!B:B)</f>
        <v>0</v>
      </c>
      <c r="H250" s="70">
        <f t="shared" si="4"/>
        <v>4000</v>
      </c>
    </row>
    <row r="251" spans="4:8">
      <c r="D251">
        <v>249</v>
      </c>
      <c r="E251" s="65" t="s">
        <v>1312</v>
      </c>
      <c r="F251" s="110">
        <f>SUMIF('Yucho Arai'!N:N,'Tổng hợp tiền thu theo mã U'!E251,'Yucho Arai'!H:H)+SUMIF(GMO!I:I,'Tổng hợp tiền thu theo mã U'!E251,GMO!G:G)</f>
        <v>0</v>
      </c>
      <c r="G251" s="110">
        <f>SUMIF('Yucho Arai'!N:N,'Tổng hợp tiền thu theo mã U'!E251,'Yucho Arai'!I:I)+SUMIF(GMO!I:I,'Tổng hợp tiền thu theo mã U'!E251,GMO!H:H)+SUMIF('Arai 7121'!H:H,'Tổng hợp tiền thu theo mã U'!E251,'Arai 7121'!B:B)</f>
        <v>4000</v>
      </c>
      <c r="H251" s="70">
        <f t="shared" si="4"/>
        <v>4000</v>
      </c>
    </row>
    <row r="252" spans="4:8">
      <c r="D252">
        <v>250</v>
      </c>
      <c r="E252" s="65" t="s">
        <v>109</v>
      </c>
      <c r="F252" s="110">
        <f>SUMIF('Yucho Arai'!N:N,'Tổng hợp tiền thu theo mã U'!E252,'Yucho Arai'!H:H)+SUMIF(GMO!I:I,'Tổng hợp tiền thu theo mã U'!E252,GMO!G:G)</f>
        <v>0</v>
      </c>
      <c r="G252" s="110">
        <f>SUMIF('Yucho Arai'!N:N,'Tổng hợp tiền thu theo mã U'!E252,'Yucho Arai'!I:I)+SUMIF(GMO!I:I,'Tổng hợp tiền thu theo mã U'!E252,GMO!H:H)+SUMIF('Arai 7121'!H:H,'Tổng hợp tiền thu theo mã U'!E252,'Arai 7121'!B:B)</f>
        <v>2000</v>
      </c>
      <c r="H252" s="70">
        <f t="shared" si="4"/>
        <v>2000</v>
      </c>
    </row>
    <row r="253" spans="4:8">
      <c r="D253">
        <v>251</v>
      </c>
      <c r="E253" s="65" t="s">
        <v>4008</v>
      </c>
      <c r="F253" s="110">
        <f>SUMIF('Yucho Arai'!N:N,'Tổng hợp tiền thu theo mã U'!E253,'Yucho Arai'!H:H)+SUMIF(GMO!I:I,'Tổng hợp tiền thu theo mã U'!E253,GMO!G:G)</f>
        <v>0</v>
      </c>
      <c r="G253" s="110">
        <f>SUMIF('Yucho Arai'!N:N,'Tổng hợp tiền thu theo mã U'!E253,'Yucho Arai'!I:I)+SUMIF(GMO!I:I,'Tổng hợp tiền thu theo mã U'!E253,GMO!H:H)+SUMIF('Arai 7121'!H:H,'Tổng hợp tiền thu theo mã U'!E253,'Arai 7121'!B:B)</f>
        <v>2000</v>
      </c>
      <c r="H253" s="70">
        <f t="shared" si="4"/>
        <v>2000</v>
      </c>
    </row>
    <row r="254" spans="4:8">
      <c r="D254">
        <v>252</v>
      </c>
      <c r="E254" t="s">
        <v>4105</v>
      </c>
      <c r="F254" s="110">
        <f>SUMIF('Yucho Arai'!N:N,'Tổng hợp tiền thu theo mã U'!E254,'Yucho Arai'!H:H)+SUMIF(GMO!I:I,'Tổng hợp tiền thu theo mã U'!E254,GMO!G:G)</f>
        <v>500</v>
      </c>
      <c r="G254" s="110">
        <f>SUMIF('Yucho Arai'!N:N,'Tổng hợp tiền thu theo mã U'!E254,'Yucho Arai'!I:I)+SUMIF(GMO!I:I,'Tổng hợp tiền thu theo mã U'!E254,GMO!H:H)+SUMIF('Arai 7121'!H:H,'Tổng hợp tiền thu theo mã U'!E254,'Arai 7121'!B:B)</f>
        <v>0</v>
      </c>
      <c r="H254" s="70">
        <f t="shared" si="4"/>
        <v>500</v>
      </c>
    </row>
    <row r="255" spans="4:8">
      <c r="D255">
        <v>253</v>
      </c>
      <c r="E255" t="s">
        <v>4106</v>
      </c>
      <c r="F255" s="110">
        <f>SUMIF('Yucho Arai'!N:N,'Tổng hợp tiền thu theo mã U'!E255,'Yucho Arai'!H:H)+SUMIF(GMO!I:I,'Tổng hợp tiền thu theo mã U'!E255,GMO!G:G)</f>
        <v>500</v>
      </c>
      <c r="G255" s="110">
        <f>SUMIF('Yucho Arai'!N:N,'Tổng hợp tiền thu theo mã U'!E255,'Yucho Arai'!I:I)+SUMIF(GMO!I:I,'Tổng hợp tiền thu theo mã U'!E255,GMO!H:H)+SUMIF('Arai 7121'!H:H,'Tổng hợp tiền thu theo mã U'!E255,'Arai 7121'!B:B)</f>
        <v>0</v>
      </c>
      <c r="H255" s="70">
        <f t="shared" si="4"/>
        <v>500</v>
      </c>
    </row>
    <row r="256" spans="4:8">
      <c r="D256">
        <v>254</v>
      </c>
      <c r="E256" t="s">
        <v>4027</v>
      </c>
      <c r="F256" s="110">
        <f>SUMIF('Yucho Arai'!N:N,'Tổng hợp tiền thu theo mã U'!E256,'Yucho Arai'!H:H)+SUMIF(GMO!I:I,'Tổng hợp tiền thu theo mã U'!E256,GMO!G:G)</f>
        <v>0</v>
      </c>
      <c r="G256" s="110">
        <f>SUMIF('Yucho Arai'!N:N,'Tổng hợp tiền thu theo mã U'!E256,'Yucho Arai'!I:I)+SUMIF(GMO!I:I,'Tổng hợp tiền thu theo mã U'!E256,GMO!H:H)+SUMIF('Arai 7121'!H:H,'Tổng hợp tiền thu theo mã U'!E256,'Arai 7121'!B:B)</f>
        <v>3000</v>
      </c>
      <c r="H256" s="70">
        <f t="shared" si="4"/>
        <v>3000</v>
      </c>
    </row>
    <row r="257" spans="4:8">
      <c r="D257">
        <v>255</v>
      </c>
      <c r="E257" t="s">
        <v>438</v>
      </c>
      <c r="F257" s="110">
        <f>SUMIF('Yucho Arai'!N:N,'Tổng hợp tiền thu theo mã U'!E257,'Yucho Arai'!H:H)+SUMIF(GMO!I:I,'Tổng hợp tiền thu theo mã U'!E257,GMO!G:G)</f>
        <v>500</v>
      </c>
      <c r="G257" s="110">
        <f>SUMIF('Yucho Arai'!N:N,'Tổng hợp tiền thu theo mã U'!E257,'Yucho Arai'!I:I)+SUMIF(GMO!I:I,'Tổng hợp tiền thu theo mã U'!E257,GMO!H:H)+SUMIF('Arai 7121'!H:H,'Tổng hợp tiền thu theo mã U'!E257,'Arai 7121'!B:B)</f>
        <v>0</v>
      </c>
      <c r="H257" s="70">
        <f t="shared" si="4"/>
        <v>500</v>
      </c>
    </row>
    <row r="258" spans="4:8">
      <c r="D258">
        <v>256</v>
      </c>
      <c r="E258" s="65" t="s">
        <v>4056</v>
      </c>
      <c r="F258" s="110">
        <f>SUMIF('Yucho Arai'!N:N,'Tổng hợp tiền thu theo mã U'!E258,'Yucho Arai'!H:H)+SUMIF(GMO!I:I,'Tổng hợp tiền thu theo mã U'!E258,GMO!G:G)</f>
        <v>0</v>
      </c>
      <c r="G258" s="110">
        <f>SUMIF('Yucho Arai'!N:N,'Tổng hợp tiền thu theo mã U'!E258,'Yucho Arai'!I:I)+SUMIF(GMO!I:I,'Tổng hợp tiền thu theo mã U'!E258,GMO!H:H)+SUMIF('Arai 7121'!H:H,'Tổng hợp tiền thu theo mã U'!E258,'Arai 7121'!B:B)</f>
        <v>1500</v>
      </c>
      <c r="H258" s="70">
        <f t="shared" si="4"/>
        <v>1500</v>
      </c>
    </row>
    <row r="259" spans="4:8">
      <c r="D259">
        <v>257</v>
      </c>
      <c r="E259" t="s">
        <v>4110</v>
      </c>
      <c r="F259" s="110">
        <f>SUMIF('Yucho Arai'!N:N,'Tổng hợp tiền thu theo mã U'!E259,'Yucho Arai'!H:H)+SUMIF(GMO!I:I,'Tổng hợp tiền thu theo mã U'!E259,GMO!G:G)</f>
        <v>500</v>
      </c>
      <c r="G259" s="110">
        <f>SUMIF('Yucho Arai'!N:N,'Tổng hợp tiền thu theo mã U'!E259,'Yucho Arai'!I:I)+SUMIF(GMO!I:I,'Tổng hợp tiền thu theo mã U'!E259,GMO!H:H)+SUMIF('Arai 7121'!H:H,'Tổng hợp tiền thu theo mã U'!E259,'Arai 7121'!B:B)</f>
        <v>0</v>
      </c>
      <c r="H259" s="70">
        <f t="shared" si="4"/>
        <v>500</v>
      </c>
    </row>
    <row r="260" spans="4:8">
      <c r="D260">
        <v>258</v>
      </c>
      <c r="E260" s="65" t="s">
        <v>4035</v>
      </c>
      <c r="F260" s="110">
        <f>SUMIF('Yucho Arai'!N:N,'Tổng hợp tiền thu theo mã U'!E260,'Yucho Arai'!H:H)+SUMIF(GMO!I:I,'Tổng hợp tiền thu theo mã U'!E260,GMO!G:G)</f>
        <v>0</v>
      </c>
      <c r="G260" s="110">
        <f>SUMIF('Yucho Arai'!N:N,'Tổng hợp tiền thu theo mã U'!E260,'Yucho Arai'!I:I)+SUMIF(GMO!I:I,'Tổng hợp tiền thu theo mã U'!E260,GMO!H:H)+SUMIF('Arai 7121'!H:H,'Tổng hợp tiền thu theo mã U'!E260,'Arai 7121'!B:B)</f>
        <v>3000</v>
      </c>
      <c r="H260" s="70">
        <f t="shared" ref="H260:H323" si="5">G260+F260</f>
        <v>3000</v>
      </c>
    </row>
    <row r="261" spans="4:8">
      <c r="D261">
        <v>259</v>
      </c>
      <c r="E261" s="65" t="s">
        <v>4079</v>
      </c>
      <c r="F261" s="110">
        <f>SUMIF('Yucho Arai'!N:N,'Tổng hợp tiền thu theo mã U'!E261,'Yucho Arai'!H:H)+SUMIF(GMO!I:I,'Tổng hợp tiền thu theo mã U'!E261,GMO!G:G)</f>
        <v>0</v>
      </c>
      <c r="G261" s="110">
        <f>SUMIF('Yucho Arai'!N:N,'Tổng hợp tiền thu theo mã U'!E261,'Yucho Arai'!I:I)+SUMIF(GMO!I:I,'Tổng hợp tiền thu theo mã U'!E261,GMO!H:H)+SUMIF('Arai 7121'!H:H,'Tổng hợp tiền thu theo mã U'!E261,'Arai 7121'!B:B)</f>
        <v>1000</v>
      </c>
      <c r="H261" s="70">
        <f t="shared" si="5"/>
        <v>1000</v>
      </c>
    </row>
    <row r="262" spans="4:8">
      <c r="D262">
        <v>260</v>
      </c>
      <c r="E262" t="s">
        <v>873</v>
      </c>
      <c r="F262" s="110">
        <f>SUMIF('Yucho Arai'!N:N,'Tổng hợp tiền thu theo mã U'!E262,'Yucho Arai'!H:H)+SUMIF(GMO!I:I,'Tổng hợp tiền thu theo mã U'!E262,GMO!G:G)</f>
        <v>500</v>
      </c>
      <c r="G262" s="110">
        <f>SUMIF('Yucho Arai'!N:N,'Tổng hợp tiền thu theo mã U'!E262,'Yucho Arai'!I:I)+SUMIF(GMO!I:I,'Tổng hợp tiền thu theo mã U'!E262,GMO!H:H)+SUMIF('Arai 7121'!H:H,'Tổng hợp tiền thu theo mã U'!E262,'Arai 7121'!B:B)</f>
        <v>0</v>
      </c>
      <c r="H262" s="70">
        <f t="shared" si="5"/>
        <v>500</v>
      </c>
    </row>
    <row r="263" spans="4:8">
      <c r="D263">
        <v>261</v>
      </c>
      <c r="E263" s="65" t="s">
        <v>110</v>
      </c>
      <c r="F263" s="110">
        <f>SUMIF('Yucho Arai'!N:N,'Tổng hợp tiền thu theo mã U'!E263,'Yucho Arai'!H:H)+SUMIF(GMO!I:I,'Tổng hợp tiền thu theo mã U'!E263,GMO!G:G)</f>
        <v>0</v>
      </c>
      <c r="G263" s="110">
        <f>SUMIF('Yucho Arai'!N:N,'Tổng hợp tiền thu theo mã U'!E263,'Yucho Arai'!I:I)+SUMIF(GMO!I:I,'Tổng hợp tiền thu theo mã U'!E263,GMO!H:H)+SUMIF('Arai 7121'!H:H,'Tổng hợp tiền thu theo mã U'!E263,'Arai 7121'!B:B)</f>
        <v>2000</v>
      </c>
      <c r="H263" s="70">
        <f t="shared" si="5"/>
        <v>2000</v>
      </c>
    </row>
    <row r="264" spans="4:8">
      <c r="D264">
        <v>262</v>
      </c>
      <c r="E264" t="s">
        <v>4111</v>
      </c>
      <c r="F264" s="110">
        <f>SUMIF('Yucho Arai'!N:N,'Tổng hợp tiền thu theo mã U'!E264,'Yucho Arai'!H:H)+SUMIF(GMO!I:I,'Tổng hợp tiền thu theo mã U'!E264,GMO!G:G)</f>
        <v>500</v>
      </c>
      <c r="G264" s="110">
        <f>SUMIF('Yucho Arai'!N:N,'Tổng hợp tiền thu theo mã U'!E264,'Yucho Arai'!I:I)+SUMIF(GMO!I:I,'Tổng hợp tiền thu theo mã U'!E264,GMO!H:H)+SUMIF('Arai 7121'!H:H,'Tổng hợp tiền thu theo mã U'!E264,'Arai 7121'!B:B)</f>
        <v>0</v>
      </c>
      <c r="H264" s="70">
        <f t="shared" si="5"/>
        <v>500</v>
      </c>
    </row>
    <row r="265" spans="4:8">
      <c r="D265">
        <v>263</v>
      </c>
      <c r="E265" s="65" t="s">
        <v>4073</v>
      </c>
      <c r="F265" s="110">
        <f>SUMIF('Yucho Arai'!N:N,'Tổng hợp tiền thu theo mã U'!E265,'Yucho Arai'!H:H)+SUMIF(GMO!I:I,'Tổng hợp tiền thu theo mã U'!E265,GMO!G:G)</f>
        <v>0</v>
      </c>
      <c r="G265" s="110">
        <f>SUMIF('Yucho Arai'!N:N,'Tổng hợp tiền thu theo mã U'!E265,'Yucho Arai'!I:I)+SUMIF(GMO!I:I,'Tổng hợp tiền thu theo mã U'!E265,GMO!H:H)+SUMIF('Arai 7121'!H:H,'Tổng hợp tiền thu theo mã U'!E265,'Arai 7121'!B:B)</f>
        <v>2000</v>
      </c>
      <c r="H265" s="70">
        <f t="shared" si="5"/>
        <v>2000</v>
      </c>
    </row>
    <row r="266" spans="4:8">
      <c r="D266">
        <v>264</v>
      </c>
      <c r="E266" s="65" t="s">
        <v>4094</v>
      </c>
      <c r="F266" s="110">
        <f>SUMIF('Yucho Arai'!N:N,'Tổng hợp tiền thu theo mã U'!E266,'Yucho Arai'!H:H)+SUMIF(GMO!I:I,'Tổng hợp tiền thu theo mã U'!E266,GMO!G:G)</f>
        <v>0</v>
      </c>
      <c r="G266" s="110">
        <f>SUMIF('Yucho Arai'!N:N,'Tổng hợp tiền thu theo mã U'!E266,'Yucho Arai'!I:I)+SUMIF(GMO!I:I,'Tổng hợp tiền thu theo mã U'!E266,GMO!H:H)+SUMIF('Arai 7121'!H:H,'Tổng hợp tiền thu theo mã U'!E266,'Arai 7121'!B:B)</f>
        <v>3000</v>
      </c>
      <c r="H266" s="70">
        <f t="shared" si="5"/>
        <v>3000</v>
      </c>
    </row>
    <row r="267" spans="4:8">
      <c r="D267">
        <v>265</v>
      </c>
      <c r="E267" t="s">
        <v>4112</v>
      </c>
      <c r="F267" s="110">
        <f>SUMIF('Yucho Arai'!N:N,'Tổng hợp tiền thu theo mã U'!E267,'Yucho Arai'!H:H)+SUMIF(GMO!I:I,'Tổng hợp tiền thu theo mã U'!E267,GMO!G:G)</f>
        <v>493</v>
      </c>
      <c r="G267" s="110">
        <f>SUMIF('Yucho Arai'!N:N,'Tổng hợp tiền thu theo mã U'!E267,'Yucho Arai'!I:I)+SUMIF(GMO!I:I,'Tổng hợp tiền thu theo mã U'!E267,GMO!H:H)+SUMIF('Arai 7121'!H:H,'Tổng hợp tiền thu theo mã U'!E267,'Arai 7121'!B:B)</f>
        <v>0</v>
      </c>
      <c r="H267" s="70">
        <f t="shared" si="5"/>
        <v>493</v>
      </c>
    </row>
    <row r="268" spans="4:8">
      <c r="D268">
        <v>266</v>
      </c>
      <c r="E268" t="s">
        <v>4113</v>
      </c>
      <c r="F268" s="110">
        <f>SUMIF('Yucho Arai'!N:N,'Tổng hợp tiền thu theo mã U'!E268,'Yucho Arai'!H:H)+SUMIF(GMO!I:I,'Tổng hợp tiền thu theo mã U'!E268,GMO!G:G)</f>
        <v>4000</v>
      </c>
      <c r="G268" s="110">
        <f>SUMIF('Yucho Arai'!N:N,'Tổng hợp tiền thu theo mã U'!E268,'Yucho Arai'!I:I)+SUMIF(GMO!I:I,'Tổng hợp tiền thu theo mã U'!E268,GMO!H:H)+SUMIF('Arai 7121'!H:H,'Tổng hợp tiền thu theo mã U'!E268,'Arai 7121'!B:B)</f>
        <v>0</v>
      </c>
      <c r="H268" s="70">
        <f t="shared" si="5"/>
        <v>4000</v>
      </c>
    </row>
    <row r="269" spans="4:8">
      <c r="D269">
        <v>267</v>
      </c>
      <c r="E269" t="s">
        <v>4104</v>
      </c>
      <c r="F269" s="110">
        <f>SUMIF('Yucho Arai'!N:N,'Tổng hợp tiền thu theo mã U'!E269,'Yucho Arai'!H:H)+SUMIF(GMO!I:I,'Tổng hợp tiền thu theo mã U'!E269,GMO!G:G)</f>
        <v>0</v>
      </c>
      <c r="G269" s="110">
        <f>SUMIF('Yucho Arai'!N:N,'Tổng hợp tiền thu theo mã U'!E269,'Yucho Arai'!I:I)+SUMIF(GMO!I:I,'Tổng hợp tiền thu theo mã U'!E269,GMO!H:H)+SUMIF('Arai 7121'!H:H,'Tổng hợp tiền thu theo mã U'!E269,'Arai 7121'!B:B)</f>
        <v>2000</v>
      </c>
      <c r="H269" s="70">
        <f t="shared" si="5"/>
        <v>2000</v>
      </c>
    </row>
    <row r="270" spans="4:8">
      <c r="D270">
        <v>268</v>
      </c>
      <c r="E270" s="65" t="s">
        <v>4069</v>
      </c>
      <c r="F270" s="110">
        <f>SUMIF('Yucho Arai'!N:N,'Tổng hợp tiền thu theo mã U'!E270,'Yucho Arai'!H:H)+SUMIF(GMO!I:I,'Tổng hợp tiền thu theo mã U'!E270,GMO!G:G)</f>
        <v>0</v>
      </c>
      <c r="G270" s="110">
        <f>SUMIF('Yucho Arai'!N:N,'Tổng hợp tiền thu theo mã U'!E270,'Yucho Arai'!I:I)+SUMIF(GMO!I:I,'Tổng hợp tiền thu theo mã U'!E270,GMO!H:H)+SUMIF('Arai 7121'!H:H,'Tổng hợp tiền thu theo mã U'!E270,'Arai 7121'!B:B)</f>
        <v>3000</v>
      </c>
      <c r="H270" s="70">
        <f t="shared" si="5"/>
        <v>3000</v>
      </c>
    </row>
    <row r="271" spans="4:8">
      <c r="D271">
        <v>269</v>
      </c>
      <c r="E271" s="65" t="s">
        <v>4007</v>
      </c>
      <c r="F271" s="110">
        <f>SUMIF('Yucho Arai'!N:N,'Tổng hợp tiền thu theo mã U'!E271,'Yucho Arai'!H:H)+SUMIF(GMO!I:I,'Tổng hợp tiền thu theo mã U'!E271,GMO!G:G)</f>
        <v>0</v>
      </c>
      <c r="G271" s="110">
        <f>SUMIF('Yucho Arai'!N:N,'Tổng hợp tiền thu theo mã U'!E271,'Yucho Arai'!I:I)+SUMIF(GMO!I:I,'Tổng hợp tiền thu theo mã U'!E271,GMO!H:H)+SUMIF('Arai 7121'!H:H,'Tổng hợp tiền thu theo mã U'!E271,'Arai 7121'!B:B)</f>
        <v>2000</v>
      </c>
      <c r="H271" s="70">
        <f t="shared" si="5"/>
        <v>2000</v>
      </c>
    </row>
    <row r="272" spans="4:8">
      <c r="D272">
        <v>270</v>
      </c>
      <c r="E272" t="s">
        <v>95</v>
      </c>
      <c r="F272" s="110">
        <f>SUMIF('Yucho Arai'!N:N,'Tổng hợp tiền thu theo mã U'!E272,'Yucho Arai'!H:H)+SUMIF(GMO!I:I,'Tổng hợp tiền thu theo mã U'!E272,GMO!G:G)</f>
        <v>0</v>
      </c>
      <c r="G272" s="110">
        <f>SUMIF('Yucho Arai'!N:N,'Tổng hợp tiền thu theo mã U'!E272,'Yucho Arai'!I:I)+SUMIF(GMO!I:I,'Tổng hợp tiền thu theo mã U'!E272,GMO!H:H)+SUMIF('Arai 7121'!H:H,'Tổng hợp tiền thu theo mã U'!E272,'Arai 7121'!B:B)</f>
        <v>4000</v>
      </c>
      <c r="H272" s="70">
        <f t="shared" si="5"/>
        <v>4000</v>
      </c>
    </row>
    <row r="273" spans="4:8">
      <c r="D273">
        <v>271</v>
      </c>
      <c r="E273" s="65" t="s">
        <v>3999</v>
      </c>
      <c r="F273" s="110">
        <f>SUMIF('Yucho Arai'!N:N,'Tổng hợp tiền thu theo mã U'!E273,'Yucho Arai'!H:H)+SUMIF(GMO!I:I,'Tổng hợp tiền thu theo mã U'!E273,GMO!G:G)</f>
        <v>0</v>
      </c>
      <c r="G273" s="110">
        <f>SUMIF('Yucho Arai'!N:N,'Tổng hợp tiền thu theo mã U'!E273,'Yucho Arai'!I:I)+SUMIF(GMO!I:I,'Tổng hợp tiền thu theo mã U'!E273,GMO!H:H)+SUMIF('Arai 7121'!H:H,'Tổng hợp tiền thu theo mã U'!E273,'Arai 7121'!B:B)</f>
        <v>4000</v>
      </c>
      <c r="H273" s="70">
        <f t="shared" si="5"/>
        <v>4000</v>
      </c>
    </row>
    <row r="274" spans="4:8">
      <c r="D274">
        <v>272</v>
      </c>
      <c r="E274" t="s">
        <v>4054</v>
      </c>
      <c r="F274" s="110">
        <f>SUMIF('Yucho Arai'!N:N,'Tổng hợp tiền thu theo mã U'!E274,'Yucho Arai'!H:H)+SUMIF(GMO!I:I,'Tổng hợp tiền thu theo mã U'!E274,GMO!G:G)</f>
        <v>0</v>
      </c>
      <c r="G274" s="110">
        <f>SUMIF('Yucho Arai'!N:N,'Tổng hợp tiền thu theo mã U'!E274,'Yucho Arai'!I:I)+SUMIF(GMO!I:I,'Tổng hợp tiền thu theo mã U'!E274,GMO!H:H)+SUMIF('Arai 7121'!H:H,'Tổng hợp tiền thu theo mã U'!E274,'Arai 7121'!B:B)</f>
        <v>2000</v>
      </c>
      <c r="H274" s="70">
        <f t="shared" si="5"/>
        <v>2000</v>
      </c>
    </row>
    <row r="275" spans="4:8">
      <c r="D275">
        <v>273</v>
      </c>
      <c r="E275" t="s">
        <v>2026</v>
      </c>
      <c r="F275" s="110">
        <f>SUMIF('Yucho Arai'!N:N,'Tổng hợp tiền thu theo mã U'!E275,'Yucho Arai'!H:H)+SUMIF(GMO!I:I,'Tổng hợp tiền thu theo mã U'!E275,GMO!G:G)</f>
        <v>0</v>
      </c>
      <c r="G275" s="110">
        <f>SUMIF('Yucho Arai'!N:N,'Tổng hợp tiền thu theo mã U'!E275,'Yucho Arai'!I:I)+SUMIF(GMO!I:I,'Tổng hợp tiền thu theo mã U'!E275,GMO!H:H)+SUMIF('Arai 7121'!H:H,'Tổng hợp tiền thu theo mã U'!E275,'Arai 7121'!B:B)</f>
        <v>2000</v>
      </c>
      <c r="H275" s="70">
        <f t="shared" si="5"/>
        <v>2000</v>
      </c>
    </row>
    <row r="276" spans="4:8">
      <c r="D276">
        <v>274</v>
      </c>
      <c r="E276" t="s">
        <v>1075</v>
      </c>
      <c r="F276" s="110">
        <f>SUMIF('Yucho Arai'!N:N,'Tổng hợp tiền thu theo mã U'!E276,'Yucho Arai'!H:H)+SUMIF(GMO!I:I,'Tổng hợp tiền thu theo mã U'!E276,GMO!G:G)</f>
        <v>500</v>
      </c>
      <c r="G276" s="110">
        <f>SUMIF('Yucho Arai'!N:N,'Tổng hợp tiền thu theo mã U'!E276,'Yucho Arai'!I:I)+SUMIF(GMO!I:I,'Tổng hợp tiền thu theo mã U'!E276,GMO!H:H)+SUMIF('Arai 7121'!H:H,'Tổng hợp tiền thu theo mã U'!E276,'Arai 7121'!B:B)</f>
        <v>0</v>
      </c>
      <c r="H276" s="70">
        <f t="shared" si="5"/>
        <v>500</v>
      </c>
    </row>
    <row r="277" spans="4:8">
      <c r="D277">
        <v>275</v>
      </c>
      <c r="E277" t="s">
        <v>4238</v>
      </c>
      <c r="F277" s="110">
        <f>SUMIF('Yucho Arai'!N:N,'Tổng hợp tiền thu theo mã U'!E277,'Yucho Arai'!H:H)+SUMIF(GMO!I:I,'Tổng hợp tiền thu theo mã U'!E277,GMO!G:G)</f>
        <v>493</v>
      </c>
      <c r="G277" s="110">
        <f>SUMIF('Yucho Arai'!N:N,'Tổng hợp tiền thu theo mã U'!E277,'Yucho Arai'!I:I)+SUMIF(GMO!I:I,'Tổng hợp tiền thu theo mã U'!E277,GMO!H:H)+SUMIF('Arai 7121'!H:H,'Tổng hợp tiền thu theo mã U'!E277,'Arai 7121'!B:B)</f>
        <v>0</v>
      </c>
      <c r="H277" s="70">
        <f t="shared" si="5"/>
        <v>493</v>
      </c>
    </row>
    <row r="278" spans="4:8">
      <c r="D278">
        <v>276</v>
      </c>
      <c r="E278" s="65" t="s">
        <v>4010</v>
      </c>
      <c r="F278" s="110">
        <f>SUMIF('Yucho Arai'!N:N,'Tổng hợp tiền thu theo mã U'!E278,'Yucho Arai'!H:H)+SUMIF(GMO!I:I,'Tổng hợp tiền thu theo mã U'!E278,GMO!G:G)</f>
        <v>0</v>
      </c>
      <c r="G278" s="110">
        <f>SUMIF('Yucho Arai'!N:N,'Tổng hợp tiền thu theo mã U'!E278,'Yucho Arai'!I:I)+SUMIF(GMO!I:I,'Tổng hợp tiền thu theo mã U'!E278,GMO!H:H)+SUMIF('Arai 7121'!H:H,'Tổng hợp tiền thu theo mã U'!E278,'Arai 7121'!B:B)</f>
        <v>4000</v>
      </c>
      <c r="H278" s="70">
        <f t="shared" si="5"/>
        <v>4000</v>
      </c>
    </row>
    <row r="279" spans="4:8">
      <c r="D279">
        <v>277</v>
      </c>
      <c r="E279" t="s">
        <v>4116</v>
      </c>
      <c r="F279" s="110">
        <f>SUMIF('Yucho Arai'!N:N,'Tổng hợp tiền thu theo mã U'!E279,'Yucho Arai'!H:H)+SUMIF(GMO!I:I,'Tổng hợp tiền thu theo mã U'!E279,GMO!G:G)</f>
        <v>500</v>
      </c>
      <c r="G279" s="110">
        <f>SUMIF('Yucho Arai'!N:N,'Tổng hợp tiền thu theo mã U'!E279,'Yucho Arai'!I:I)+SUMIF(GMO!I:I,'Tổng hợp tiền thu theo mã U'!E279,GMO!H:H)+SUMIF('Arai 7121'!H:H,'Tổng hợp tiền thu theo mã U'!E279,'Arai 7121'!B:B)</f>
        <v>0</v>
      </c>
      <c r="H279" s="70">
        <f t="shared" si="5"/>
        <v>500</v>
      </c>
    </row>
    <row r="280" spans="4:8">
      <c r="D280">
        <v>278</v>
      </c>
      <c r="E280" t="s">
        <v>4118</v>
      </c>
      <c r="F280" s="110">
        <f>SUMIF('Yucho Arai'!N:N,'Tổng hợp tiền thu theo mã U'!E280,'Yucho Arai'!H:H)+SUMIF(GMO!I:I,'Tổng hợp tiền thu theo mã U'!E280,GMO!G:G)</f>
        <v>500</v>
      </c>
      <c r="G280" s="110">
        <f>SUMIF('Yucho Arai'!N:N,'Tổng hợp tiền thu theo mã U'!E280,'Yucho Arai'!I:I)+SUMIF(GMO!I:I,'Tổng hợp tiền thu theo mã U'!E280,GMO!H:H)+SUMIF('Arai 7121'!H:H,'Tổng hợp tiền thu theo mã U'!E280,'Arai 7121'!B:B)</f>
        <v>0</v>
      </c>
      <c r="H280" s="70">
        <f t="shared" si="5"/>
        <v>500</v>
      </c>
    </row>
    <row r="281" spans="4:8">
      <c r="D281">
        <v>279</v>
      </c>
      <c r="E281" t="s">
        <v>4119</v>
      </c>
      <c r="F281" s="110">
        <f>SUMIF('Yucho Arai'!N:N,'Tổng hợp tiền thu theo mã U'!E281,'Yucho Arai'!H:H)+SUMIF(GMO!I:I,'Tổng hợp tiền thu theo mã U'!E281,GMO!G:G)</f>
        <v>500</v>
      </c>
      <c r="G281" s="110">
        <f>SUMIF('Yucho Arai'!N:N,'Tổng hợp tiền thu theo mã U'!E281,'Yucho Arai'!I:I)+SUMIF(GMO!I:I,'Tổng hợp tiền thu theo mã U'!E281,GMO!H:H)+SUMIF('Arai 7121'!H:H,'Tổng hợp tiền thu theo mã U'!E281,'Arai 7121'!B:B)</f>
        <v>0</v>
      </c>
      <c r="H281" s="70">
        <f t="shared" si="5"/>
        <v>500</v>
      </c>
    </row>
    <row r="282" spans="4:8">
      <c r="D282">
        <v>280</v>
      </c>
      <c r="E282" t="s">
        <v>4123</v>
      </c>
      <c r="F282" s="110">
        <f>SUMIF('Yucho Arai'!N:N,'Tổng hợp tiền thu theo mã U'!E282,'Yucho Arai'!H:H)+SUMIF(GMO!I:I,'Tổng hợp tiền thu theo mã U'!E282,GMO!G:G)</f>
        <v>500</v>
      </c>
      <c r="G282" s="110">
        <f>SUMIF('Yucho Arai'!N:N,'Tổng hợp tiền thu theo mã U'!E282,'Yucho Arai'!I:I)+SUMIF(GMO!I:I,'Tổng hợp tiền thu theo mã U'!E282,GMO!H:H)+SUMIF('Arai 7121'!H:H,'Tổng hợp tiền thu theo mã U'!E282,'Arai 7121'!B:B)</f>
        <v>0</v>
      </c>
      <c r="H282" s="70">
        <f t="shared" si="5"/>
        <v>500</v>
      </c>
    </row>
    <row r="283" spans="4:8">
      <c r="D283">
        <v>281</v>
      </c>
      <c r="E283" s="65" t="s">
        <v>1315</v>
      </c>
      <c r="F283" s="110">
        <f>SUMIF('Yucho Arai'!N:N,'Tổng hợp tiền thu theo mã U'!E283,'Yucho Arai'!H:H)+SUMIF(GMO!I:I,'Tổng hợp tiền thu theo mã U'!E283,GMO!G:G)</f>
        <v>0</v>
      </c>
      <c r="G283" s="110">
        <f>SUMIF('Yucho Arai'!N:N,'Tổng hợp tiền thu theo mã U'!E283,'Yucho Arai'!I:I)+SUMIF(GMO!I:I,'Tổng hợp tiền thu theo mã U'!E283,GMO!H:H)+SUMIF('Arai 7121'!H:H,'Tổng hợp tiền thu theo mã U'!E283,'Arai 7121'!B:B)</f>
        <v>2000</v>
      </c>
      <c r="H283" s="70">
        <f t="shared" si="5"/>
        <v>2000</v>
      </c>
    </row>
    <row r="284" spans="4:8">
      <c r="D284">
        <v>282</v>
      </c>
      <c r="E284" t="s">
        <v>98</v>
      </c>
      <c r="F284" s="110">
        <f>SUMIF('Yucho Arai'!N:N,'Tổng hợp tiền thu theo mã U'!E284,'Yucho Arai'!H:H)+SUMIF(GMO!I:I,'Tổng hợp tiền thu theo mã U'!E284,GMO!G:G)</f>
        <v>0</v>
      </c>
      <c r="G284" s="110">
        <f>SUMIF('Yucho Arai'!N:N,'Tổng hợp tiền thu theo mã U'!E284,'Yucho Arai'!I:I)+SUMIF(GMO!I:I,'Tổng hợp tiền thu theo mã U'!E284,GMO!H:H)+SUMIF('Arai 7121'!H:H,'Tổng hợp tiền thu theo mã U'!E284,'Arai 7121'!B:B)</f>
        <v>4000</v>
      </c>
      <c r="H284" s="70">
        <f t="shared" si="5"/>
        <v>4000</v>
      </c>
    </row>
    <row r="285" spans="4:8">
      <c r="D285">
        <v>283</v>
      </c>
      <c r="E285" s="65" t="s">
        <v>4075</v>
      </c>
      <c r="F285" s="110">
        <f>SUMIF('Yucho Arai'!N:N,'Tổng hợp tiền thu theo mã U'!E285,'Yucho Arai'!H:H)+SUMIF(GMO!I:I,'Tổng hợp tiền thu theo mã U'!E285,GMO!G:G)</f>
        <v>0</v>
      </c>
      <c r="G285" s="110">
        <f>SUMIF('Yucho Arai'!N:N,'Tổng hợp tiền thu theo mã U'!E285,'Yucho Arai'!I:I)+SUMIF(GMO!I:I,'Tổng hợp tiền thu theo mã U'!E285,GMO!H:H)+SUMIF('Arai 7121'!H:H,'Tổng hợp tiền thu theo mã U'!E285,'Arai 7121'!B:B)</f>
        <v>2000</v>
      </c>
      <c r="H285" s="70">
        <f t="shared" si="5"/>
        <v>2000</v>
      </c>
    </row>
    <row r="286" spans="4:8">
      <c r="D286">
        <v>284</v>
      </c>
      <c r="E286" t="s">
        <v>4124</v>
      </c>
      <c r="F286" s="110">
        <f>SUMIF('Yucho Arai'!N:N,'Tổng hợp tiền thu theo mã U'!E286,'Yucho Arai'!H:H)+SUMIF(GMO!I:I,'Tổng hợp tiền thu theo mã U'!E286,GMO!G:G)</f>
        <v>500</v>
      </c>
      <c r="G286" s="110">
        <f>SUMIF('Yucho Arai'!N:N,'Tổng hợp tiền thu theo mã U'!E286,'Yucho Arai'!I:I)+SUMIF(GMO!I:I,'Tổng hợp tiền thu theo mã U'!E286,GMO!H:H)+SUMIF('Arai 7121'!H:H,'Tổng hợp tiền thu theo mã U'!E286,'Arai 7121'!B:B)</f>
        <v>0</v>
      </c>
      <c r="H286" s="70">
        <f t="shared" si="5"/>
        <v>500</v>
      </c>
    </row>
    <row r="287" spans="4:8">
      <c r="D287">
        <v>285</v>
      </c>
      <c r="E287" t="s">
        <v>4125</v>
      </c>
      <c r="F287" s="110">
        <f>SUMIF('Yucho Arai'!N:N,'Tổng hợp tiền thu theo mã U'!E287,'Yucho Arai'!H:H)+SUMIF(GMO!I:I,'Tổng hợp tiền thu theo mã U'!E287,GMO!G:G)</f>
        <v>493</v>
      </c>
      <c r="G287" s="110">
        <f>SUMIF('Yucho Arai'!N:N,'Tổng hợp tiền thu theo mã U'!E287,'Yucho Arai'!I:I)+SUMIF(GMO!I:I,'Tổng hợp tiền thu theo mã U'!E287,GMO!H:H)+SUMIF('Arai 7121'!H:H,'Tổng hợp tiền thu theo mã U'!E287,'Arai 7121'!B:B)</f>
        <v>0</v>
      </c>
      <c r="H287" s="70">
        <f t="shared" si="5"/>
        <v>493</v>
      </c>
    </row>
    <row r="288" spans="4:8">
      <c r="D288">
        <v>286</v>
      </c>
      <c r="E288" t="s">
        <v>4032</v>
      </c>
      <c r="F288" s="110">
        <f>SUMIF('Yucho Arai'!N:N,'Tổng hợp tiền thu theo mã U'!E288,'Yucho Arai'!H:H)+SUMIF(GMO!I:I,'Tổng hợp tiền thu theo mã U'!E288,GMO!G:G)</f>
        <v>0</v>
      </c>
      <c r="G288" s="110">
        <f>SUMIF('Yucho Arai'!N:N,'Tổng hợp tiền thu theo mã U'!E288,'Yucho Arai'!I:I)+SUMIF(GMO!I:I,'Tổng hợp tiền thu theo mã U'!E288,GMO!H:H)+SUMIF('Arai 7121'!H:H,'Tổng hợp tiền thu theo mã U'!E288,'Arai 7121'!B:B)</f>
        <v>6000</v>
      </c>
      <c r="H288" s="70">
        <f t="shared" si="5"/>
        <v>6000</v>
      </c>
    </row>
    <row r="289" spans="4:8">
      <c r="D289">
        <v>287</v>
      </c>
      <c r="E289" s="65" t="s">
        <v>106</v>
      </c>
      <c r="F289" s="110">
        <f>SUMIF('Yucho Arai'!N:N,'Tổng hợp tiền thu theo mã U'!E289,'Yucho Arai'!H:H)+SUMIF(GMO!I:I,'Tổng hợp tiền thu theo mã U'!E289,GMO!G:G)</f>
        <v>0</v>
      </c>
      <c r="G289" s="110">
        <f>SUMIF('Yucho Arai'!N:N,'Tổng hợp tiền thu theo mã U'!E289,'Yucho Arai'!I:I)+SUMIF(GMO!I:I,'Tổng hợp tiền thu theo mã U'!E289,GMO!H:H)+SUMIF('Arai 7121'!H:H,'Tổng hợp tiền thu theo mã U'!E289,'Arai 7121'!B:B)</f>
        <v>2000</v>
      </c>
      <c r="H289" s="70">
        <f t="shared" si="5"/>
        <v>2000</v>
      </c>
    </row>
    <row r="290" spans="4:8">
      <c r="D290">
        <v>288</v>
      </c>
      <c r="E290" s="65" t="s">
        <v>4065</v>
      </c>
      <c r="F290" s="110">
        <f>SUMIF('Yucho Arai'!N:N,'Tổng hợp tiền thu theo mã U'!E290,'Yucho Arai'!H:H)+SUMIF(GMO!I:I,'Tổng hợp tiền thu theo mã U'!E290,GMO!G:G)</f>
        <v>0</v>
      </c>
      <c r="G290" s="110">
        <f>SUMIF('Yucho Arai'!N:N,'Tổng hợp tiền thu theo mã U'!E290,'Yucho Arai'!I:I)+SUMIF(GMO!I:I,'Tổng hợp tiền thu theo mã U'!E290,GMO!H:H)+SUMIF('Arai 7121'!H:H,'Tổng hợp tiền thu theo mã U'!E290,'Arai 7121'!B:B)</f>
        <v>3500</v>
      </c>
      <c r="H290" s="70">
        <f t="shared" si="5"/>
        <v>3500</v>
      </c>
    </row>
    <row r="291" spans="4:8">
      <c r="D291">
        <v>289</v>
      </c>
      <c r="E291" s="65" t="s">
        <v>75</v>
      </c>
      <c r="F291" s="110">
        <f>SUMIF('Yucho Arai'!N:N,'Tổng hợp tiền thu theo mã U'!E291,'Yucho Arai'!H:H)+SUMIF(GMO!I:I,'Tổng hợp tiền thu theo mã U'!E291,GMO!G:G)</f>
        <v>0</v>
      </c>
      <c r="G291" s="110">
        <f>SUMIF('Yucho Arai'!N:N,'Tổng hợp tiền thu theo mã U'!E291,'Yucho Arai'!I:I)+SUMIF(GMO!I:I,'Tổng hợp tiền thu theo mã U'!E291,GMO!H:H)+SUMIF('Arai 7121'!H:H,'Tổng hợp tiền thu theo mã U'!E291,'Arai 7121'!B:B)</f>
        <v>4000</v>
      </c>
      <c r="H291" s="70">
        <f t="shared" si="5"/>
        <v>4000</v>
      </c>
    </row>
    <row r="292" spans="4:8">
      <c r="D292">
        <v>290</v>
      </c>
      <c r="E292" s="65" t="s">
        <v>4022</v>
      </c>
      <c r="F292" s="110">
        <f>SUMIF('Yucho Arai'!N:N,'Tổng hợp tiền thu theo mã U'!E292,'Yucho Arai'!H:H)+SUMIF(GMO!I:I,'Tổng hợp tiền thu theo mã U'!E292,GMO!G:G)</f>
        <v>0</v>
      </c>
      <c r="G292" s="110">
        <f>SUMIF('Yucho Arai'!N:N,'Tổng hợp tiền thu theo mã U'!E292,'Yucho Arai'!I:I)+SUMIF(GMO!I:I,'Tổng hợp tiền thu theo mã U'!E292,GMO!H:H)+SUMIF('Arai 7121'!H:H,'Tổng hợp tiền thu theo mã U'!E292,'Arai 7121'!B:B)</f>
        <v>4000</v>
      </c>
      <c r="H292" s="70">
        <f t="shared" si="5"/>
        <v>4000</v>
      </c>
    </row>
    <row r="293" spans="4:8">
      <c r="D293">
        <v>291</v>
      </c>
      <c r="E293" s="65" t="s">
        <v>53</v>
      </c>
      <c r="F293" s="110">
        <f>SUMIF('Yucho Arai'!N:N,'Tổng hợp tiền thu theo mã U'!E293,'Yucho Arai'!H:H)+SUMIF(GMO!I:I,'Tổng hợp tiền thu theo mã U'!E293,GMO!G:G)</f>
        <v>0</v>
      </c>
      <c r="G293" s="110">
        <f>SUMIF('Yucho Arai'!N:N,'Tổng hợp tiền thu theo mã U'!E293,'Yucho Arai'!I:I)+SUMIF(GMO!I:I,'Tổng hợp tiền thu theo mã U'!E293,GMO!H:H)+SUMIF('Arai 7121'!H:H,'Tổng hợp tiền thu theo mã U'!E293,'Arai 7121'!B:B)</f>
        <v>2000</v>
      </c>
      <c r="H293" s="70">
        <f t="shared" si="5"/>
        <v>2000</v>
      </c>
    </row>
    <row r="294" spans="4:8">
      <c r="D294">
        <v>292</v>
      </c>
      <c r="E294" t="s">
        <v>4126</v>
      </c>
      <c r="F294" s="110">
        <f>SUMIF('Yucho Arai'!N:N,'Tổng hợp tiền thu theo mã U'!E294,'Yucho Arai'!H:H)+SUMIF(GMO!I:I,'Tổng hợp tiền thu theo mã U'!E294,GMO!G:G)</f>
        <v>500</v>
      </c>
      <c r="G294" s="110">
        <f>SUMIF('Yucho Arai'!N:N,'Tổng hợp tiền thu theo mã U'!E294,'Yucho Arai'!I:I)+SUMIF(GMO!I:I,'Tổng hợp tiền thu theo mã U'!E294,GMO!H:H)+SUMIF('Arai 7121'!H:H,'Tổng hợp tiền thu theo mã U'!E294,'Arai 7121'!B:B)</f>
        <v>0</v>
      </c>
      <c r="H294" s="70">
        <f t="shared" si="5"/>
        <v>500</v>
      </c>
    </row>
    <row r="295" spans="4:8">
      <c r="D295">
        <v>293</v>
      </c>
      <c r="E295" s="65" t="s">
        <v>107</v>
      </c>
      <c r="F295" s="110">
        <f>SUMIF('Yucho Arai'!N:N,'Tổng hợp tiền thu theo mã U'!E295,'Yucho Arai'!H:H)+SUMIF(GMO!I:I,'Tổng hợp tiền thu theo mã U'!E295,GMO!G:G)</f>
        <v>0</v>
      </c>
      <c r="G295" s="110">
        <f>SUMIF('Yucho Arai'!N:N,'Tổng hợp tiền thu theo mã U'!E295,'Yucho Arai'!I:I)+SUMIF(GMO!I:I,'Tổng hợp tiền thu theo mã U'!E295,GMO!H:H)+SUMIF('Arai 7121'!H:H,'Tổng hợp tiền thu theo mã U'!E295,'Arai 7121'!B:B)</f>
        <v>2000</v>
      </c>
      <c r="H295" s="70">
        <f t="shared" si="5"/>
        <v>2000</v>
      </c>
    </row>
    <row r="296" spans="4:8">
      <c r="D296">
        <v>294</v>
      </c>
      <c r="E296" s="65" t="s">
        <v>4089</v>
      </c>
      <c r="F296" s="110">
        <f>SUMIF('Yucho Arai'!N:N,'Tổng hợp tiền thu theo mã U'!E296,'Yucho Arai'!H:H)+SUMIF(GMO!I:I,'Tổng hợp tiền thu theo mã U'!E296,GMO!G:G)</f>
        <v>0</v>
      </c>
      <c r="G296" s="110">
        <f>SUMIF('Yucho Arai'!N:N,'Tổng hợp tiền thu theo mã U'!E296,'Yucho Arai'!I:I)+SUMIF(GMO!I:I,'Tổng hợp tiền thu theo mã U'!E296,GMO!H:H)+SUMIF('Arai 7121'!H:H,'Tổng hợp tiền thu theo mã U'!E296,'Arai 7121'!B:B)</f>
        <v>3000</v>
      </c>
      <c r="H296" s="70">
        <f t="shared" si="5"/>
        <v>3000</v>
      </c>
    </row>
    <row r="297" spans="4:8">
      <c r="D297">
        <v>295</v>
      </c>
      <c r="E297" s="65" t="s">
        <v>4029</v>
      </c>
      <c r="F297" s="110">
        <f>SUMIF('Yucho Arai'!N:N,'Tổng hợp tiền thu theo mã U'!E297,'Yucho Arai'!H:H)+SUMIF(GMO!I:I,'Tổng hợp tiền thu theo mã U'!E297,GMO!G:G)</f>
        <v>0</v>
      </c>
      <c r="G297" s="110">
        <f>SUMIF('Yucho Arai'!N:N,'Tổng hợp tiền thu theo mã U'!E297,'Yucho Arai'!I:I)+SUMIF(GMO!I:I,'Tổng hợp tiền thu theo mã U'!E297,GMO!H:H)+SUMIF('Arai 7121'!H:H,'Tổng hợp tiền thu theo mã U'!E297,'Arai 7121'!B:B)</f>
        <v>3000</v>
      </c>
      <c r="H297" s="70">
        <f t="shared" si="5"/>
        <v>3000</v>
      </c>
    </row>
    <row r="298" spans="4:8">
      <c r="D298">
        <v>296</v>
      </c>
      <c r="E298" s="65" t="s">
        <v>133</v>
      </c>
      <c r="F298" s="110">
        <f>SUMIF('Yucho Arai'!N:N,'Tổng hợp tiền thu theo mã U'!E298,'Yucho Arai'!H:H)+SUMIF(GMO!I:I,'Tổng hợp tiền thu theo mã U'!E298,GMO!G:G)</f>
        <v>0</v>
      </c>
      <c r="G298" s="110">
        <f>SUMIF('Yucho Arai'!N:N,'Tổng hợp tiền thu theo mã U'!E298,'Yucho Arai'!I:I)+SUMIF(GMO!I:I,'Tổng hợp tiền thu theo mã U'!E298,GMO!H:H)+SUMIF('Arai 7121'!H:H,'Tổng hợp tiền thu theo mã U'!E298,'Arai 7121'!B:B)</f>
        <v>2000</v>
      </c>
      <c r="H298" s="70">
        <f t="shared" si="5"/>
        <v>2000</v>
      </c>
    </row>
    <row r="299" spans="4:8">
      <c r="D299">
        <v>297</v>
      </c>
      <c r="E299" s="65" t="s">
        <v>1754</v>
      </c>
      <c r="F299" s="110">
        <f>SUMIF('Yucho Arai'!N:N,'Tổng hợp tiền thu theo mã U'!E299,'Yucho Arai'!H:H)+SUMIF(GMO!I:I,'Tổng hợp tiền thu theo mã U'!E299,GMO!G:G)</f>
        <v>0</v>
      </c>
      <c r="G299" s="110">
        <f>SUMIF('Yucho Arai'!N:N,'Tổng hợp tiền thu theo mã U'!E299,'Yucho Arai'!I:I)+SUMIF(GMO!I:I,'Tổng hợp tiền thu theo mã U'!E299,GMO!H:H)+SUMIF('Arai 7121'!H:H,'Tổng hợp tiền thu theo mã U'!E299,'Arai 7121'!B:B)</f>
        <v>2000</v>
      </c>
      <c r="H299" s="70">
        <f t="shared" si="5"/>
        <v>2000</v>
      </c>
    </row>
    <row r="300" spans="4:8">
      <c r="D300">
        <v>298</v>
      </c>
      <c r="E300" s="65" t="s">
        <v>1225</v>
      </c>
      <c r="F300" s="110">
        <f>SUMIF('Yucho Arai'!N:N,'Tổng hợp tiền thu theo mã U'!E300,'Yucho Arai'!H:H)+SUMIF(GMO!I:I,'Tổng hợp tiền thu theo mã U'!E300,GMO!G:G)</f>
        <v>0</v>
      </c>
      <c r="G300" s="110">
        <f>SUMIF('Yucho Arai'!N:N,'Tổng hợp tiền thu theo mã U'!E300,'Yucho Arai'!I:I)+SUMIF(GMO!I:I,'Tổng hợp tiền thu theo mã U'!E300,GMO!H:H)+SUMIF('Arai 7121'!H:H,'Tổng hợp tiền thu theo mã U'!E300,'Arai 7121'!B:B)</f>
        <v>2000</v>
      </c>
      <c r="H300" s="70">
        <f t="shared" si="5"/>
        <v>2000</v>
      </c>
    </row>
    <row r="301" spans="4:8">
      <c r="D301">
        <v>299</v>
      </c>
      <c r="E301" s="65" t="s">
        <v>47</v>
      </c>
      <c r="F301" s="110">
        <f>SUMIF('Yucho Arai'!N:N,'Tổng hợp tiền thu theo mã U'!E301,'Yucho Arai'!H:H)+SUMIF(GMO!I:I,'Tổng hợp tiền thu theo mã U'!E301,GMO!G:G)</f>
        <v>0</v>
      </c>
      <c r="G301" s="110">
        <f>SUMIF('Yucho Arai'!N:N,'Tổng hợp tiền thu theo mã U'!E301,'Yucho Arai'!I:I)+SUMIF(GMO!I:I,'Tổng hợp tiền thu theo mã U'!E301,GMO!H:H)+SUMIF('Arai 7121'!H:H,'Tổng hợp tiền thu theo mã U'!E301,'Arai 7121'!B:B)</f>
        <v>2000</v>
      </c>
      <c r="H301" s="70">
        <f t="shared" si="5"/>
        <v>2000</v>
      </c>
    </row>
    <row r="302" spans="4:8">
      <c r="D302">
        <v>300</v>
      </c>
      <c r="E302" s="65" t="s">
        <v>1290</v>
      </c>
      <c r="F302" s="110">
        <f>SUMIF('Yucho Arai'!N:N,'Tổng hợp tiền thu theo mã U'!E302,'Yucho Arai'!H:H)+SUMIF(GMO!I:I,'Tổng hợp tiền thu theo mã U'!E302,GMO!G:G)</f>
        <v>0</v>
      </c>
      <c r="G302" s="110">
        <f>SUMIF('Yucho Arai'!N:N,'Tổng hợp tiền thu theo mã U'!E302,'Yucho Arai'!I:I)+SUMIF(GMO!I:I,'Tổng hợp tiền thu theo mã U'!E302,GMO!H:H)+SUMIF('Arai 7121'!H:H,'Tổng hợp tiền thu theo mã U'!E302,'Arai 7121'!B:B)</f>
        <v>2000</v>
      </c>
      <c r="H302" s="70">
        <f t="shared" si="5"/>
        <v>2000</v>
      </c>
    </row>
    <row r="303" spans="4:8">
      <c r="D303">
        <v>301</v>
      </c>
      <c r="E303" s="65" t="s">
        <v>2080</v>
      </c>
      <c r="F303" s="110">
        <f>SUMIF('Yucho Arai'!N:N,'Tổng hợp tiền thu theo mã U'!E303,'Yucho Arai'!H:H)+SUMIF(GMO!I:I,'Tổng hợp tiền thu theo mã U'!E303,GMO!G:G)</f>
        <v>0</v>
      </c>
      <c r="G303" s="110">
        <f>SUMIF('Yucho Arai'!N:N,'Tổng hợp tiền thu theo mã U'!E303,'Yucho Arai'!I:I)+SUMIF(GMO!I:I,'Tổng hợp tiền thu theo mã U'!E303,GMO!H:H)+SUMIF('Arai 7121'!H:H,'Tổng hợp tiền thu theo mã U'!E303,'Arai 7121'!B:B)</f>
        <v>2000</v>
      </c>
      <c r="H303" s="70">
        <f t="shared" si="5"/>
        <v>2000</v>
      </c>
    </row>
    <row r="304" spans="4:8">
      <c r="D304">
        <v>302</v>
      </c>
      <c r="E304" s="65" t="s">
        <v>4031</v>
      </c>
      <c r="F304" s="110">
        <f>SUMIF('Yucho Arai'!N:N,'Tổng hợp tiền thu theo mã U'!E304,'Yucho Arai'!H:H)+SUMIF(GMO!I:I,'Tổng hợp tiền thu theo mã U'!E304,GMO!G:G)</f>
        <v>0</v>
      </c>
      <c r="G304" s="110">
        <f>SUMIF('Yucho Arai'!N:N,'Tổng hợp tiền thu theo mã U'!E304,'Yucho Arai'!I:I)+SUMIF(GMO!I:I,'Tổng hợp tiền thu theo mã U'!E304,GMO!H:H)+SUMIF('Arai 7121'!H:H,'Tổng hợp tiền thu theo mã U'!E304,'Arai 7121'!B:B)</f>
        <v>4000</v>
      </c>
      <c r="H304" s="70">
        <f t="shared" si="5"/>
        <v>4000</v>
      </c>
    </row>
    <row r="305" spans="4:8">
      <c r="D305">
        <v>303</v>
      </c>
      <c r="E305" s="65" t="s">
        <v>2159</v>
      </c>
      <c r="F305" s="110">
        <f>SUMIF('Yucho Arai'!N:N,'Tổng hợp tiền thu theo mã U'!E305,'Yucho Arai'!H:H)+SUMIF(GMO!I:I,'Tổng hợp tiền thu theo mã U'!E305,GMO!G:G)</f>
        <v>0</v>
      </c>
      <c r="G305" s="110">
        <f>SUMIF('Yucho Arai'!N:N,'Tổng hợp tiền thu theo mã U'!E305,'Yucho Arai'!I:I)+SUMIF(GMO!I:I,'Tổng hợp tiền thu theo mã U'!E305,GMO!H:H)+SUMIF('Arai 7121'!H:H,'Tổng hợp tiền thu theo mã U'!E305,'Arai 7121'!B:B)</f>
        <v>2000</v>
      </c>
      <c r="H305" s="70">
        <f t="shared" si="5"/>
        <v>2000</v>
      </c>
    </row>
    <row r="306" spans="4:8">
      <c r="D306">
        <v>304</v>
      </c>
      <c r="E306" s="65" t="s">
        <v>4087</v>
      </c>
      <c r="F306" s="110">
        <f>SUMIF('Yucho Arai'!N:N,'Tổng hợp tiền thu theo mã U'!E306,'Yucho Arai'!H:H)+SUMIF(GMO!I:I,'Tổng hợp tiền thu theo mã U'!E306,GMO!G:G)</f>
        <v>0</v>
      </c>
      <c r="G306" s="110">
        <f>SUMIF('Yucho Arai'!N:N,'Tổng hợp tiền thu theo mã U'!E306,'Yucho Arai'!I:I)+SUMIF(GMO!I:I,'Tổng hợp tiền thu theo mã U'!E306,GMO!H:H)+SUMIF('Arai 7121'!H:H,'Tổng hợp tiền thu theo mã U'!E306,'Arai 7121'!B:B)</f>
        <v>3000</v>
      </c>
      <c r="H306" s="70">
        <f t="shared" si="5"/>
        <v>3000</v>
      </c>
    </row>
    <row r="307" spans="4:8">
      <c r="D307">
        <v>305</v>
      </c>
      <c r="E307" s="65" t="s">
        <v>115</v>
      </c>
      <c r="F307" s="110">
        <f>SUMIF('Yucho Arai'!N:N,'Tổng hợp tiền thu theo mã U'!E307,'Yucho Arai'!H:H)+SUMIF(GMO!I:I,'Tổng hợp tiền thu theo mã U'!E307,GMO!G:G)</f>
        <v>0</v>
      </c>
      <c r="G307" s="110">
        <f>SUMIF('Yucho Arai'!N:N,'Tổng hợp tiền thu theo mã U'!E307,'Yucho Arai'!I:I)+SUMIF(GMO!I:I,'Tổng hợp tiền thu theo mã U'!E307,GMO!H:H)+SUMIF('Arai 7121'!H:H,'Tổng hợp tiền thu theo mã U'!E307,'Arai 7121'!B:B)</f>
        <v>2000</v>
      </c>
      <c r="H307" s="70">
        <f t="shared" si="5"/>
        <v>2000</v>
      </c>
    </row>
    <row r="308" spans="4:8">
      <c r="D308">
        <v>306</v>
      </c>
      <c r="E308" s="65" t="s">
        <v>1792</v>
      </c>
      <c r="F308" s="110">
        <f>SUMIF('Yucho Arai'!N:N,'Tổng hợp tiền thu theo mã U'!E308,'Yucho Arai'!H:H)+SUMIF(GMO!I:I,'Tổng hợp tiền thu theo mã U'!E308,GMO!G:G)</f>
        <v>0</v>
      </c>
      <c r="G308" s="110">
        <f>SUMIF('Yucho Arai'!N:N,'Tổng hợp tiền thu theo mã U'!E308,'Yucho Arai'!I:I)+SUMIF(GMO!I:I,'Tổng hợp tiền thu theo mã U'!E308,GMO!H:H)+SUMIF('Arai 7121'!H:H,'Tổng hợp tiền thu theo mã U'!E308,'Arai 7121'!B:B)</f>
        <v>2000</v>
      </c>
      <c r="H308" s="70">
        <f t="shared" si="5"/>
        <v>2000</v>
      </c>
    </row>
    <row r="309" spans="4:8">
      <c r="D309">
        <v>307</v>
      </c>
      <c r="E309" t="s">
        <v>83</v>
      </c>
      <c r="F309" s="110">
        <f>SUMIF('Yucho Arai'!N:N,'Tổng hợp tiền thu theo mã U'!E309,'Yucho Arai'!H:H)+SUMIF(GMO!I:I,'Tổng hợp tiền thu theo mã U'!E309,GMO!G:G)</f>
        <v>0</v>
      </c>
      <c r="G309" s="110">
        <f>SUMIF('Yucho Arai'!N:N,'Tổng hợp tiền thu theo mã U'!E309,'Yucho Arai'!I:I)+SUMIF(GMO!I:I,'Tổng hợp tiền thu theo mã U'!E309,GMO!H:H)+SUMIF('Arai 7121'!H:H,'Tổng hợp tiền thu theo mã U'!E309,'Arai 7121'!B:B)</f>
        <v>2000</v>
      </c>
      <c r="H309" s="70">
        <f t="shared" si="5"/>
        <v>2000</v>
      </c>
    </row>
    <row r="310" spans="4:8">
      <c r="D310">
        <v>308</v>
      </c>
      <c r="E310" s="65" t="s">
        <v>99</v>
      </c>
      <c r="F310" s="110">
        <f>SUMIF('Yucho Arai'!N:N,'Tổng hợp tiền thu theo mã U'!E310,'Yucho Arai'!H:H)+SUMIF(GMO!I:I,'Tổng hợp tiền thu theo mã U'!E310,GMO!G:G)</f>
        <v>0</v>
      </c>
      <c r="G310" s="110">
        <f>SUMIF('Yucho Arai'!N:N,'Tổng hợp tiền thu theo mã U'!E310,'Yucho Arai'!I:I)+SUMIF(GMO!I:I,'Tổng hợp tiền thu theo mã U'!E310,GMO!H:H)+SUMIF('Arai 7121'!H:H,'Tổng hợp tiền thu theo mã U'!E310,'Arai 7121'!B:B)</f>
        <v>4000</v>
      </c>
      <c r="H310" s="70">
        <f t="shared" si="5"/>
        <v>4000</v>
      </c>
    </row>
    <row r="311" spans="4:8">
      <c r="D311">
        <v>309</v>
      </c>
      <c r="E311" s="65" t="s">
        <v>82</v>
      </c>
      <c r="F311" s="110">
        <f>SUMIF('Yucho Arai'!N:N,'Tổng hợp tiền thu theo mã U'!E311,'Yucho Arai'!H:H)+SUMIF(GMO!I:I,'Tổng hợp tiền thu theo mã U'!E311,GMO!G:G)</f>
        <v>0</v>
      </c>
      <c r="G311" s="110">
        <f>SUMIF('Yucho Arai'!N:N,'Tổng hợp tiền thu theo mã U'!E311,'Yucho Arai'!I:I)+SUMIF(GMO!I:I,'Tổng hợp tiền thu theo mã U'!E311,GMO!H:H)+SUMIF('Arai 7121'!H:H,'Tổng hợp tiền thu theo mã U'!E311,'Arai 7121'!B:B)</f>
        <v>2000</v>
      </c>
      <c r="H311" s="70">
        <f t="shared" si="5"/>
        <v>2000</v>
      </c>
    </row>
    <row r="312" spans="4:8">
      <c r="D312">
        <v>310</v>
      </c>
      <c r="E312" s="65" t="s">
        <v>121</v>
      </c>
      <c r="F312" s="110">
        <f>SUMIF('Yucho Arai'!N:N,'Tổng hợp tiền thu theo mã U'!E312,'Yucho Arai'!H:H)+SUMIF(GMO!I:I,'Tổng hợp tiền thu theo mã U'!E312,GMO!G:G)</f>
        <v>0</v>
      </c>
      <c r="G312" s="110">
        <f>SUMIF('Yucho Arai'!N:N,'Tổng hợp tiền thu theo mã U'!E312,'Yucho Arai'!I:I)+SUMIF(GMO!I:I,'Tổng hợp tiền thu theo mã U'!E312,GMO!H:H)+SUMIF('Arai 7121'!H:H,'Tổng hợp tiền thu theo mã U'!E312,'Arai 7121'!B:B)</f>
        <v>2000</v>
      </c>
      <c r="H312" s="70">
        <f t="shared" si="5"/>
        <v>2000</v>
      </c>
    </row>
    <row r="313" spans="4:8">
      <c r="D313">
        <v>311</v>
      </c>
      <c r="E313" s="65" t="s">
        <v>128</v>
      </c>
      <c r="F313" s="110">
        <f>SUMIF('Yucho Arai'!N:N,'Tổng hợp tiền thu theo mã U'!E313,'Yucho Arai'!H:H)+SUMIF(GMO!I:I,'Tổng hợp tiền thu theo mã U'!E313,GMO!G:G)</f>
        <v>0</v>
      </c>
      <c r="G313" s="110">
        <f>SUMIF('Yucho Arai'!N:N,'Tổng hợp tiền thu theo mã U'!E313,'Yucho Arai'!I:I)+SUMIF(GMO!I:I,'Tổng hợp tiền thu theo mã U'!E313,GMO!H:H)+SUMIF('Arai 7121'!H:H,'Tổng hợp tiền thu theo mã U'!E313,'Arai 7121'!B:B)</f>
        <v>2000</v>
      </c>
      <c r="H313" s="70">
        <f t="shared" si="5"/>
        <v>2000</v>
      </c>
    </row>
    <row r="314" spans="4:8">
      <c r="D314">
        <v>312</v>
      </c>
      <c r="E314" s="65" t="s">
        <v>78</v>
      </c>
      <c r="F314" s="110">
        <f>SUMIF('Yucho Arai'!N:N,'Tổng hợp tiền thu theo mã U'!E314,'Yucho Arai'!H:H)+SUMIF(GMO!I:I,'Tổng hợp tiền thu theo mã U'!E314,GMO!G:G)</f>
        <v>0</v>
      </c>
      <c r="G314" s="110">
        <f>SUMIF('Yucho Arai'!N:N,'Tổng hợp tiền thu theo mã U'!E314,'Yucho Arai'!I:I)+SUMIF(GMO!I:I,'Tổng hợp tiền thu theo mã U'!E314,GMO!H:H)+SUMIF('Arai 7121'!H:H,'Tổng hợp tiền thu theo mã U'!E314,'Arai 7121'!B:B)</f>
        <v>2000</v>
      </c>
      <c r="H314" s="70">
        <f t="shared" si="5"/>
        <v>2000</v>
      </c>
    </row>
    <row r="315" spans="4:8">
      <c r="D315">
        <v>313</v>
      </c>
      <c r="E315" s="65" t="s">
        <v>66</v>
      </c>
      <c r="F315" s="110">
        <f>SUMIF('Yucho Arai'!N:N,'Tổng hợp tiền thu theo mã U'!E315,'Yucho Arai'!H:H)+SUMIF(GMO!I:I,'Tổng hợp tiền thu theo mã U'!E315,GMO!G:G)</f>
        <v>0</v>
      </c>
      <c r="G315" s="110">
        <f>SUMIF('Yucho Arai'!N:N,'Tổng hợp tiền thu theo mã U'!E315,'Yucho Arai'!I:I)+SUMIF(GMO!I:I,'Tổng hợp tiền thu theo mã U'!E315,GMO!H:H)+SUMIF('Arai 7121'!H:H,'Tổng hợp tiền thu theo mã U'!E315,'Arai 7121'!B:B)</f>
        <v>2000</v>
      </c>
      <c r="H315" s="70">
        <f t="shared" si="5"/>
        <v>2000</v>
      </c>
    </row>
    <row r="316" spans="4:8">
      <c r="D316">
        <v>314</v>
      </c>
      <c r="E316" s="65" t="s">
        <v>1973</v>
      </c>
      <c r="F316" s="110">
        <f>SUMIF('Yucho Arai'!N:N,'Tổng hợp tiền thu theo mã U'!E316,'Yucho Arai'!H:H)+SUMIF(GMO!I:I,'Tổng hợp tiền thu theo mã U'!E316,GMO!G:G)</f>
        <v>0</v>
      </c>
      <c r="G316" s="110">
        <f>SUMIF('Yucho Arai'!N:N,'Tổng hợp tiền thu theo mã U'!E316,'Yucho Arai'!I:I)+SUMIF(GMO!I:I,'Tổng hợp tiền thu theo mã U'!E316,GMO!H:H)+SUMIF('Arai 7121'!H:H,'Tổng hợp tiền thu theo mã U'!E316,'Arai 7121'!B:B)</f>
        <v>2000</v>
      </c>
      <c r="H316" s="70">
        <f t="shared" si="5"/>
        <v>2000</v>
      </c>
    </row>
    <row r="317" spans="4:8">
      <c r="D317">
        <v>315</v>
      </c>
      <c r="E317" s="65" t="s">
        <v>4037</v>
      </c>
      <c r="F317" s="110">
        <f>SUMIF('Yucho Arai'!N:N,'Tổng hợp tiền thu theo mã U'!E317,'Yucho Arai'!H:H)+SUMIF(GMO!I:I,'Tổng hợp tiền thu theo mã U'!E317,GMO!G:G)</f>
        <v>0</v>
      </c>
      <c r="G317" s="110">
        <f>SUMIF('Yucho Arai'!N:N,'Tổng hợp tiền thu theo mã U'!E317,'Yucho Arai'!I:I)+SUMIF(GMO!I:I,'Tổng hợp tiền thu theo mã U'!E317,GMO!H:H)+SUMIF('Arai 7121'!H:H,'Tổng hợp tiền thu theo mã U'!E317,'Arai 7121'!B:B)</f>
        <v>2000</v>
      </c>
      <c r="H317" s="70">
        <f t="shared" si="5"/>
        <v>2000</v>
      </c>
    </row>
    <row r="318" spans="4:8">
      <c r="D318">
        <v>316</v>
      </c>
      <c r="E318" s="65" t="s">
        <v>120</v>
      </c>
      <c r="F318" s="110">
        <f>SUMIF('Yucho Arai'!N:N,'Tổng hợp tiền thu theo mã U'!E318,'Yucho Arai'!H:H)+SUMIF(GMO!I:I,'Tổng hợp tiền thu theo mã U'!E318,GMO!G:G)</f>
        <v>0</v>
      </c>
      <c r="G318" s="110">
        <f>SUMIF('Yucho Arai'!N:N,'Tổng hợp tiền thu theo mã U'!E318,'Yucho Arai'!I:I)+SUMIF(GMO!I:I,'Tổng hợp tiền thu theo mã U'!E318,GMO!H:H)+SUMIF('Arai 7121'!H:H,'Tổng hợp tiền thu theo mã U'!E318,'Arai 7121'!B:B)</f>
        <v>2000</v>
      </c>
      <c r="H318" s="70">
        <f t="shared" si="5"/>
        <v>2000</v>
      </c>
    </row>
    <row r="319" spans="4:8">
      <c r="D319">
        <v>317</v>
      </c>
      <c r="E319" s="65" t="s">
        <v>124</v>
      </c>
      <c r="F319" s="110">
        <f>SUMIF('Yucho Arai'!N:N,'Tổng hợp tiền thu theo mã U'!E319,'Yucho Arai'!H:H)+SUMIF(GMO!I:I,'Tổng hợp tiền thu theo mã U'!E319,GMO!G:G)</f>
        <v>0</v>
      </c>
      <c r="G319" s="110">
        <f>SUMIF('Yucho Arai'!N:N,'Tổng hợp tiền thu theo mã U'!E319,'Yucho Arai'!I:I)+SUMIF(GMO!I:I,'Tổng hợp tiền thu theo mã U'!E319,GMO!H:H)+SUMIF('Arai 7121'!H:H,'Tổng hợp tiền thu theo mã U'!E319,'Arai 7121'!B:B)</f>
        <v>1800</v>
      </c>
      <c r="H319" s="70">
        <f t="shared" si="5"/>
        <v>1800</v>
      </c>
    </row>
    <row r="320" spans="4:8">
      <c r="D320">
        <v>318</v>
      </c>
      <c r="E320" s="65" t="s">
        <v>1283</v>
      </c>
      <c r="F320" s="110">
        <f>SUMIF('Yucho Arai'!N:N,'Tổng hợp tiền thu theo mã U'!E320,'Yucho Arai'!H:H)+SUMIF(GMO!I:I,'Tổng hợp tiền thu theo mã U'!E320,GMO!G:G)</f>
        <v>0</v>
      </c>
      <c r="G320" s="110">
        <f>SUMIF('Yucho Arai'!N:N,'Tổng hợp tiền thu theo mã U'!E320,'Yucho Arai'!I:I)+SUMIF(GMO!I:I,'Tổng hợp tiền thu theo mã U'!E320,GMO!H:H)+SUMIF('Arai 7121'!H:H,'Tổng hợp tiền thu theo mã U'!E320,'Arai 7121'!B:B)</f>
        <v>2000</v>
      </c>
      <c r="H320" s="70">
        <f t="shared" si="5"/>
        <v>2000</v>
      </c>
    </row>
    <row r="321" spans="4:8">
      <c r="D321">
        <v>319</v>
      </c>
      <c r="E321" s="65" t="s">
        <v>1319</v>
      </c>
      <c r="F321" s="110">
        <f>SUMIF('Yucho Arai'!N:N,'Tổng hợp tiền thu theo mã U'!E321,'Yucho Arai'!H:H)+SUMIF(GMO!I:I,'Tổng hợp tiền thu theo mã U'!E321,GMO!G:G)</f>
        <v>0</v>
      </c>
      <c r="G321" s="110">
        <f>SUMIF('Yucho Arai'!N:N,'Tổng hợp tiền thu theo mã U'!E321,'Yucho Arai'!I:I)+SUMIF(GMO!I:I,'Tổng hợp tiền thu theo mã U'!E321,GMO!H:H)+SUMIF('Arai 7121'!H:H,'Tổng hợp tiền thu theo mã U'!E321,'Arai 7121'!B:B)</f>
        <v>2000</v>
      </c>
      <c r="H321" s="70">
        <f t="shared" si="5"/>
        <v>2000</v>
      </c>
    </row>
    <row r="322" spans="4:8">
      <c r="D322">
        <v>320</v>
      </c>
      <c r="E322" t="s">
        <v>1060</v>
      </c>
      <c r="F322" s="110">
        <f>SUMIF('Yucho Arai'!N:N,'Tổng hợp tiền thu theo mã U'!E322,'Yucho Arai'!H:H)+SUMIF(GMO!I:I,'Tổng hợp tiền thu theo mã U'!E322,GMO!G:G)</f>
        <v>4000</v>
      </c>
      <c r="G322" s="110">
        <f>SUMIF('Yucho Arai'!N:N,'Tổng hợp tiền thu theo mã U'!E322,'Yucho Arai'!I:I)+SUMIF(GMO!I:I,'Tổng hợp tiền thu theo mã U'!E322,GMO!H:H)+SUMIF('Arai 7121'!H:H,'Tổng hợp tiền thu theo mã U'!E322,'Arai 7121'!B:B)</f>
        <v>0</v>
      </c>
      <c r="H322" s="70">
        <f t="shared" si="5"/>
        <v>4000</v>
      </c>
    </row>
    <row r="323" spans="4:8">
      <c r="D323">
        <v>321</v>
      </c>
      <c r="E323" s="65" t="s">
        <v>108</v>
      </c>
      <c r="F323" s="110">
        <f>SUMIF('Yucho Arai'!N:N,'Tổng hợp tiền thu theo mã U'!E323,'Yucho Arai'!H:H)+SUMIF(GMO!I:I,'Tổng hợp tiền thu theo mã U'!E323,GMO!G:G)</f>
        <v>0</v>
      </c>
      <c r="G323" s="110">
        <f>SUMIF('Yucho Arai'!N:N,'Tổng hợp tiền thu theo mã U'!E323,'Yucho Arai'!I:I)+SUMIF(GMO!I:I,'Tổng hợp tiền thu theo mã U'!E323,GMO!H:H)+SUMIF('Arai 7121'!H:H,'Tổng hợp tiền thu theo mã U'!E323,'Arai 7121'!B:B)</f>
        <v>2000</v>
      </c>
      <c r="H323" s="70">
        <f t="shared" si="5"/>
        <v>2000</v>
      </c>
    </row>
    <row r="324" spans="4:8">
      <c r="D324">
        <v>322</v>
      </c>
      <c r="E324" s="65" t="s">
        <v>4082</v>
      </c>
      <c r="F324" s="110">
        <f>SUMIF('Yucho Arai'!N:N,'Tổng hợp tiền thu theo mã U'!E324,'Yucho Arai'!H:H)+SUMIF(GMO!I:I,'Tổng hợp tiền thu theo mã U'!E324,GMO!G:G)</f>
        <v>0</v>
      </c>
      <c r="G324" s="110">
        <f>SUMIF('Yucho Arai'!N:N,'Tổng hợp tiền thu theo mã U'!E324,'Yucho Arai'!I:I)+SUMIF(GMO!I:I,'Tổng hợp tiền thu theo mã U'!E324,GMO!H:H)+SUMIF('Arai 7121'!H:H,'Tổng hợp tiền thu theo mã U'!E324,'Arai 7121'!B:B)</f>
        <v>2000</v>
      </c>
      <c r="H324" s="70">
        <f t="shared" ref="H324:H387" si="6">G324+F324</f>
        <v>2000</v>
      </c>
    </row>
    <row r="325" spans="4:8">
      <c r="D325">
        <v>323</v>
      </c>
      <c r="E325" s="65" t="s">
        <v>113</v>
      </c>
      <c r="F325" s="110">
        <f>SUMIF('Yucho Arai'!N:N,'Tổng hợp tiền thu theo mã U'!E325,'Yucho Arai'!H:H)+SUMIF(GMO!I:I,'Tổng hợp tiền thu theo mã U'!E325,GMO!G:G)</f>
        <v>0</v>
      </c>
      <c r="G325" s="110">
        <f>SUMIF('Yucho Arai'!N:N,'Tổng hợp tiền thu theo mã U'!E325,'Yucho Arai'!I:I)+SUMIF(GMO!I:I,'Tổng hợp tiền thu theo mã U'!E325,GMO!H:H)+SUMIF('Arai 7121'!H:H,'Tổng hợp tiền thu theo mã U'!E325,'Arai 7121'!B:B)</f>
        <v>2000</v>
      </c>
      <c r="H325" s="70">
        <f t="shared" si="6"/>
        <v>2000</v>
      </c>
    </row>
    <row r="326" spans="4:8">
      <c r="D326">
        <v>324</v>
      </c>
      <c r="E326" s="65" t="s">
        <v>2051</v>
      </c>
      <c r="F326" s="110">
        <f>SUMIF('Yucho Arai'!N:N,'Tổng hợp tiền thu theo mã U'!E326,'Yucho Arai'!H:H)+SUMIF(GMO!I:I,'Tổng hợp tiền thu theo mã U'!E326,GMO!G:G)</f>
        <v>0</v>
      </c>
      <c r="G326" s="110">
        <f>SUMIF('Yucho Arai'!N:N,'Tổng hợp tiền thu theo mã U'!E326,'Yucho Arai'!I:I)+SUMIF(GMO!I:I,'Tổng hợp tiền thu theo mã U'!E326,GMO!H:H)+SUMIF('Arai 7121'!H:H,'Tổng hợp tiền thu theo mã U'!E326,'Arai 7121'!B:B)</f>
        <v>2000</v>
      </c>
      <c r="H326" s="70">
        <f t="shared" si="6"/>
        <v>2000</v>
      </c>
    </row>
    <row r="327" spans="4:8">
      <c r="D327">
        <v>325</v>
      </c>
      <c r="E327" s="65" t="s">
        <v>2058</v>
      </c>
      <c r="F327" s="110">
        <f>SUMIF('Yucho Arai'!N:N,'Tổng hợp tiền thu theo mã U'!E327,'Yucho Arai'!H:H)+SUMIF(GMO!I:I,'Tổng hợp tiền thu theo mã U'!E327,GMO!G:G)</f>
        <v>0</v>
      </c>
      <c r="G327" s="110">
        <f>SUMIF('Yucho Arai'!N:N,'Tổng hợp tiền thu theo mã U'!E327,'Yucho Arai'!I:I)+SUMIF(GMO!I:I,'Tổng hợp tiền thu theo mã U'!E327,GMO!H:H)+SUMIF('Arai 7121'!H:H,'Tổng hợp tiền thu theo mã U'!E327,'Arai 7121'!B:B)</f>
        <v>2000</v>
      </c>
      <c r="H327" s="70">
        <f t="shared" si="6"/>
        <v>2000</v>
      </c>
    </row>
    <row r="328" spans="4:8">
      <c r="D328">
        <v>326</v>
      </c>
      <c r="E328" s="65" t="s">
        <v>112</v>
      </c>
      <c r="F328" s="110">
        <f>SUMIF('Yucho Arai'!N:N,'Tổng hợp tiền thu theo mã U'!E328,'Yucho Arai'!H:H)+SUMIF(GMO!I:I,'Tổng hợp tiền thu theo mã U'!E328,GMO!G:G)</f>
        <v>0</v>
      </c>
      <c r="G328" s="110">
        <f>SUMIF('Yucho Arai'!N:N,'Tổng hợp tiền thu theo mã U'!E328,'Yucho Arai'!I:I)+SUMIF(GMO!I:I,'Tổng hợp tiền thu theo mã U'!E328,GMO!H:H)+SUMIF('Arai 7121'!H:H,'Tổng hợp tiền thu theo mã U'!E328,'Arai 7121'!B:B)</f>
        <v>2000</v>
      </c>
      <c r="H328" s="70">
        <f t="shared" si="6"/>
        <v>2000</v>
      </c>
    </row>
    <row r="329" spans="4:8">
      <c r="D329">
        <v>327</v>
      </c>
      <c r="E329" s="65" t="s">
        <v>97</v>
      </c>
      <c r="F329" s="110">
        <f>SUMIF('Yucho Arai'!N:N,'Tổng hợp tiền thu theo mã U'!E329,'Yucho Arai'!H:H)+SUMIF(GMO!I:I,'Tổng hợp tiền thu theo mã U'!E329,GMO!G:G)</f>
        <v>0</v>
      </c>
      <c r="G329" s="110">
        <f>SUMIF('Yucho Arai'!N:N,'Tổng hợp tiền thu theo mã U'!E329,'Yucho Arai'!I:I)+SUMIF(GMO!I:I,'Tổng hợp tiền thu theo mã U'!E329,GMO!H:H)+SUMIF('Arai 7121'!H:H,'Tổng hợp tiền thu theo mã U'!E329,'Arai 7121'!B:B)</f>
        <v>2000</v>
      </c>
      <c r="H329" s="70">
        <f t="shared" si="6"/>
        <v>2000</v>
      </c>
    </row>
    <row r="330" spans="4:8">
      <c r="D330">
        <v>328</v>
      </c>
      <c r="E330" s="65" t="s">
        <v>2151</v>
      </c>
      <c r="F330" s="110">
        <f>SUMIF('Yucho Arai'!N:N,'Tổng hợp tiền thu theo mã U'!E330,'Yucho Arai'!H:H)+SUMIF(GMO!I:I,'Tổng hợp tiền thu theo mã U'!E330,GMO!G:G)</f>
        <v>0</v>
      </c>
      <c r="G330" s="110">
        <f>SUMIF('Yucho Arai'!N:N,'Tổng hợp tiền thu theo mã U'!E330,'Yucho Arai'!I:I)+SUMIF(GMO!I:I,'Tổng hợp tiền thu theo mã U'!E330,GMO!H:H)+SUMIF('Arai 7121'!H:H,'Tổng hợp tiền thu theo mã U'!E330,'Arai 7121'!B:B)</f>
        <v>2000</v>
      </c>
      <c r="H330" s="70">
        <f t="shared" si="6"/>
        <v>2000</v>
      </c>
    </row>
    <row r="331" spans="4:8">
      <c r="D331">
        <v>329</v>
      </c>
      <c r="E331" s="65" t="s">
        <v>4046</v>
      </c>
      <c r="F331" s="110">
        <f>SUMIF('Yucho Arai'!N:N,'Tổng hợp tiền thu theo mã U'!E331,'Yucho Arai'!H:H)+SUMIF(GMO!I:I,'Tổng hợp tiền thu theo mã U'!E331,GMO!G:G)</f>
        <v>0</v>
      </c>
      <c r="G331" s="110">
        <f>SUMIF('Yucho Arai'!N:N,'Tổng hợp tiền thu theo mã U'!E331,'Yucho Arai'!I:I)+SUMIF(GMO!I:I,'Tổng hợp tiền thu theo mã U'!E331,GMO!H:H)+SUMIF('Arai 7121'!H:H,'Tổng hợp tiền thu theo mã U'!E331,'Arai 7121'!B:B)</f>
        <v>2000</v>
      </c>
      <c r="H331" s="70">
        <f t="shared" si="6"/>
        <v>2000</v>
      </c>
    </row>
    <row r="332" spans="4:8">
      <c r="D332">
        <v>330</v>
      </c>
      <c r="E332" s="65" t="s">
        <v>1901</v>
      </c>
      <c r="F332" s="110">
        <f>SUMIF('Yucho Arai'!N:N,'Tổng hợp tiền thu theo mã U'!E332,'Yucho Arai'!H:H)+SUMIF(GMO!I:I,'Tổng hợp tiền thu theo mã U'!E332,GMO!G:G)</f>
        <v>0</v>
      </c>
      <c r="G332" s="110">
        <f>SUMIF('Yucho Arai'!N:N,'Tổng hợp tiền thu theo mã U'!E332,'Yucho Arai'!I:I)+SUMIF(GMO!I:I,'Tổng hợp tiền thu theo mã U'!E332,GMO!H:H)+SUMIF('Arai 7121'!H:H,'Tổng hợp tiền thu theo mã U'!E332,'Arai 7121'!B:B)</f>
        <v>2000</v>
      </c>
      <c r="H332" s="70">
        <f t="shared" si="6"/>
        <v>2000</v>
      </c>
    </row>
    <row r="333" spans="4:8">
      <c r="D333">
        <v>331</v>
      </c>
      <c r="E333" s="65" t="s">
        <v>4030</v>
      </c>
      <c r="F333" s="110">
        <f>SUMIF('Yucho Arai'!N:N,'Tổng hợp tiền thu theo mã U'!E333,'Yucho Arai'!H:H)+SUMIF(GMO!I:I,'Tổng hợp tiền thu theo mã U'!E333,GMO!G:G)</f>
        <v>0</v>
      </c>
      <c r="G333" s="110">
        <f>SUMIF('Yucho Arai'!N:N,'Tổng hợp tiền thu theo mã U'!E333,'Yucho Arai'!I:I)+SUMIF(GMO!I:I,'Tổng hợp tiền thu theo mã U'!E333,GMO!H:H)+SUMIF('Arai 7121'!H:H,'Tổng hợp tiền thu theo mã U'!E333,'Arai 7121'!B:B)</f>
        <v>2000</v>
      </c>
      <c r="H333" s="70">
        <f t="shared" si="6"/>
        <v>2000</v>
      </c>
    </row>
    <row r="334" spans="4:8">
      <c r="D334">
        <v>332</v>
      </c>
      <c r="E334" s="65" t="s">
        <v>2045</v>
      </c>
      <c r="F334" s="110">
        <f>SUMIF('Yucho Arai'!N:N,'Tổng hợp tiền thu theo mã U'!E334,'Yucho Arai'!H:H)+SUMIF(GMO!I:I,'Tổng hợp tiền thu theo mã U'!E334,GMO!G:G)</f>
        <v>0</v>
      </c>
      <c r="G334" s="110">
        <f>SUMIF('Yucho Arai'!N:N,'Tổng hợp tiền thu theo mã U'!E334,'Yucho Arai'!I:I)+SUMIF(GMO!I:I,'Tổng hợp tiền thu theo mã U'!E334,GMO!H:H)+SUMIF('Arai 7121'!H:H,'Tổng hợp tiền thu theo mã U'!E334,'Arai 7121'!B:B)</f>
        <v>2000</v>
      </c>
      <c r="H334" s="70">
        <f t="shared" si="6"/>
        <v>2000</v>
      </c>
    </row>
    <row r="335" spans="4:8">
      <c r="D335">
        <v>333</v>
      </c>
      <c r="E335" s="65" t="s">
        <v>1908</v>
      </c>
      <c r="F335" s="110">
        <f>SUMIF('Yucho Arai'!N:N,'Tổng hợp tiền thu theo mã U'!E335,'Yucho Arai'!H:H)+SUMIF(GMO!I:I,'Tổng hợp tiền thu theo mã U'!E335,GMO!G:G)</f>
        <v>0</v>
      </c>
      <c r="G335" s="110">
        <f>SUMIF('Yucho Arai'!N:N,'Tổng hợp tiền thu theo mã U'!E335,'Yucho Arai'!I:I)+SUMIF(GMO!I:I,'Tổng hợp tiền thu theo mã U'!E335,GMO!H:H)+SUMIF('Arai 7121'!H:H,'Tổng hợp tiền thu theo mã U'!E335,'Arai 7121'!B:B)</f>
        <v>2000</v>
      </c>
      <c r="H335" s="70">
        <f t="shared" si="6"/>
        <v>2000</v>
      </c>
    </row>
    <row r="336" spans="4:8">
      <c r="D336">
        <v>334</v>
      </c>
      <c r="E336" s="65" t="s">
        <v>4018</v>
      </c>
      <c r="F336" s="110">
        <f>SUMIF('Yucho Arai'!N:N,'Tổng hợp tiền thu theo mã U'!E336,'Yucho Arai'!H:H)+SUMIF(GMO!I:I,'Tổng hợp tiền thu theo mã U'!E336,GMO!G:G)</f>
        <v>0</v>
      </c>
      <c r="G336" s="110">
        <f>SUMIF('Yucho Arai'!N:N,'Tổng hợp tiền thu theo mã U'!E336,'Yucho Arai'!I:I)+SUMIF(GMO!I:I,'Tổng hợp tiền thu theo mã U'!E336,GMO!H:H)+SUMIF('Arai 7121'!H:H,'Tổng hợp tiền thu theo mã U'!E336,'Arai 7121'!B:B)</f>
        <v>4000</v>
      </c>
      <c r="H336" s="70">
        <f t="shared" si="6"/>
        <v>4000</v>
      </c>
    </row>
    <row r="337" spans="4:8">
      <c r="D337">
        <v>335</v>
      </c>
      <c r="E337" s="65" t="s">
        <v>4042</v>
      </c>
      <c r="F337" s="110">
        <f>SUMIF('Yucho Arai'!N:N,'Tổng hợp tiền thu theo mã U'!E337,'Yucho Arai'!H:H)+SUMIF(GMO!I:I,'Tổng hợp tiền thu theo mã U'!E337,GMO!G:G)</f>
        <v>0</v>
      </c>
      <c r="G337" s="110">
        <f>SUMIF('Yucho Arai'!N:N,'Tổng hợp tiền thu theo mã U'!E337,'Yucho Arai'!I:I)+SUMIF(GMO!I:I,'Tổng hợp tiền thu theo mã U'!E337,GMO!H:H)+SUMIF('Arai 7121'!H:H,'Tổng hợp tiền thu theo mã U'!E337,'Arai 7121'!B:B)</f>
        <v>2000</v>
      </c>
      <c r="H337" s="70">
        <f t="shared" si="6"/>
        <v>2000</v>
      </c>
    </row>
    <row r="338" spans="4:8">
      <c r="D338">
        <v>336</v>
      </c>
      <c r="E338" t="s">
        <v>86</v>
      </c>
      <c r="F338" s="110">
        <f>SUMIF('Yucho Arai'!N:N,'Tổng hợp tiền thu theo mã U'!E338,'Yucho Arai'!H:H)+SUMIF(GMO!I:I,'Tổng hợp tiền thu theo mã U'!E338,GMO!G:G)</f>
        <v>0</v>
      </c>
      <c r="G338" s="110">
        <f>SUMIF('Yucho Arai'!N:N,'Tổng hợp tiền thu theo mã U'!E338,'Yucho Arai'!I:I)+SUMIF(GMO!I:I,'Tổng hợp tiền thu theo mã U'!E338,GMO!H:H)+SUMIF('Arai 7121'!H:H,'Tổng hợp tiền thu theo mã U'!E338,'Arai 7121'!B:B)</f>
        <v>2000</v>
      </c>
      <c r="H338" s="70">
        <f t="shared" si="6"/>
        <v>2000</v>
      </c>
    </row>
    <row r="339" spans="4:8">
      <c r="D339">
        <v>337</v>
      </c>
      <c r="E339" t="s">
        <v>4019</v>
      </c>
      <c r="F339" s="110">
        <f>SUMIF('Yucho Arai'!N:N,'Tổng hợp tiền thu theo mã U'!E339,'Yucho Arai'!H:H)+SUMIF(GMO!I:I,'Tổng hợp tiền thu theo mã U'!E339,GMO!G:G)</f>
        <v>0</v>
      </c>
      <c r="G339" s="110">
        <f>SUMIF('Yucho Arai'!N:N,'Tổng hợp tiền thu theo mã U'!E339,'Yucho Arai'!I:I)+SUMIF(GMO!I:I,'Tổng hợp tiền thu theo mã U'!E339,GMO!H:H)+SUMIF('Arai 7121'!H:H,'Tổng hợp tiền thu theo mã U'!E339,'Arai 7121'!B:B)</f>
        <v>2000</v>
      </c>
      <c r="H339" s="70">
        <f t="shared" si="6"/>
        <v>2000</v>
      </c>
    </row>
    <row r="340" spans="4:8">
      <c r="D340">
        <v>338</v>
      </c>
      <c r="E340" s="65" t="s">
        <v>80</v>
      </c>
      <c r="F340" s="110">
        <f>SUMIF('Yucho Arai'!N:N,'Tổng hợp tiền thu theo mã U'!E340,'Yucho Arai'!H:H)+SUMIF(GMO!I:I,'Tổng hợp tiền thu theo mã U'!E340,GMO!G:G)</f>
        <v>0</v>
      </c>
      <c r="G340" s="110">
        <f>SUMIF('Yucho Arai'!N:N,'Tổng hợp tiền thu theo mã U'!E340,'Yucho Arai'!I:I)+SUMIF(GMO!I:I,'Tổng hợp tiền thu theo mã U'!E340,GMO!H:H)+SUMIF('Arai 7121'!H:H,'Tổng hợp tiền thu theo mã U'!E340,'Arai 7121'!B:B)</f>
        <v>2000</v>
      </c>
      <c r="H340" s="70">
        <f t="shared" si="6"/>
        <v>2000</v>
      </c>
    </row>
    <row r="341" spans="4:8">
      <c r="D341">
        <v>339</v>
      </c>
      <c r="E341" s="65" t="s">
        <v>118</v>
      </c>
      <c r="F341" s="110">
        <f>SUMIF('Yucho Arai'!N:N,'Tổng hợp tiền thu theo mã U'!E341,'Yucho Arai'!H:H)+SUMIF(GMO!I:I,'Tổng hợp tiền thu theo mã U'!E341,GMO!G:G)</f>
        <v>0</v>
      </c>
      <c r="G341" s="110">
        <f>SUMIF('Yucho Arai'!N:N,'Tổng hợp tiền thu theo mã U'!E341,'Yucho Arai'!I:I)+SUMIF(GMO!I:I,'Tổng hợp tiền thu theo mã U'!E341,GMO!H:H)+SUMIF('Arai 7121'!H:H,'Tổng hợp tiền thu theo mã U'!E341,'Arai 7121'!B:B)</f>
        <v>2000</v>
      </c>
      <c r="H341" s="70">
        <f t="shared" si="6"/>
        <v>2000</v>
      </c>
    </row>
    <row r="342" spans="4:8">
      <c r="D342">
        <v>340</v>
      </c>
      <c r="E342" s="65" t="s">
        <v>1205</v>
      </c>
      <c r="F342" s="110">
        <f>SUMIF('Yucho Arai'!N:N,'Tổng hợp tiền thu theo mã U'!E342,'Yucho Arai'!H:H)+SUMIF(GMO!I:I,'Tổng hợp tiền thu theo mã U'!E342,GMO!G:G)</f>
        <v>0</v>
      </c>
      <c r="G342" s="110">
        <f>SUMIF('Yucho Arai'!N:N,'Tổng hợp tiền thu theo mã U'!E342,'Yucho Arai'!I:I)+SUMIF(GMO!I:I,'Tổng hợp tiền thu theo mã U'!E342,GMO!H:H)+SUMIF('Arai 7121'!H:H,'Tổng hợp tiền thu theo mã U'!E342,'Arai 7121'!B:B)</f>
        <v>2000</v>
      </c>
      <c r="H342" s="70">
        <f t="shared" si="6"/>
        <v>2000</v>
      </c>
    </row>
    <row r="343" spans="4:8">
      <c r="D343">
        <v>341</v>
      </c>
      <c r="E343" s="65" t="s">
        <v>4109</v>
      </c>
      <c r="F343" s="110">
        <f>SUMIF('Yucho Arai'!N:N,'Tổng hợp tiền thu theo mã U'!E343,'Yucho Arai'!H:H)+SUMIF(GMO!I:I,'Tổng hợp tiền thu theo mã U'!E343,GMO!G:G)</f>
        <v>0</v>
      </c>
      <c r="G343" s="110">
        <f>SUMIF('Yucho Arai'!N:N,'Tổng hợp tiền thu theo mã U'!E343,'Yucho Arai'!I:I)+SUMIF(GMO!I:I,'Tổng hợp tiền thu theo mã U'!E343,GMO!H:H)+SUMIF('Arai 7121'!H:H,'Tổng hợp tiền thu theo mã U'!E343,'Arai 7121'!B:B)</f>
        <v>2000</v>
      </c>
      <c r="H343" s="70">
        <f t="shared" si="6"/>
        <v>2000</v>
      </c>
    </row>
    <row r="344" spans="4:8">
      <c r="D344">
        <v>342</v>
      </c>
      <c r="E344" s="65" t="s">
        <v>1787</v>
      </c>
      <c r="F344" s="110">
        <f>SUMIF('Yucho Arai'!N:N,'Tổng hợp tiền thu theo mã U'!E344,'Yucho Arai'!H:H)+SUMIF(GMO!I:I,'Tổng hợp tiền thu theo mã U'!E344,GMO!G:G)</f>
        <v>0</v>
      </c>
      <c r="G344" s="110">
        <f>SUMIF('Yucho Arai'!N:N,'Tổng hợp tiền thu theo mã U'!E344,'Yucho Arai'!I:I)+SUMIF(GMO!I:I,'Tổng hợp tiền thu theo mã U'!E344,GMO!H:H)+SUMIF('Arai 7121'!H:H,'Tổng hợp tiền thu theo mã U'!E344,'Arai 7121'!B:B)</f>
        <v>2000</v>
      </c>
      <c r="H344" s="70">
        <f t="shared" si="6"/>
        <v>2000</v>
      </c>
    </row>
    <row r="345" spans="4:8">
      <c r="D345">
        <v>343</v>
      </c>
      <c r="E345" s="65" t="s">
        <v>1328</v>
      </c>
      <c r="F345" s="110">
        <f>SUMIF('Yucho Arai'!N:N,'Tổng hợp tiền thu theo mã U'!E345,'Yucho Arai'!H:H)+SUMIF(GMO!I:I,'Tổng hợp tiền thu theo mã U'!E345,GMO!G:G)</f>
        <v>0</v>
      </c>
      <c r="G345" s="110">
        <f>SUMIF('Yucho Arai'!N:N,'Tổng hợp tiền thu theo mã U'!E345,'Yucho Arai'!I:I)+SUMIF(GMO!I:I,'Tổng hợp tiền thu theo mã U'!E345,GMO!H:H)+SUMIF('Arai 7121'!H:H,'Tổng hợp tiền thu theo mã U'!E345,'Arai 7121'!B:B)</f>
        <v>2000</v>
      </c>
      <c r="H345" s="70">
        <f t="shared" si="6"/>
        <v>2000</v>
      </c>
    </row>
    <row r="346" spans="4:8">
      <c r="D346">
        <v>344</v>
      </c>
      <c r="E346" s="65" t="s">
        <v>1194</v>
      </c>
      <c r="F346" s="110">
        <f>SUMIF('Yucho Arai'!N:N,'Tổng hợp tiền thu theo mã U'!E346,'Yucho Arai'!H:H)+SUMIF(GMO!I:I,'Tổng hợp tiền thu theo mã U'!E346,GMO!G:G)</f>
        <v>0</v>
      </c>
      <c r="G346" s="110">
        <f>SUMIF('Yucho Arai'!N:N,'Tổng hợp tiền thu theo mã U'!E346,'Yucho Arai'!I:I)+SUMIF(GMO!I:I,'Tổng hợp tiền thu theo mã U'!E346,GMO!H:H)+SUMIF('Arai 7121'!H:H,'Tổng hợp tiền thu theo mã U'!E346,'Arai 7121'!B:B)</f>
        <v>2000</v>
      </c>
      <c r="H346" s="70">
        <f t="shared" si="6"/>
        <v>2000</v>
      </c>
    </row>
    <row r="347" spans="4:8">
      <c r="D347">
        <v>345</v>
      </c>
      <c r="E347" s="65" t="s">
        <v>4034</v>
      </c>
      <c r="F347" s="110">
        <f>SUMIF('Yucho Arai'!N:N,'Tổng hợp tiền thu theo mã U'!E347,'Yucho Arai'!H:H)+SUMIF(GMO!I:I,'Tổng hợp tiền thu theo mã U'!E347,GMO!G:G)</f>
        <v>0</v>
      </c>
      <c r="G347" s="110">
        <f>SUMIF('Yucho Arai'!N:N,'Tổng hợp tiền thu theo mã U'!E347,'Yucho Arai'!I:I)+SUMIF(GMO!I:I,'Tổng hợp tiền thu theo mã U'!E347,GMO!H:H)+SUMIF('Arai 7121'!H:H,'Tổng hợp tiền thu theo mã U'!E347,'Arai 7121'!B:B)</f>
        <v>3000</v>
      </c>
      <c r="H347" s="70">
        <f t="shared" si="6"/>
        <v>3000</v>
      </c>
    </row>
    <row r="348" spans="4:8">
      <c r="D348">
        <v>346</v>
      </c>
      <c r="E348" s="65" t="s">
        <v>2050</v>
      </c>
      <c r="F348" s="110">
        <f>SUMIF('Yucho Arai'!N:N,'Tổng hợp tiền thu theo mã U'!E348,'Yucho Arai'!H:H)+SUMIF(GMO!I:I,'Tổng hợp tiền thu theo mã U'!E348,GMO!G:G)</f>
        <v>0</v>
      </c>
      <c r="G348" s="110">
        <f>SUMIF('Yucho Arai'!N:N,'Tổng hợp tiền thu theo mã U'!E348,'Yucho Arai'!I:I)+SUMIF(GMO!I:I,'Tổng hợp tiền thu theo mã U'!E348,GMO!H:H)+SUMIF('Arai 7121'!H:H,'Tổng hợp tiền thu theo mã U'!E348,'Arai 7121'!B:B)</f>
        <v>2000</v>
      </c>
      <c r="H348" s="70">
        <f t="shared" si="6"/>
        <v>2000</v>
      </c>
    </row>
    <row r="349" spans="4:8">
      <c r="D349">
        <v>347</v>
      </c>
      <c r="E349" s="65" t="s">
        <v>84</v>
      </c>
      <c r="F349" s="110">
        <f>SUMIF('Yucho Arai'!N:N,'Tổng hợp tiền thu theo mã U'!E349,'Yucho Arai'!H:H)+SUMIF(GMO!I:I,'Tổng hợp tiền thu theo mã U'!E349,GMO!G:G)</f>
        <v>0</v>
      </c>
      <c r="G349" s="110">
        <f>SUMIF('Yucho Arai'!N:N,'Tổng hợp tiền thu theo mã U'!E349,'Yucho Arai'!I:I)+SUMIF(GMO!I:I,'Tổng hợp tiền thu theo mã U'!E349,GMO!H:H)+SUMIF('Arai 7121'!H:H,'Tổng hợp tiền thu theo mã U'!E349,'Arai 7121'!B:B)</f>
        <v>2000</v>
      </c>
      <c r="H349" s="70">
        <f t="shared" si="6"/>
        <v>2000</v>
      </c>
    </row>
    <row r="350" spans="4:8">
      <c r="D350">
        <v>348</v>
      </c>
      <c r="E350" s="65" t="s">
        <v>1384</v>
      </c>
      <c r="F350" s="110">
        <f>SUMIF('Yucho Arai'!N:N,'Tổng hợp tiền thu theo mã U'!E350,'Yucho Arai'!H:H)+SUMIF(GMO!I:I,'Tổng hợp tiền thu theo mã U'!E350,GMO!G:G)</f>
        <v>0</v>
      </c>
      <c r="G350" s="110">
        <f>SUMIF('Yucho Arai'!N:N,'Tổng hợp tiền thu theo mã U'!E350,'Yucho Arai'!I:I)+SUMIF(GMO!I:I,'Tổng hợp tiền thu theo mã U'!E350,GMO!H:H)+SUMIF('Arai 7121'!H:H,'Tổng hợp tiền thu theo mã U'!E350,'Arai 7121'!B:B)</f>
        <v>2000</v>
      </c>
      <c r="H350" s="70">
        <f t="shared" si="6"/>
        <v>2000</v>
      </c>
    </row>
    <row r="351" spans="4:8">
      <c r="D351">
        <v>349</v>
      </c>
      <c r="E351" s="65" t="s">
        <v>4021</v>
      </c>
      <c r="F351" s="110">
        <f>SUMIF('Yucho Arai'!N:N,'Tổng hợp tiền thu theo mã U'!E351,'Yucho Arai'!H:H)+SUMIF(GMO!I:I,'Tổng hợp tiền thu theo mã U'!E351,GMO!G:G)</f>
        <v>0</v>
      </c>
      <c r="G351" s="110">
        <f>SUMIF('Yucho Arai'!N:N,'Tổng hợp tiền thu theo mã U'!E351,'Yucho Arai'!I:I)+SUMIF(GMO!I:I,'Tổng hợp tiền thu theo mã U'!E351,GMO!H:H)+SUMIF('Arai 7121'!H:H,'Tổng hợp tiền thu theo mã U'!E351,'Arai 7121'!B:B)</f>
        <v>4000</v>
      </c>
      <c r="H351" s="70">
        <f t="shared" si="6"/>
        <v>4000</v>
      </c>
    </row>
    <row r="352" spans="4:8">
      <c r="D352">
        <v>350</v>
      </c>
      <c r="E352" s="65" t="s">
        <v>4068</v>
      </c>
      <c r="F352" s="110">
        <f>SUMIF('Yucho Arai'!N:N,'Tổng hợp tiền thu theo mã U'!E352,'Yucho Arai'!H:H)+SUMIF(GMO!I:I,'Tổng hợp tiền thu theo mã U'!E352,GMO!G:G)</f>
        <v>0</v>
      </c>
      <c r="G352" s="110">
        <f>SUMIF('Yucho Arai'!N:N,'Tổng hợp tiền thu theo mã U'!E352,'Yucho Arai'!I:I)+SUMIF(GMO!I:I,'Tổng hợp tiền thu theo mã U'!E352,GMO!H:H)+SUMIF('Arai 7121'!H:H,'Tổng hợp tiền thu theo mã U'!E352,'Arai 7121'!B:B)</f>
        <v>2000</v>
      </c>
      <c r="H352" s="70">
        <f t="shared" si="6"/>
        <v>2000</v>
      </c>
    </row>
    <row r="353" spans="4:8">
      <c r="D353">
        <v>351</v>
      </c>
      <c r="E353" s="65" t="s">
        <v>74</v>
      </c>
      <c r="F353" s="110">
        <f>SUMIF('Yucho Arai'!N:N,'Tổng hợp tiền thu theo mã U'!E353,'Yucho Arai'!H:H)+SUMIF(GMO!I:I,'Tổng hợp tiền thu theo mã U'!E353,GMO!G:G)</f>
        <v>0</v>
      </c>
      <c r="G353" s="110">
        <f>SUMIF('Yucho Arai'!N:N,'Tổng hợp tiền thu theo mã U'!E353,'Yucho Arai'!I:I)+SUMIF(GMO!I:I,'Tổng hợp tiền thu theo mã U'!E353,GMO!H:H)+SUMIF('Arai 7121'!H:H,'Tổng hợp tiền thu theo mã U'!E353,'Arai 7121'!B:B)</f>
        <v>2000</v>
      </c>
      <c r="H353" s="70">
        <f t="shared" si="6"/>
        <v>2000</v>
      </c>
    </row>
    <row r="354" spans="4:8">
      <c r="D354">
        <v>352</v>
      </c>
      <c r="E354" s="65" t="s">
        <v>111</v>
      </c>
      <c r="F354" s="110">
        <f>SUMIF('Yucho Arai'!N:N,'Tổng hợp tiền thu theo mã U'!E354,'Yucho Arai'!H:H)+SUMIF(GMO!I:I,'Tổng hợp tiền thu theo mã U'!E354,GMO!G:G)</f>
        <v>0</v>
      </c>
      <c r="G354" s="110">
        <f>SUMIF('Yucho Arai'!N:N,'Tổng hợp tiền thu theo mã U'!E354,'Yucho Arai'!I:I)+SUMIF(GMO!I:I,'Tổng hợp tiền thu theo mã U'!E354,GMO!H:H)+SUMIF('Arai 7121'!H:H,'Tổng hợp tiền thu theo mã U'!E354,'Arai 7121'!B:B)</f>
        <v>2000</v>
      </c>
      <c r="H354" s="70">
        <f t="shared" si="6"/>
        <v>2000</v>
      </c>
    </row>
    <row r="355" spans="4:8">
      <c r="D355">
        <v>353</v>
      </c>
      <c r="E355" s="65" t="s">
        <v>59</v>
      </c>
      <c r="F355" s="110">
        <f>SUMIF('Yucho Arai'!N:N,'Tổng hợp tiền thu theo mã U'!E355,'Yucho Arai'!H:H)+SUMIF(GMO!I:I,'Tổng hợp tiền thu theo mã U'!E355,GMO!G:G)</f>
        <v>0</v>
      </c>
      <c r="G355" s="110">
        <f>SUMIF('Yucho Arai'!N:N,'Tổng hợp tiền thu theo mã U'!E355,'Yucho Arai'!I:I)+SUMIF(GMO!I:I,'Tổng hợp tiền thu theo mã U'!E355,GMO!H:H)+SUMIF('Arai 7121'!H:H,'Tổng hợp tiền thu theo mã U'!E355,'Arai 7121'!B:B)</f>
        <v>2000</v>
      </c>
      <c r="H355" s="70">
        <f t="shared" si="6"/>
        <v>2000</v>
      </c>
    </row>
    <row r="356" spans="4:8">
      <c r="D356">
        <v>354</v>
      </c>
      <c r="E356" s="65" t="s">
        <v>4043</v>
      </c>
      <c r="F356" s="110">
        <f>SUMIF('Yucho Arai'!N:N,'Tổng hợp tiền thu theo mã U'!E356,'Yucho Arai'!H:H)+SUMIF(GMO!I:I,'Tổng hợp tiền thu theo mã U'!E356,GMO!G:G)</f>
        <v>0</v>
      </c>
      <c r="G356" s="110">
        <f>SUMIF('Yucho Arai'!N:N,'Tổng hợp tiền thu theo mã U'!E356,'Yucho Arai'!I:I)+SUMIF(GMO!I:I,'Tổng hợp tiền thu theo mã U'!E356,GMO!H:H)+SUMIF('Arai 7121'!H:H,'Tổng hợp tiền thu theo mã U'!E356,'Arai 7121'!B:B)</f>
        <v>2000</v>
      </c>
      <c r="H356" s="70">
        <f t="shared" si="6"/>
        <v>2000</v>
      </c>
    </row>
    <row r="357" spans="4:8">
      <c r="D357">
        <v>355</v>
      </c>
      <c r="E357" s="65" t="s">
        <v>2067</v>
      </c>
      <c r="F357" s="110">
        <f>SUMIF('Yucho Arai'!N:N,'Tổng hợp tiền thu theo mã U'!E357,'Yucho Arai'!H:H)+SUMIF(GMO!I:I,'Tổng hợp tiền thu theo mã U'!E357,GMO!G:G)</f>
        <v>0</v>
      </c>
      <c r="G357" s="110">
        <f>SUMIF('Yucho Arai'!N:N,'Tổng hợp tiền thu theo mã U'!E357,'Yucho Arai'!I:I)+SUMIF(GMO!I:I,'Tổng hợp tiền thu theo mã U'!E357,GMO!H:H)+SUMIF('Arai 7121'!H:H,'Tổng hợp tiền thu theo mã U'!E357,'Arai 7121'!B:B)</f>
        <v>2000</v>
      </c>
      <c r="H357" s="70">
        <f t="shared" si="6"/>
        <v>2000</v>
      </c>
    </row>
    <row r="358" spans="4:8">
      <c r="D358">
        <v>356</v>
      </c>
      <c r="E358" s="65" t="s">
        <v>1715</v>
      </c>
      <c r="F358" s="110">
        <f>SUMIF('Yucho Arai'!N:N,'Tổng hợp tiền thu theo mã U'!E358,'Yucho Arai'!H:H)+SUMIF(GMO!I:I,'Tổng hợp tiền thu theo mã U'!E358,GMO!G:G)</f>
        <v>0</v>
      </c>
      <c r="G358" s="110">
        <f>SUMIF('Yucho Arai'!N:N,'Tổng hợp tiền thu theo mã U'!E358,'Yucho Arai'!I:I)+SUMIF(GMO!I:I,'Tổng hợp tiền thu theo mã U'!E358,GMO!H:H)+SUMIF('Arai 7121'!H:H,'Tổng hợp tiền thu theo mã U'!E358,'Arai 7121'!B:B)</f>
        <v>2000</v>
      </c>
      <c r="H358" s="70">
        <f t="shared" si="6"/>
        <v>2000</v>
      </c>
    </row>
    <row r="359" spans="4:8">
      <c r="D359">
        <v>357</v>
      </c>
      <c r="E359" s="65" t="s">
        <v>126</v>
      </c>
      <c r="F359" s="110">
        <f>SUMIF('Yucho Arai'!N:N,'Tổng hợp tiền thu theo mã U'!E359,'Yucho Arai'!H:H)+SUMIF(GMO!I:I,'Tổng hợp tiền thu theo mã U'!E359,GMO!G:G)</f>
        <v>0</v>
      </c>
      <c r="G359" s="110">
        <f>SUMIF('Yucho Arai'!N:N,'Tổng hợp tiền thu theo mã U'!E359,'Yucho Arai'!I:I)+SUMIF(GMO!I:I,'Tổng hợp tiền thu theo mã U'!E359,GMO!H:H)+SUMIF('Arai 7121'!H:H,'Tổng hợp tiền thu theo mã U'!E359,'Arai 7121'!B:B)</f>
        <v>2000</v>
      </c>
      <c r="H359" s="70">
        <f t="shared" si="6"/>
        <v>2000</v>
      </c>
    </row>
    <row r="360" spans="4:8">
      <c r="D360">
        <v>358</v>
      </c>
      <c r="E360" s="65" t="s">
        <v>1193</v>
      </c>
      <c r="F360" s="110">
        <f>SUMIF('Yucho Arai'!N:N,'Tổng hợp tiền thu theo mã U'!E360,'Yucho Arai'!H:H)+SUMIF(GMO!I:I,'Tổng hợp tiền thu theo mã U'!E360,GMO!G:G)</f>
        <v>0</v>
      </c>
      <c r="G360" s="110">
        <f>SUMIF('Yucho Arai'!N:N,'Tổng hợp tiền thu theo mã U'!E360,'Yucho Arai'!I:I)+SUMIF(GMO!I:I,'Tổng hợp tiền thu theo mã U'!E360,GMO!H:H)+SUMIF('Arai 7121'!H:H,'Tổng hợp tiền thu theo mã U'!E360,'Arai 7121'!B:B)</f>
        <v>2000</v>
      </c>
      <c r="H360" s="70">
        <f t="shared" si="6"/>
        <v>2000</v>
      </c>
    </row>
    <row r="361" spans="4:8">
      <c r="D361">
        <v>359</v>
      </c>
      <c r="E361" s="65" t="s">
        <v>2021</v>
      </c>
      <c r="F361" s="110">
        <f>SUMIF('Yucho Arai'!N:N,'Tổng hợp tiền thu theo mã U'!E361,'Yucho Arai'!H:H)+SUMIF(GMO!I:I,'Tổng hợp tiền thu theo mã U'!E361,GMO!G:G)</f>
        <v>0</v>
      </c>
      <c r="G361" s="110">
        <f>SUMIF('Yucho Arai'!N:N,'Tổng hợp tiền thu theo mã U'!E361,'Yucho Arai'!I:I)+SUMIF(GMO!I:I,'Tổng hợp tiền thu theo mã U'!E361,GMO!H:H)+SUMIF('Arai 7121'!H:H,'Tổng hợp tiền thu theo mã U'!E361,'Arai 7121'!B:B)</f>
        <v>2000</v>
      </c>
      <c r="H361" s="70">
        <f t="shared" si="6"/>
        <v>2000</v>
      </c>
    </row>
    <row r="362" spans="4:8">
      <c r="D362">
        <v>360</v>
      </c>
      <c r="E362" s="65" t="s">
        <v>4092</v>
      </c>
      <c r="F362" s="110">
        <f>SUMIF('Yucho Arai'!N:N,'Tổng hợp tiền thu theo mã U'!E362,'Yucho Arai'!H:H)+SUMIF(GMO!I:I,'Tổng hợp tiền thu theo mã U'!E362,GMO!G:G)</f>
        <v>0</v>
      </c>
      <c r="G362" s="110">
        <f>SUMIF('Yucho Arai'!N:N,'Tổng hợp tiền thu theo mã U'!E362,'Yucho Arai'!I:I)+SUMIF(GMO!I:I,'Tổng hợp tiền thu theo mã U'!E362,GMO!H:H)+SUMIF('Arai 7121'!H:H,'Tổng hợp tiền thu theo mã U'!E362,'Arai 7121'!B:B)</f>
        <v>2000</v>
      </c>
      <c r="H362" s="70">
        <f t="shared" si="6"/>
        <v>2000</v>
      </c>
    </row>
    <row r="363" spans="4:8">
      <c r="D363">
        <v>361</v>
      </c>
      <c r="E363" s="65" t="s">
        <v>2055</v>
      </c>
      <c r="F363" s="110">
        <f>SUMIF('Yucho Arai'!N:N,'Tổng hợp tiền thu theo mã U'!E363,'Yucho Arai'!H:H)+SUMIF(GMO!I:I,'Tổng hợp tiền thu theo mã U'!E363,GMO!G:G)</f>
        <v>0</v>
      </c>
      <c r="G363" s="110">
        <f>SUMIF('Yucho Arai'!N:N,'Tổng hợp tiền thu theo mã U'!E363,'Yucho Arai'!I:I)+SUMIF(GMO!I:I,'Tổng hợp tiền thu theo mã U'!E363,GMO!H:H)+SUMIF('Arai 7121'!H:H,'Tổng hợp tiền thu theo mã U'!E363,'Arai 7121'!B:B)</f>
        <v>2000</v>
      </c>
      <c r="H363" s="70">
        <f t="shared" si="6"/>
        <v>2000</v>
      </c>
    </row>
    <row r="364" spans="4:8">
      <c r="D364">
        <v>362</v>
      </c>
      <c r="E364" s="65" t="s">
        <v>1865</v>
      </c>
      <c r="F364" s="110">
        <f>SUMIF('Yucho Arai'!N:N,'Tổng hợp tiền thu theo mã U'!E364,'Yucho Arai'!H:H)+SUMIF(GMO!I:I,'Tổng hợp tiền thu theo mã U'!E364,GMO!G:G)</f>
        <v>0</v>
      </c>
      <c r="G364" s="110">
        <f>SUMIF('Yucho Arai'!N:N,'Tổng hợp tiền thu theo mã U'!E364,'Yucho Arai'!I:I)+SUMIF(GMO!I:I,'Tổng hợp tiền thu theo mã U'!E364,GMO!H:H)+SUMIF('Arai 7121'!H:H,'Tổng hợp tiền thu theo mã U'!E364,'Arai 7121'!B:B)</f>
        <v>2000</v>
      </c>
      <c r="H364" s="70">
        <f t="shared" si="6"/>
        <v>2000</v>
      </c>
    </row>
    <row r="365" spans="4:8">
      <c r="D365">
        <v>363</v>
      </c>
      <c r="E365" s="65" t="s">
        <v>123</v>
      </c>
      <c r="F365" s="110">
        <f>SUMIF('Yucho Arai'!N:N,'Tổng hợp tiền thu theo mã U'!E365,'Yucho Arai'!H:H)+SUMIF(GMO!I:I,'Tổng hợp tiền thu theo mã U'!E365,GMO!G:G)</f>
        <v>0</v>
      </c>
      <c r="G365" s="110">
        <f>SUMIF('Yucho Arai'!N:N,'Tổng hợp tiền thu theo mã U'!E365,'Yucho Arai'!I:I)+SUMIF(GMO!I:I,'Tổng hợp tiền thu theo mã U'!E365,GMO!H:H)+SUMIF('Arai 7121'!H:H,'Tổng hợp tiền thu theo mã U'!E365,'Arai 7121'!B:B)</f>
        <v>2000</v>
      </c>
      <c r="H365" s="70">
        <f t="shared" si="6"/>
        <v>2000</v>
      </c>
    </row>
    <row r="366" spans="4:8">
      <c r="D366">
        <v>364</v>
      </c>
      <c r="E366" s="65" t="s">
        <v>4076</v>
      </c>
      <c r="F366" s="110">
        <f>SUMIF('Yucho Arai'!N:N,'Tổng hợp tiền thu theo mã U'!E366,'Yucho Arai'!H:H)+SUMIF(GMO!I:I,'Tổng hợp tiền thu theo mã U'!E366,GMO!G:G)</f>
        <v>0</v>
      </c>
      <c r="G366" s="110">
        <f>SUMIF('Yucho Arai'!N:N,'Tổng hợp tiền thu theo mã U'!E366,'Yucho Arai'!I:I)+SUMIF(GMO!I:I,'Tổng hợp tiền thu theo mã U'!E366,GMO!H:H)+SUMIF('Arai 7121'!H:H,'Tổng hợp tiền thu theo mã U'!E366,'Arai 7121'!B:B)</f>
        <v>2000</v>
      </c>
      <c r="H366" s="70">
        <f t="shared" si="6"/>
        <v>2000</v>
      </c>
    </row>
    <row r="367" spans="4:8">
      <c r="D367">
        <v>365</v>
      </c>
      <c r="E367" s="65" t="s">
        <v>4049</v>
      </c>
      <c r="F367" s="110">
        <f>SUMIF('Yucho Arai'!N:N,'Tổng hợp tiền thu theo mã U'!E367,'Yucho Arai'!H:H)+SUMIF(GMO!I:I,'Tổng hợp tiền thu theo mã U'!E367,GMO!G:G)</f>
        <v>0</v>
      </c>
      <c r="G367" s="110">
        <f>SUMIF('Yucho Arai'!N:N,'Tổng hợp tiền thu theo mã U'!E367,'Yucho Arai'!I:I)+SUMIF(GMO!I:I,'Tổng hợp tiền thu theo mã U'!E367,GMO!H:H)+SUMIF('Arai 7121'!H:H,'Tổng hợp tiền thu theo mã U'!E367,'Arai 7121'!B:B)</f>
        <v>3000</v>
      </c>
      <c r="H367" s="70">
        <f t="shared" si="6"/>
        <v>3000</v>
      </c>
    </row>
    <row r="368" spans="4:8">
      <c r="D368">
        <v>366</v>
      </c>
      <c r="E368" s="65" t="s">
        <v>58</v>
      </c>
      <c r="F368" s="110">
        <f>SUMIF('Yucho Arai'!N:N,'Tổng hợp tiền thu theo mã U'!E368,'Yucho Arai'!H:H)+SUMIF(GMO!I:I,'Tổng hợp tiền thu theo mã U'!E368,GMO!G:G)</f>
        <v>0</v>
      </c>
      <c r="G368" s="110">
        <f>SUMIF('Yucho Arai'!N:N,'Tổng hợp tiền thu theo mã U'!E368,'Yucho Arai'!I:I)+SUMIF(GMO!I:I,'Tổng hợp tiền thu theo mã U'!E368,GMO!H:H)+SUMIF('Arai 7121'!H:H,'Tổng hợp tiền thu theo mã U'!E368,'Arai 7121'!B:B)</f>
        <v>2000</v>
      </c>
      <c r="H368" s="70">
        <f t="shared" si="6"/>
        <v>2000</v>
      </c>
    </row>
    <row r="369" spans="4:8">
      <c r="D369">
        <v>367</v>
      </c>
      <c r="E369" s="65" t="s">
        <v>1880</v>
      </c>
      <c r="F369" s="110">
        <f>SUMIF('Yucho Arai'!N:N,'Tổng hợp tiền thu theo mã U'!E369,'Yucho Arai'!H:H)+SUMIF(GMO!I:I,'Tổng hợp tiền thu theo mã U'!E369,GMO!G:G)</f>
        <v>0</v>
      </c>
      <c r="G369" s="110">
        <f>SUMIF('Yucho Arai'!N:N,'Tổng hợp tiền thu theo mã U'!E369,'Yucho Arai'!I:I)+SUMIF(GMO!I:I,'Tổng hợp tiền thu theo mã U'!E369,GMO!H:H)+SUMIF('Arai 7121'!H:H,'Tổng hợp tiền thu theo mã U'!E369,'Arai 7121'!B:B)</f>
        <v>2000</v>
      </c>
      <c r="H369" s="70">
        <f t="shared" si="6"/>
        <v>2000</v>
      </c>
    </row>
    <row r="370" spans="4:8">
      <c r="D370">
        <v>368</v>
      </c>
      <c r="E370" s="65" t="s">
        <v>1990</v>
      </c>
      <c r="F370" s="110">
        <f>SUMIF('Yucho Arai'!N:N,'Tổng hợp tiền thu theo mã U'!E370,'Yucho Arai'!H:H)+SUMIF(GMO!I:I,'Tổng hợp tiền thu theo mã U'!E370,GMO!G:G)</f>
        <v>0</v>
      </c>
      <c r="G370" s="110">
        <f>SUMIF('Yucho Arai'!N:N,'Tổng hợp tiền thu theo mã U'!E370,'Yucho Arai'!I:I)+SUMIF(GMO!I:I,'Tổng hợp tiền thu theo mã U'!E370,GMO!H:H)+SUMIF('Arai 7121'!H:H,'Tổng hợp tiền thu theo mã U'!E370,'Arai 7121'!B:B)</f>
        <v>2000</v>
      </c>
      <c r="H370" s="70">
        <f t="shared" si="6"/>
        <v>2000</v>
      </c>
    </row>
    <row r="371" spans="4:8">
      <c r="D371">
        <v>369</v>
      </c>
      <c r="E371" s="65" t="s">
        <v>62</v>
      </c>
      <c r="F371" s="110">
        <f>SUMIF('Yucho Arai'!N:N,'Tổng hợp tiền thu theo mã U'!E371,'Yucho Arai'!H:H)+SUMIF(GMO!I:I,'Tổng hợp tiền thu theo mã U'!E371,GMO!G:G)</f>
        <v>0</v>
      </c>
      <c r="G371" s="110">
        <f>SUMIF('Yucho Arai'!N:N,'Tổng hợp tiền thu theo mã U'!E371,'Yucho Arai'!I:I)+SUMIF(GMO!I:I,'Tổng hợp tiền thu theo mã U'!E371,GMO!H:H)+SUMIF('Arai 7121'!H:H,'Tổng hợp tiền thu theo mã U'!E371,'Arai 7121'!B:B)</f>
        <v>2000</v>
      </c>
      <c r="H371" s="70">
        <f t="shared" si="6"/>
        <v>2000</v>
      </c>
    </row>
    <row r="372" spans="4:8">
      <c r="D372">
        <v>370</v>
      </c>
      <c r="E372" s="65" t="s">
        <v>73</v>
      </c>
      <c r="F372" s="110">
        <f>SUMIF('Yucho Arai'!N:N,'Tổng hợp tiền thu theo mã U'!E372,'Yucho Arai'!H:H)+SUMIF(GMO!I:I,'Tổng hợp tiền thu theo mã U'!E372,GMO!G:G)</f>
        <v>0</v>
      </c>
      <c r="G372" s="110">
        <f>SUMIF('Yucho Arai'!N:N,'Tổng hợp tiền thu theo mã U'!E372,'Yucho Arai'!I:I)+SUMIF(GMO!I:I,'Tổng hợp tiền thu theo mã U'!E372,GMO!H:H)+SUMIF('Arai 7121'!H:H,'Tổng hợp tiền thu theo mã U'!E372,'Arai 7121'!B:B)</f>
        <v>2000</v>
      </c>
      <c r="H372" s="70">
        <f t="shared" si="6"/>
        <v>2000</v>
      </c>
    </row>
    <row r="373" spans="4:8">
      <c r="D373">
        <v>371</v>
      </c>
      <c r="E373" s="65" t="s">
        <v>4047</v>
      </c>
      <c r="F373" s="110">
        <f>SUMIF('Yucho Arai'!N:N,'Tổng hợp tiền thu theo mã U'!E373,'Yucho Arai'!H:H)+SUMIF(GMO!I:I,'Tổng hợp tiền thu theo mã U'!E373,GMO!G:G)</f>
        <v>0</v>
      </c>
      <c r="G373" s="110">
        <f>SUMIF('Yucho Arai'!N:N,'Tổng hợp tiền thu theo mã U'!E373,'Yucho Arai'!I:I)+SUMIF(GMO!I:I,'Tổng hợp tiền thu theo mã U'!E373,GMO!H:H)+SUMIF('Arai 7121'!H:H,'Tổng hợp tiền thu theo mã U'!E373,'Arai 7121'!B:B)</f>
        <v>4000</v>
      </c>
      <c r="H373" s="70">
        <f t="shared" si="6"/>
        <v>4000</v>
      </c>
    </row>
    <row r="374" spans="4:8">
      <c r="D374">
        <v>372</v>
      </c>
      <c r="E374" s="65" t="s">
        <v>93</v>
      </c>
      <c r="F374" s="110">
        <f>SUMIF('Yucho Arai'!N:N,'Tổng hợp tiền thu theo mã U'!E374,'Yucho Arai'!H:H)+SUMIF(GMO!I:I,'Tổng hợp tiền thu theo mã U'!E374,GMO!G:G)</f>
        <v>0</v>
      </c>
      <c r="G374" s="110">
        <f>SUMIF('Yucho Arai'!N:N,'Tổng hợp tiền thu theo mã U'!E374,'Yucho Arai'!I:I)+SUMIF(GMO!I:I,'Tổng hợp tiền thu theo mã U'!E374,GMO!H:H)+SUMIF('Arai 7121'!H:H,'Tổng hợp tiền thu theo mã U'!E374,'Arai 7121'!B:B)</f>
        <v>1000</v>
      </c>
      <c r="H374" s="70">
        <f t="shared" si="6"/>
        <v>1000</v>
      </c>
    </row>
    <row r="375" spans="4:8">
      <c r="D375">
        <v>373</v>
      </c>
      <c r="E375" s="65" t="s">
        <v>4061</v>
      </c>
      <c r="F375" s="110">
        <f>SUMIF('Yucho Arai'!N:N,'Tổng hợp tiền thu theo mã U'!E375,'Yucho Arai'!H:H)+SUMIF(GMO!I:I,'Tổng hợp tiền thu theo mã U'!E375,GMO!G:G)</f>
        <v>0</v>
      </c>
      <c r="G375" s="110">
        <f>SUMIF('Yucho Arai'!N:N,'Tổng hợp tiền thu theo mã U'!E375,'Yucho Arai'!I:I)+SUMIF(GMO!I:I,'Tổng hợp tiền thu theo mã U'!E375,GMO!H:H)+SUMIF('Arai 7121'!H:H,'Tổng hợp tiền thu theo mã U'!E375,'Arai 7121'!B:B)</f>
        <v>2000</v>
      </c>
      <c r="H375" s="70">
        <f t="shared" si="6"/>
        <v>2000</v>
      </c>
    </row>
    <row r="376" spans="4:8">
      <c r="D376">
        <v>374</v>
      </c>
      <c r="E376" s="65" t="s">
        <v>117</v>
      </c>
      <c r="F376" s="110">
        <f>SUMIF('Yucho Arai'!N:N,'Tổng hợp tiền thu theo mã U'!E376,'Yucho Arai'!H:H)+SUMIF(GMO!I:I,'Tổng hợp tiền thu theo mã U'!E376,GMO!G:G)</f>
        <v>0</v>
      </c>
      <c r="G376" s="110">
        <f>SUMIF('Yucho Arai'!N:N,'Tổng hợp tiền thu theo mã U'!E376,'Yucho Arai'!I:I)+SUMIF(GMO!I:I,'Tổng hợp tiền thu theo mã U'!E376,GMO!H:H)+SUMIF('Arai 7121'!H:H,'Tổng hợp tiền thu theo mã U'!E376,'Arai 7121'!B:B)</f>
        <v>2000</v>
      </c>
      <c r="H376" s="70">
        <f t="shared" si="6"/>
        <v>2000</v>
      </c>
    </row>
    <row r="377" spans="4:8">
      <c r="D377">
        <v>375</v>
      </c>
      <c r="E377" s="65" t="s">
        <v>127</v>
      </c>
      <c r="F377" s="110">
        <f>SUMIF('Yucho Arai'!N:N,'Tổng hợp tiền thu theo mã U'!E377,'Yucho Arai'!H:H)+SUMIF(GMO!I:I,'Tổng hợp tiền thu theo mã U'!E377,GMO!G:G)</f>
        <v>0</v>
      </c>
      <c r="G377" s="110">
        <f>SUMIF('Yucho Arai'!N:N,'Tổng hợp tiền thu theo mã U'!E377,'Yucho Arai'!I:I)+SUMIF(GMO!I:I,'Tổng hợp tiền thu theo mã U'!E377,GMO!H:H)+SUMIF('Arai 7121'!H:H,'Tổng hợp tiền thu theo mã U'!E377,'Arai 7121'!B:B)</f>
        <v>2000</v>
      </c>
      <c r="H377" s="70">
        <f t="shared" si="6"/>
        <v>2000</v>
      </c>
    </row>
    <row r="378" spans="4:8">
      <c r="D378">
        <v>376</v>
      </c>
      <c r="E378" t="s">
        <v>100</v>
      </c>
      <c r="F378" s="110">
        <f>SUMIF('Yucho Arai'!N:N,'Tổng hợp tiền thu theo mã U'!E378,'Yucho Arai'!H:H)+SUMIF(GMO!I:I,'Tổng hợp tiền thu theo mã U'!E378,GMO!G:G)</f>
        <v>0</v>
      </c>
      <c r="G378" s="110">
        <f>SUMIF('Yucho Arai'!N:N,'Tổng hợp tiền thu theo mã U'!E378,'Yucho Arai'!I:I)+SUMIF(GMO!I:I,'Tổng hợp tiền thu theo mã U'!E378,GMO!H:H)+SUMIF('Arai 7121'!H:H,'Tổng hợp tiền thu theo mã U'!E378,'Arai 7121'!B:B)</f>
        <v>1052</v>
      </c>
      <c r="H378" s="70">
        <f t="shared" si="6"/>
        <v>1052</v>
      </c>
    </row>
    <row r="379" spans="4:8">
      <c r="D379">
        <v>377</v>
      </c>
      <c r="E379" s="65" t="s">
        <v>89</v>
      </c>
      <c r="F379" s="110">
        <f>SUMIF('Yucho Arai'!N:N,'Tổng hợp tiền thu theo mã U'!E379,'Yucho Arai'!H:H)+SUMIF(GMO!I:I,'Tổng hợp tiền thu theo mã U'!E379,GMO!G:G)</f>
        <v>0</v>
      </c>
      <c r="G379" s="110">
        <f>SUMIF('Yucho Arai'!N:N,'Tổng hợp tiền thu theo mã U'!E379,'Yucho Arai'!I:I)+SUMIF(GMO!I:I,'Tổng hợp tiền thu theo mã U'!E379,GMO!H:H)+SUMIF('Arai 7121'!H:H,'Tổng hợp tiền thu theo mã U'!E379,'Arai 7121'!B:B)</f>
        <v>2000</v>
      </c>
      <c r="H379" s="70">
        <f t="shared" si="6"/>
        <v>2000</v>
      </c>
    </row>
    <row r="380" spans="4:8">
      <c r="D380">
        <v>378</v>
      </c>
      <c r="E380" s="65" t="s">
        <v>4015</v>
      </c>
      <c r="F380" s="110">
        <f>SUMIF('Yucho Arai'!N:N,'Tổng hợp tiền thu theo mã U'!E380,'Yucho Arai'!H:H)+SUMIF(GMO!I:I,'Tổng hợp tiền thu theo mã U'!E380,GMO!G:G)</f>
        <v>0</v>
      </c>
      <c r="G380" s="110">
        <f>SUMIF('Yucho Arai'!N:N,'Tổng hợp tiền thu theo mã U'!E380,'Yucho Arai'!I:I)+SUMIF(GMO!I:I,'Tổng hợp tiền thu theo mã U'!E380,GMO!H:H)+SUMIF('Arai 7121'!H:H,'Tổng hợp tiền thu theo mã U'!E380,'Arai 7121'!B:B)</f>
        <v>2000</v>
      </c>
      <c r="H380" s="70">
        <f t="shared" si="6"/>
        <v>2000</v>
      </c>
    </row>
    <row r="381" spans="4:8">
      <c r="D381">
        <v>379</v>
      </c>
      <c r="E381" s="65" t="s">
        <v>64</v>
      </c>
      <c r="F381" s="110">
        <f>SUMIF('Yucho Arai'!N:N,'Tổng hợp tiền thu theo mã U'!E381,'Yucho Arai'!H:H)+SUMIF(GMO!I:I,'Tổng hợp tiền thu theo mã U'!E381,GMO!G:G)</f>
        <v>0</v>
      </c>
      <c r="G381" s="110">
        <f>SUMIF('Yucho Arai'!N:N,'Tổng hợp tiền thu theo mã U'!E381,'Yucho Arai'!I:I)+SUMIF(GMO!I:I,'Tổng hợp tiền thu theo mã U'!E381,GMO!H:H)+SUMIF('Arai 7121'!H:H,'Tổng hợp tiền thu theo mã U'!E381,'Arai 7121'!B:B)</f>
        <v>2000</v>
      </c>
      <c r="H381" s="70">
        <f t="shared" si="6"/>
        <v>2000</v>
      </c>
    </row>
    <row r="382" spans="4:8">
      <c r="D382">
        <v>380</v>
      </c>
      <c r="E382" s="65" t="s">
        <v>102</v>
      </c>
      <c r="F382" s="110">
        <f>SUMIF('Yucho Arai'!N:N,'Tổng hợp tiền thu theo mã U'!E382,'Yucho Arai'!H:H)+SUMIF(GMO!I:I,'Tổng hợp tiền thu theo mã U'!E382,GMO!G:G)</f>
        <v>0</v>
      </c>
      <c r="G382" s="110">
        <f>SUMIF('Yucho Arai'!N:N,'Tổng hợp tiền thu theo mã U'!E382,'Yucho Arai'!I:I)+SUMIF(GMO!I:I,'Tổng hợp tiền thu theo mã U'!E382,GMO!H:H)+SUMIF('Arai 7121'!H:H,'Tổng hợp tiền thu theo mã U'!E382,'Arai 7121'!B:B)</f>
        <v>1000</v>
      </c>
      <c r="H382" s="70">
        <f t="shared" si="6"/>
        <v>1000</v>
      </c>
    </row>
    <row r="383" spans="4:8">
      <c r="D383">
        <v>381</v>
      </c>
      <c r="E383" s="65" t="s">
        <v>2081</v>
      </c>
      <c r="F383" s="110">
        <f>SUMIF('Yucho Arai'!N:N,'Tổng hợp tiền thu theo mã U'!E383,'Yucho Arai'!H:H)+SUMIF(GMO!I:I,'Tổng hợp tiền thu theo mã U'!E383,GMO!G:G)</f>
        <v>0</v>
      </c>
      <c r="G383" s="110">
        <f>SUMIF('Yucho Arai'!N:N,'Tổng hợp tiền thu theo mã U'!E383,'Yucho Arai'!I:I)+SUMIF(GMO!I:I,'Tổng hợp tiền thu theo mã U'!E383,GMO!H:H)+SUMIF('Arai 7121'!H:H,'Tổng hợp tiền thu theo mã U'!E383,'Arai 7121'!B:B)</f>
        <v>2000</v>
      </c>
      <c r="H383" s="70">
        <f t="shared" si="6"/>
        <v>2000</v>
      </c>
    </row>
    <row r="384" spans="4:8">
      <c r="D384">
        <v>382</v>
      </c>
      <c r="E384" s="65" t="s">
        <v>105</v>
      </c>
      <c r="F384" s="110">
        <f>SUMIF('Yucho Arai'!N:N,'Tổng hợp tiền thu theo mã U'!E384,'Yucho Arai'!H:H)+SUMIF(GMO!I:I,'Tổng hợp tiền thu theo mã U'!E384,GMO!G:G)</f>
        <v>0</v>
      </c>
      <c r="G384" s="110">
        <f>SUMIF('Yucho Arai'!N:N,'Tổng hợp tiền thu theo mã U'!E384,'Yucho Arai'!I:I)+SUMIF(GMO!I:I,'Tổng hợp tiền thu theo mã U'!E384,GMO!H:H)+SUMIF('Arai 7121'!H:H,'Tổng hợp tiền thu theo mã U'!E384,'Arai 7121'!B:B)</f>
        <v>2000</v>
      </c>
      <c r="H384" s="70">
        <f t="shared" si="6"/>
        <v>2000</v>
      </c>
    </row>
    <row r="385" spans="4:8">
      <c r="D385">
        <v>383</v>
      </c>
      <c r="E385" t="s">
        <v>4129</v>
      </c>
      <c r="F385" s="110">
        <f>SUMIF('Yucho Arai'!N:N,'Tổng hợp tiền thu theo mã U'!E385,'Yucho Arai'!H:H)+SUMIF(GMO!I:I,'Tổng hợp tiền thu theo mã U'!E385,GMO!G:G)</f>
        <v>2000</v>
      </c>
      <c r="G385" s="110">
        <f>SUMIF('Yucho Arai'!N:N,'Tổng hợp tiền thu theo mã U'!E385,'Yucho Arai'!I:I)+SUMIF(GMO!I:I,'Tổng hợp tiền thu theo mã U'!E385,GMO!H:H)+SUMIF('Arai 7121'!H:H,'Tổng hợp tiền thu theo mã U'!E385,'Arai 7121'!B:B)</f>
        <v>0</v>
      </c>
      <c r="H385" s="70">
        <f t="shared" si="6"/>
        <v>2000</v>
      </c>
    </row>
    <row r="386" spans="4:8">
      <c r="D386">
        <v>384</v>
      </c>
      <c r="E386" s="65" t="s">
        <v>2107</v>
      </c>
      <c r="F386" s="110">
        <f>SUMIF('Yucho Arai'!N:N,'Tổng hợp tiền thu theo mã U'!E386,'Yucho Arai'!H:H)+SUMIF(GMO!I:I,'Tổng hợp tiền thu theo mã U'!E386,GMO!G:G)</f>
        <v>0</v>
      </c>
      <c r="G386" s="110">
        <f>SUMIF('Yucho Arai'!N:N,'Tổng hợp tiền thu theo mã U'!E386,'Yucho Arai'!I:I)+SUMIF(GMO!I:I,'Tổng hợp tiền thu theo mã U'!E386,GMO!H:H)+SUMIF('Arai 7121'!H:H,'Tổng hợp tiền thu theo mã U'!E386,'Arai 7121'!B:B)</f>
        <v>2000</v>
      </c>
      <c r="H386" s="70">
        <f t="shared" si="6"/>
        <v>2000</v>
      </c>
    </row>
    <row r="387" spans="4:8">
      <c r="D387">
        <v>385</v>
      </c>
      <c r="E387" s="65" t="s">
        <v>2158</v>
      </c>
      <c r="F387" s="110">
        <f>SUMIF('Yucho Arai'!N:N,'Tổng hợp tiền thu theo mã U'!E387,'Yucho Arai'!H:H)+SUMIF(GMO!I:I,'Tổng hợp tiền thu theo mã U'!E387,GMO!G:G)</f>
        <v>0</v>
      </c>
      <c r="G387" s="110">
        <f>SUMIF('Yucho Arai'!N:N,'Tổng hợp tiền thu theo mã U'!E387,'Yucho Arai'!I:I)+SUMIF(GMO!I:I,'Tổng hợp tiền thu theo mã U'!E387,GMO!H:H)+SUMIF('Arai 7121'!H:H,'Tổng hợp tiền thu theo mã U'!E387,'Arai 7121'!B:B)</f>
        <v>2000</v>
      </c>
      <c r="H387" s="70">
        <f t="shared" si="6"/>
        <v>2000</v>
      </c>
    </row>
    <row r="388" spans="4:8">
      <c r="D388">
        <v>386</v>
      </c>
      <c r="E388" s="65" t="s">
        <v>4059</v>
      </c>
      <c r="F388" s="110">
        <f>SUMIF('Yucho Arai'!N:N,'Tổng hợp tiền thu theo mã U'!E388,'Yucho Arai'!H:H)+SUMIF(GMO!I:I,'Tổng hợp tiền thu theo mã U'!E388,GMO!G:G)</f>
        <v>0</v>
      </c>
      <c r="G388" s="110">
        <f>SUMIF('Yucho Arai'!N:N,'Tổng hợp tiền thu theo mã U'!E388,'Yucho Arai'!I:I)+SUMIF(GMO!I:I,'Tổng hợp tiền thu theo mã U'!E388,GMO!H:H)+SUMIF('Arai 7121'!H:H,'Tổng hợp tiền thu theo mã U'!E388,'Arai 7121'!B:B)</f>
        <v>4000</v>
      </c>
      <c r="H388" s="70">
        <f t="shared" ref="H388:H451" si="7">G388+F388</f>
        <v>4000</v>
      </c>
    </row>
    <row r="389" spans="4:8">
      <c r="D389">
        <v>387</v>
      </c>
      <c r="E389" s="65" t="s">
        <v>67</v>
      </c>
      <c r="F389" s="110">
        <f>SUMIF('Yucho Arai'!N:N,'Tổng hợp tiền thu theo mã U'!E389,'Yucho Arai'!H:H)+SUMIF(GMO!I:I,'Tổng hợp tiền thu theo mã U'!E389,GMO!G:G)</f>
        <v>0</v>
      </c>
      <c r="G389" s="110">
        <f>SUMIF('Yucho Arai'!N:N,'Tổng hợp tiền thu theo mã U'!E389,'Yucho Arai'!I:I)+SUMIF(GMO!I:I,'Tổng hợp tiền thu theo mã U'!E389,GMO!H:H)+SUMIF('Arai 7121'!H:H,'Tổng hợp tiền thu theo mã U'!E389,'Arai 7121'!B:B)</f>
        <v>2000</v>
      </c>
      <c r="H389" s="70">
        <f t="shared" si="7"/>
        <v>2000</v>
      </c>
    </row>
    <row r="390" spans="4:8">
      <c r="D390">
        <v>388</v>
      </c>
      <c r="E390" s="65" t="s">
        <v>4074</v>
      </c>
      <c r="F390" s="110">
        <f>SUMIF('Yucho Arai'!N:N,'Tổng hợp tiền thu theo mã U'!E390,'Yucho Arai'!H:H)+SUMIF(GMO!I:I,'Tổng hợp tiền thu theo mã U'!E390,GMO!G:G)</f>
        <v>0</v>
      </c>
      <c r="G390" s="110">
        <f>SUMIF('Yucho Arai'!N:N,'Tổng hợp tiền thu theo mã U'!E390,'Yucho Arai'!I:I)+SUMIF(GMO!I:I,'Tổng hợp tiền thu theo mã U'!E390,GMO!H:H)+SUMIF('Arai 7121'!H:H,'Tổng hợp tiền thu theo mã U'!E390,'Arai 7121'!B:B)</f>
        <v>2000</v>
      </c>
      <c r="H390" s="70">
        <f t="shared" si="7"/>
        <v>2000</v>
      </c>
    </row>
    <row r="391" spans="4:8">
      <c r="D391">
        <v>389</v>
      </c>
      <c r="E391" s="65" t="s">
        <v>1594</v>
      </c>
      <c r="F391" s="110">
        <f>SUMIF('Yucho Arai'!N:N,'Tổng hợp tiền thu theo mã U'!E391,'Yucho Arai'!H:H)+SUMIF(GMO!I:I,'Tổng hợp tiền thu theo mã U'!E391,GMO!G:G)</f>
        <v>0</v>
      </c>
      <c r="G391" s="110">
        <f>SUMIF('Yucho Arai'!N:N,'Tổng hợp tiền thu theo mã U'!E391,'Yucho Arai'!I:I)+SUMIF(GMO!I:I,'Tổng hợp tiền thu theo mã U'!E391,GMO!H:H)+SUMIF('Arai 7121'!H:H,'Tổng hợp tiền thu theo mã U'!E391,'Arai 7121'!B:B)</f>
        <v>2000</v>
      </c>
      <c r="H391" s="70">
        <f t="shared" si="7"/>
        <v>2000</v>
      </c>
    </row>
    <row r="392" spans="4:8">
      <c r="D392">
        <v>390</v>
      </c>
      <c r="E392" s="65" t="s">
        <v>61</v>
      </c>
      <c r="F392" s="110">
        <f>SUMIF('Yucho Arai'!N:N,'Tổng hợp tiền thu theo mã U'!E392,'Yucho Arai'!H:H)+SUMIF(GMO!I:I,'Tổng hợp tiền thu theo mã U'!E392,GMO!G:G)</f>
        <v>0</v>
      </c>
      <c r="G392" s="110">
        <f>SUMIF('Yucho Arai'!N:N,'Tổng hợp tiền thu theo mã U'!E392,'Yucho Arai'!I:I)+SUMIF(GMO!I:I,'Tổng hợp tiền thu theo mã U'!E392,GMO!H:H)+SUMIF('Arai 7121'!H:H,'Tổng hợp tiền thu theo mã U'!E392,'Arai 7121'!B:B)</f>
        <v>2000</v>
      </c>
      <c r="H392" s="70">
        <f t="shared" si="7"/>
        <v>2000</v>
      </c>
    </row>
    <row r="393" spans="4:8">
      <c r="D393">
        <v>391</v>
      </c>
      <c r="E393" s="65" t="s">
        <v>130</v>
      </c>
      <c r="F393" s="110">
        <f>SUMIF('Yucho Arai'!N:N,'Tổng hợp tiền thu theo mã U'!E393,'Yucho Arai'!H:H)+SUMIF(GMO!I:I,'Tổng hợp tiền thu theo mã U'!E393,GMO!G:G)</f>
        <v>0</v>
      </c>
      <c r="G393" s="110">
        <f>SUMIF('Yucho Arai'!N:N,'Tổng hợp tiền thu theo mã U'!E393,'Yucho Arai'!I:I)+SUMIF(GMO!I:I,'Tổng hợp tiền thu theo mã U'!E393,GMO!H:H)+SUMIF('Arai 7121'!H:H,'Tổng hợp tiền thu theo mã U'!E393,'Arai 7121'!B:B)</f>
        <v>2000</v>
      </c>
      <c r="H393" s="70">
        <f t="shared" si="7"/>
        <v>2000</v>
      </c>
    </row>
    <row r="394" spans="4:8">
      <c r="D394">
        <v>392</v>
      </c>
      <c r="E394" s="65" t="s">
        <v>129</v>
      </c>
      <c r="F394" s="110">
        <f>SUMIF('Yucho Arai'!N:N,'Tổng hợp tiền thu theo mã U'!E394,'Yucho Arai'!H:H)+SUMIF(GMO!I:I,'Tổng hợp tiền thu theo mã U'!E394,GMO!G:G)</f>
        <v>0</v>
      </c>
      <c r="G394" s="110">
        <f>SUMIF('Yucho Arai'!N:N,'Tổng hợp tiền thu theo mã U'!E394,'Yucho Arai'!I:I)+SUMIF(GMO!I:I,'Tổng hợp tiền thu theo mã U'!E394,GMO!H:H)+SUMIF('Arai 7121'!H:H,'Tổng hợp tiền thu theo mã U'!E394,'Arai 7121'!B:B)</f>
        <v>2000</v>
      </c>
      <c r="H394" s="70">
        <f t="shared" si="7"/>
        <v>2000</v>
      </c>
    </row>
    <row r="395" spans="4:8">
      <c r="D395">
        <v>393</v>
      </c>
      <c r="E395" s="65" t="s">
        <v>2038</v>
      </c>
      <c r="F395" s="110">
        <f>SUMIF('Yucho Arai'!N:N,'Tổng hợp tiền thu theo mã U'!E395,'Yucho Arai'!H:H)+SUMIF(GMO!I:I,'Tổng hợp tiền thu theo mã U'!E395,GMO!G:G)</f>
        <v>0</v>
      </c>
      <c r="G395" s="110">
        <f>SUMIF('Yucho Arai'!N:N,'Tổng hợp tiền thu theo mã U'!E395,'Yucho Arai'!I:I)+SUMIF(GMO!I:I,'Tổng hợp tiền thu theo mã U'!E395,GMO!H:H)+SUMIF('Arai 7121'!H:H,'Tổng hợp tiền thu theo mã U'!E395,'Arai 7121'!B:B)</f>
        <v>2000</v>
      </c>
      <c r="H395" s="70">
        <f t="shared" si="7"/>
        <v>2000</v>
      </c>
    </row>
    <row r="396" spans="4:8">
      <c r="D396">
        <v>394</v>
      </c>
      <c r="E396" s="65" t="s">
        <v>68</v>
      </c>
      <c r="F396" s="110">
        <f>SUMIF('Yucho Arai'!N:N,'Tổng hợp tiền thu theo mã U'!E396,'Yucho Arai'!H:H)+SUMIF(GMO!I:I,'Tổng hợp tiền thu theo mã U'!E396,GMO!G:G)</f>
        <v>0</v>
      </c>
      <c r="G396" s="110">
        <f>SUMIF('Yucho Arai'!N:N,'Tổng hợp tiền thu theo mã U'!E396,'Yucho Arai'!I:I)+SUMIF(GMO!I:I,'Tổng hợp tiền thu theo mã U'!E396,GMO!H:H)+SUMIF('Arai 7121'!H:H,'Tổng hợp tiền thu theo mã U'!E396,'Arai 7121'!B:B)</f>
        <v>2000</v>
      </c>
      <c r="H396" s="70">
        <f t="shared" si="7"/>
        <v>2000</v>
      </c>
    </row>
    <row r="397" spans="4:8">
      <c r="D397">
        <v>395</v>
      </c>
      <c r="E397" s="65" t="s">
        <v>71</v>
      </c>
      <c r="F397" s="110">
        <f>SUMIF('Yucho Arai'!N:N,'Tổng hợp tiền thu theo mã U'!E397,'Yucho Arai'!H:H)+SUMIF(GMO!I:I,'Tổng hợp tiền thu theo mã U'!E397,GMO!G:G)</f>
        <v>0</v>
      </c>
      <c r="G397" s="110">
        <f>SUMIF('Yucho Arai'!N:N,'Tổng hợp tiền thu theo mã U'!E397,'Yucho Arai'!I:I)+SUMIF(GMO!I:I,'Tổng hợp tiền thu theo mã U'!E397,GMO!H:H)+SUMIF('Arai 7121'!H:H,'Tổng hợp tiền thu theo mã U'!E397,'Arai 7121'!B:B)</f>
        <v>2000</v>
      </c>
      <c r="H397" s="70">
        <f t="shared" si="7"/>
        <v>2000</v>
      </c>
    </row>
    <row r="398" spans="4:8">
      <c r="D398">
        <v>396</v>
      </c>
      <c r="E398" s="65" t="s">
        <v>131</v>
      </c>
      <c r="F398" s="110">
        <f>SUMIF('Yucho Arai'!N:N,'Tổng hợp tiền thu theo mã U'!E398,'Yucho Arai'!H:H)+SUMIF(GMO!I:I,'Tổng hợp tiền thu theo mã U'!E398,GMO!G:G)</f>
        <v>0</v>
      </c>
      <c r="G398" s="110">
        <f>SUMIF('Yucho Arai'!N:N,'Tổng hợp tiền thu theo mã U'!E398,'Yucho Arai'!I:I)+SUMIF(GMO!I:I,'Tổng hợp tiền thu theo mã U'!E398,GMO!H:H)+SUMIF('Arai 7121'!H:H,'Tổng hợp tiền thu theo mã U'!E398,'Arai 7121'!B:B)</f>
        <v>2000</v>
      </c>
      <c r="H398" s="70">
        <f t="shared" si="7"/>
        <v>2000</v>
      </c>
    </row>
    <row r="399" spans="4:8">
      <c r="D399">
        <v>397</v>
      </c>
      <c r="E399" s="65" t="s">
        <v>1295</v>
      </c>
      <c r="F399" s="110">
        <f>SUMIF('Yucho Arai'!N:N,'Tổng hợp tiền thu theo mã U'!E399,'Yucho Arai'!H:H)+SUMIF(GMO!I:I,'Tổng hợp tiền thu theo mã U'!E399,GMO!G:G)</f>
        <v>0</v>
      </c>
      <c r="G399" s="110">
        <f>SUMIF('Yucho Arai'!N:N,'Tổng hợp tiền thu theo mã U'!E399,'Yucho Arai'!I:I)+SUMIF(GMO!I:I,'Tổng hợp tiền thu theo mã U'!E399,GMO!H:H)+SUMIF('Arai 7121'!H:H,'Tổng hợp tiền thu theo mã U'!E399,'Arai 7121'!B:B)</f>
        <v>2000</v>
      </c>
      <c r="H399" s="70">
        <f t="shared" si="7"/>
        <v>2000</v>
      </c>
    </row>
    <row r="400" spans="4:8">
      <c r="D400">
        <v>398</v>
      </c>
      <c r="E400" s="65" t="s">
        <v>132</v>
      </c>
      <c r="F400" s="110">
        <f>SUMIF('Yucho Arai'!N:N,'Tổng hợp tiền thu theo mã U'!E400,'Yucho Arai'!H:H)+SUMIF(GMO!I:I,'Tổng hợp tiền thu theo mã U'!E400,GMO!G:G)</f>
        <v>0</v>
      </c>
      <c r="G400" s="110">
        <f>SUMIF('Yucho Arai'!N:N,'Tổng hợp tiền thu theo mã U'!E400,'Yucho Arai'!I:I)+SUMIF(GMO!I:I,'Tổng hợp tiền thu theo mã U'!E400,GMO!H:H)+SUMIF('Arai 7121'!H:H,'Tổng hợp tiền thu theo mã U'!E400,'Arai 7121'!B:B)</f>
        <v>2000</v>
      </c>
      <c r="H400" s="70">
        <f t="shared" si="7"/>
        <v>2000</v>
      </c>
    </row>
    <row r="401" spans="4:8">
      <c r="D401">
        <v>399</v>
      </c>
      <c r="E401" s="65" t="s">
        <v>1856</v>
      </c>
      <c r="F401" s="110">
        <f>SUMIF('Yucho Arai'!N:N,'Tổng hợp tiền thu theo mã U'!E401,'Yucho Arai'!H:H)+SUMIF(GMO!I:I,'Tổng hợp tiền thu theo mã U'!E401,GMO!G:G)</f>
        <v>0</v>
      </c>
      <c r="G401" s="110">
        <f>SUMIF('Yucho Arai'!N:N,'Tổng hợp tiền thu theo mã U'!E401,'Yucho Arai'!I:I)+SUMIF(GMO!I:I,'Tổng hợp tiền thu theo mã U'!E401,GMO!H:H)+SUMIF('Arai 7121'!H:H,'Tổng hợp tiền thu theo mã U'!E401,'Arai 7121'!B:B)</f>
        <v>2000</v>
      </c>
      <c r="H401" s="70">
        <f t="shared" si="7"/>
        <v>2000</v>
      </c>
    </row>
    <row r="402" spans="4:8">
      <c r="D402">
        <v>400</v>
      </c>
      <c r="E402" s="65" t="s">
        <v>56</v>
      </c>
      <c r="F402" s="110">
        <f>SUMIF('Yucho Arai'!N:N,'Tổng hợp tiền thu theo mã U'!E402,'Yucho Arai'!H:H)+SUMIF(GMO!I:I,'Tổng hợp tiền thu theo mã U'!E402,GMO!G:G)</f>
        <v>0</v>
      </c>
      <c r="G402" s="110">
        <f>SUMIF('Yucho Arai'!N:N,'Tổng hợp tiền thu theo mã U'!E402,'Yucho Arai'!I:I)+SUMIF(GMO!I:I,'Tổng hợp tiền thu theo mã U'!E402,GMO!H:H)+SUMIF('Arai 7121'!H:H,'Tổng hợp tiền thu theo mã U'!E402,'Arai 7121'!B:B)</f>
        <v>2000</v>
      </c>
      <c r="H402" s="70">
        <f t="shared" si="7"/>
        <v>2000</v>
      </c>
    </row>
    <row r="403" spans="4:8">
      <c r="D403">
        <v>401</v>
      </c>
      <c r="E403" s="65" t="s">
        <v>2029</v>
      </c>
      <c r="F403" s="110">
        <f>SUMIF('Yucho Arai'!N:N,'Tổng hợp tiền thu theo mã U'!E403,'Yucho Arai'!H:H)+SUMIF(GMO!I:I,'Tổng hợp tiền thu theo mã U'!E403,GMO!G:G)</f>
        <v>0</v>
      </c>
      <c r="G403" s="110">
        <f>SUMIF('Yucho Arai'!N:N,'Tổng hợp tiền thu theo mã U'!E403,'Yucho Arai'!I:I)+SUMIF(GMO!I:I,'Tổng hợp tiền thu theo mã U'!E403,GMO!H:H)+SUMIF('Arai 7121'!H:H,'Tổng hợp tiền thu theo mã U'!E403,'Arai 7121'!B:B)</f>
        <v>2000</v>
      </c>
      <c r="H403" s="70">
        <f t="shared" si="7"/>
        <v>2000</v>
      </c>
    </row>
    <row r="404" spans="4:8">
      <c r="D404">
        <v>402</v>
      </c>
      <c r="E404" s="65" t="s">
        <v>4100</v>
      </c>
      <c r="F404" s="110">
        <f>SUMIF('Yucho Arai'!N:N,'Tổng hợp tiền thu theo mã U'!E404,'Yucho Arai'!H:H)+SUMIF(GMO!I:I,'Tổng hợp tiền thu theo mã U'!E404,GMO!G:G)</f>
        <v>0</v>
      </c>
      <c r="G404" s="110">
        <f>SUMIF('Yucho Arai'!N:N,'Tổng hợp tiền thu theo mã U'!E404,'Yucho Arai'!I:I)+SUMIF(GMO!I:I,'Tổng hợp tiền thu theo mã U'!E404,GMO!H:H)+SUMIF('Arai 7121'!H:H,'Tổng hợp tiền thu theo mã U'!E404,'Arai 7121'!B:B)</f>
        <v>3000</v>
      </c>
      <c r="H404" s="70">
        <f t="shared" si="7"/>
        <v>3000</v>
      </c>
    </row>
    <row r="405" spans="4:8">
      <c r="D405">
        <v>403</v>
      </c>
      <c r="E405" s="65" t="s">
        <v>125</v>
      </c>
      <c r="F405" s="110">
        <f>SUMIF('Yucho Arai'!N:N,'Tổng hợp tiền thu theo mã U'!E405,'Yucho Arai'!H:H)+SUMIF(GMO!I:I,'Tổng hợp tiền thu theo mã U'!E405,GMO!G:G)</f>
        <v>0</v>
      </c>
      <c r="G405" s="110">
        <f>SUMIF('Yucho Arai'!N:N,'Tổng hợp tiền thu theo mã U'!E405,'Yucho Arai'!I:I)+SUMIF(GMO!I:I,'Tổng hợp tiền thu theo mã U'!E405,GMO!H:H)+SUMIF('Arai 7121'!H:H,'Tổng hợp tiền thu theo mã U'!E405,'Arai 7121'!B:B)</f>
        <v>2000</v>
      </c>
      <c r="H405" s="70">
        <f t="shared" si="7"/>
        <v>2000</v>
      </c>
    </row>
    <row r="406" spans="4:8">
      <c r="D406">
        <v>404</v>
      </c>
      <c r="E406" t="s">
        <v>88</v>
      </c>
      <c r="F406" s="110">
        <f>SUMIF('Yucho Arai'!N:N,'Tổng hợp tiền thu theo mã U'!E406,'Yucho Arai'!H:H)+SUMIF(GMO!I:I,'Tổng hợp tiền thu theo mã U'!E406,GMO!G:G)</f>
        <v>0</v>
      </c>
      <c r="G406" s="110">
        <f>SUMIF('Yucho Arai'!N:N,'Tổng hợp tiền thu theo mã U'!E406,'Yucho Arai'!I:I)+SUMIF(GMO!I:I,'Tổng hợp tiền thu theo mã U'!E406,GMO!H:H)+SUMIF('Arai 7121'!H:H,'Tổng hợp tiền thu theo mã U'!E406,'Arai 7121'!B:B)</f>
        <v>3000</v>
      </c>
      <c r="H406" s="70">
        <f t="shared" si="7"/>
        <v>3000</v>
      </c>
    </row>
    <row r="407" spans="4:8">
      <c r="D407">
        <v>405</v>
      </c>
      <c r="E407" s="65" t="s">
        <v>116</v>
      </c>
      <c r="F407" s="110">
        <f>SUMIF('Yucho Arai'!N:N,'Tổng hợp tiền thu theo mã U'!E407,'Yucho Arai'!H:H)+SUMIF(GMO!I:I,'Tổng hợp tiền thu theo mã U'!E407,GMO!G:G)</f>
        <v>0</v>
      </c>
      <c r="G407" s="110">
        <f>SUMIF('Yucho Arai'!N:N,'Tổng hợp tiền thu theo mã U'!E407,'Yucho Arai'!I:I)+SUMIF(GMO!I:I,'Tổng hợp tiền thu theo mã U'!E407,GMO!H:H)+SUMIF('Arai 7121'!H:H,'Tổng hợp tiền thu theo mã U'!E407,'Arai 7121'!B:B)</f>
        <v>2000</v>
      </c>
      <c r="H407" s="70">
        <f t="shared" si="7"/>
        <v>2000</v>
      </c>
    </row>
    <row r="408" spans="4:8">
      <c r="D408">
        <v>406</v>
      </c>
      <c r="E408" t="s">
        <v>92</v>
      </c>
      <c r="F408" s="110">
        <f>SUMIF('Yucho Arai'!N:N,'Tổng hợp tiền thu theo mã U'!E408,'Yucho Arai'!H:H)+SUMIF(GMO!I:I,'Tổng hợp tiền thu theo mã U'!E408,GMO!G:G)</f>
        <v>0</v>
      </c>
      <c r="G408" s="110">
        <f>SUMIF('Yucho Arai'!N:N,'Tổng hợp tiền thu theo mã U'!E408,'Yucho Arai'!I:I)+SUMIF(GMO!I:I,'Tổng hợp tiền thu theo mã U'!E408,GMO!H:H)+SUMIF('Arai 7121'!H:H,'Tổng hợp tiền thu theo mã U'!E408,'Arai 7121'!B:B)</f>
        <v>2000</v>
      </c>
      <c r="H408" s="70">
        <f t="shared" si="7"/>
        <v>2000</v>
      </c>
    </row>
    <row r="409" spans="4:8">
      <c r="D409">
        <v>407</v>
      </c>
      <c r="E409" t="s">
        <v>2156</v>
      </c>
      <c r="F409" s="110">
        <f>SUMIF('Yucho Arai'!N:N,'Tổng hợp tiền thu theo mã U'!E409,'Yucho Arai'!H:H)+SUMIF(GMO!I:I,'Tổng hợp tiền thu theo mã U'!E409,GMO!G:G)</f>
        <v>0</v>
      </c>
      <c r="G409" s="110">
        <f>SUMIF('Yucho Arai'!N:N,'Tổng hợp tiền thu theo mã U'!E409,'Yucho Arai'!I:I)+SUMIF(GMO!I:I,'Tổng hợp tiền thu theo mã U'!E409,GMO!H:H)+SUMIF('Arai 7121'!H:H,'Tổng hợp tiền thu theo mã U'!E409,'Arai 7121'!B:B)</f>
        <v>4000</v>
      </c>
      <c r="H409" s="70">
        <f t="shared" si="7"/>
        <v>4000</v>
      </c>
    </row>
    <row r="410" spans="4:8">
      <c r="D410">
        <v>408</v>
      </c>
      <c r="E410" t="s">
        <v>36</v>
      </c>
      <c r="F410" s="110">
        <f>SUMIF('Yucho Arai'!N:N,'Tổng hợp tiền thu theo mã U'!E410,'Yucho Arai'!H:H)+SUMIF(GMO!I:I,'Tổng hợp tiền thu theo mã U'!E410,GMO!G:G)</f>
        <v>0</v>
      </c>
      <c r="G410" s="110">
        <f>SUMIF('Yucho Arai'!N:N,'Tổng hợp tiền thu theo mã U'!E410,'Yucho Arai'!I:I)+SUMIF(GMO!I:I,'Tổng hợp tiền thu theo mã U'!E410,GMO!H:H)+SUMIF('Arai 7121'!H:H,'Tổng hợp tiền thu theo mã U'!E410,'Arai 7121'!B:B)</f>
        <v>4000</v>
      </c>
      <c r="H410" s="70">
        <f t="shared" si="7"/>
        <v>4000</v>
      </c>
    </row>
    <row r="411" spans="4:8">
      <c r="D411">
        <v>409</v>
      </c>
      <c r="E411" t="s">
        <v>37</v>
      </c>
      <c r="F411" s="110">
        <f>SUMIF('Yucho Arai'!N:N,'Tổng hợp tiền thu theo mã U'!E411,'Yucho Arai'!H:H)+SUMIF(GMO!I:I,'Tổng hợp tiền thu theo mã U'!E411,GMO!G:G)</f>
        <v>0</v>
      </c>
      <c r="G411" s="110">
        <f>SUMIF('Yucho Arai'!N:N,'Tổng hợp tiền thu theo mã U'!E411,'Yucho Arai'!I:I)+SUMIF(GMO!I:I,'Tổng hợp tiền thu theo mã U'!E411,GMO!H:H)+SUMIF('Arai 7121'!H:H,'Tổng hợp tiền thu theo mã U'!E411,'Arai 7121'!B:B)</f>
        <v>3800</v>
      </c>
      <c r="H411" s="70">
        <f t="shared" si="7"/>
        <v>3800</v>
      </c>
    </row>
    <row r="412" spans="4:8">
      <c r="D412">
        <v>410</v>
      </c>
      <c r="E412" t="s">
        <v>32</v>
      </c>
      <c r="F412" s="110">
        <f>SUMIF('Yucho Arai'!N:N,'Tổng hợp tiền thu theo mã U'!E412,'Yucho Arai'!H:H)+SUMIF(GMO!I:I,'Tổng hợp tiền thu theo mã U'!E412,GMO!G:G)</f>
        <v>0</v>
      </c>
      <c r="G412" s="110">
        <f>SUMIF('Yucho Arai'!N:N,'Tổng hợp tiền thu theo mã U'!E412,'Yucho Arai'!I:I)+SUMIF(GMO!I:I,'Tổng hợp tiền thu theo mã U'!E412,GMO!H:H)+SUMIF('Arai 7121'!H:H,'Tổng hợp tiền thu theo mã U'!E412,'Arai 7121'!B:B)</f>
        <v>4000</v>
      </c>
      <c r="H412" s="70">
        <f t="shared" si="7"/>
        <v>4000</v>
      </c>
    </row>
    <row r="413" spans="4:8">
      <c r="D413">
        <v>411</v>
      </c>
      <c r="E413" t="s">
        <v>4011</v>
      </c>
      <c r="F413" s="110">
        <f>SUMIF('Yucho Arai'!N:N,'Tổng hợp tiền thu theo mã U'!E413,'Yucho Arai'!H:H)+SUMIF(GMO!I:I,'Tổng hợp tiền thu theo mã U'!E413,GMO!G:G)</f>
        <v>0</v>
      </c>
      <c r="G413" s="110">
        <f>SUMIF('Yucho Arai'!N:N,'Tổng hợp tiền thu theo mã U'!E413,'Yucho Arai'!I:I)+SUMIF(GMO!I:I,'Tổng hợp tiền thu theo mã U'!E413,GMO!H:H)+SUMIF('Arai 7121'!H:H,'Tổng hợp tiền thu theo mã U'!E413,'Arai 7121'!B:B)</f>
        <v>2000</v>
      </c>
      <c r="H413" s="70">
        <f t="shared" si="7"/>
        <v>2000</v>
      </c>
    </row>
    <row r="414" spans="4:8">
      <c r="D414">
        <v>412</v>
      </c>
      <c r="E414" t="s">
        <v>2155</v>
      </c>
      <c r="F414" s="110">
        <f>SUMIF('Yucho Arai'!N:N,'Tổng hợp tiền thu theo mã U'!E414,'Yucho Arai'!H:H)+SUMIF(GMO!I:I,'Tổng hợp tiền thu theo mã U'!E414,GMO!G:G)</f>
        <v>0</v>
      </c>
      <c r="G414" s="110">
        <f>SUMIF('Yucho Arai'!N:N,'Tổng hợp tiền thu theo mã U'!E414,'Yucho Arai'!I:I)+SUMIF(GMO!I:I,'Tổng hợp tiền thu theo mã U'!E414,GMO!H:H)+SUMIF('Arai 7121'!H:H,'Tổng hợp tiền thu theo mã U'!E414,'Arai 7121'!B:B)</f>
        <v>2000</v>
      </c>
      <c r="H414" s="70">
        <f t="shared" si="7"/>
        <v>2000</v>
      </c>
    </row>
    <row r="415" spans="4:8">
      <c r="D415">
        <v>413</v>
      </c>
      <c r="E415" t="s">
        <v>2154</v>
      </c>
      <c r="F415" s="110">
        <f>SUMIF('Yucho Arai'!N:N,'Tổng hợp tiền thu theo mã U'!E415,'Yucho Arai'!H:H)+SUMIF(GMO!I:I,'Tổng hợp tiền thu theo mã U'!E415,GMO!G:G)</f>
        <v>0</v>
      </c>
      <c r="G415" s="110">
        <f>SUMIF('Yucho Arai'!N:N,'Tổng hợp tiền thu theo mã U'!E415,'Yucho Arai'!I:I)+SUMIF(GMO!I:I,'Tổng hợp tiền thu theo mã U'!E415,GMO!H:H)+SUMIF('Arai 7121'!H:H,'Tổng hợp tiền thu theo mã U'!E415,'Arai 7121'!B:B)</f>
        <v>4000</v>
      </c>
      <c r="H415" s="70">
        <f t="shared" si="7"/>
        <v>4000</v>
      </c>
    </row>
    <row r="416" spans="4:8">
      <c r="D416">
        <v>414</v>
      </c>
      <c r="E416" t="s">
        <v>45</v>
      </c>
      <c r="F416" s="110">
        <f>SUMIF('Yucho Arai'!N:N,'Tổng hợp tiền thu theo mã U'!E416,'Yucho Arai'!H:H)+SUMIF(GMO!I:I,'Tổng hợp tiền thu theo mã U'!E416,GMO!G:G)</f>
        <v>0</v>
      </c>
      <c r="G416" s="110">
        <f>SUMIF('Yucho Arai'!N:N,'Tổng hợp tiền thu theo mã U'!E416,'Yucho Arai'!I:I)+SUMIF(GMO!I:I,'Tổng hợp tiền thu theo mã U'!E416,GMO!H:H)+SUMIF('Arai 7121'!H:H,'Tổng hợp tiền thu theo mã U'!E416,'Arai 7121'!B:B)</f>
        <v>2000</v>
      </c>
      <c r="H416" s="70">
        <f t="shared" si="7"/>
        <v>2000</v>
      </c>
    </row>
    <row r="417" spans="4:8">
      <c r="D417">
        <v>415</v>
      </c>
      <c r="E417" t="s">
        <v>26</v>
      </c>
      <c r="F417" s="110">
        <f>SUMIF('Yucho Arai'!N:N,'Tổng hợp tiền thu theo mã U'!E417,'Yucho Arai'!H:H)+SUMIF(GMO!I:I,'Tổng hợp tiền thu theo mã U'!E417,GMO!G:G)</f>
        <v>0</v>
      </c>
      <c r="G417" s="110">
        <f>SUMIF('Yucho Arai'!N:N,'Tổng hợp tiền thu theo mã U'!E417,'Yucho Arai'!I:I)+SUMIF(GMO!I:I,'Tổng hợp tiền thu theo mã U'!E417,GMO!H:H)+SUMIF('Arai 7121'!H:H,'Tổng hợp tiền thu theo mã U'!E417,'Arai 7121'!B:B)</f>
        <v>2000</v>
      </c>
      <c r="H417" s="70">
        <f t="shared" si="7"/>
        <v>2000</v>
      </c>
    </row>
    <row r="418" spans="4:8">
      <c r="D418">
        <v>416</v>
      </c>
      <c r="E418" t="s">
        <v>40</v>
      </c>
      <c r="F418" s="110">
        <f>SUMIF('Yucho Arai'!N:N,'Tổng hợp tiền thu theo mã U'!E418,'Yucho Arai'!H:H)+SUMIF(GMO!I:I,'Tổng hợp tiền thu theo mã U'!E418,GMO!G:G)</f>
        <v>0</v>
      </c>
      <c r="G418" s="110">
        <f>SUMIF('Yucho Arai'!N:N,'Tổng hợp tiền thu theo mã U'!E418,'Yucho Arai'!I:I)+SUMIF(GMO!I:I,'Tổng hợp tiền thu theo mã U'!E418,GMO!H:H)+SUMIF('Arai 7121'!H:H,'Tổng hợp tiền thu theo mã U'!E418,'Arai 7121'!B:B)</f>
        <v>2000</v>
      </c>
      <c r="H418" s="70">
        <f t="shared" si="7"/>
        <v>2000</v>
      </c>
    </row>
    <row r="419" spans="4:8">
      <c r="D419">
        <v>417</v>
      </c>
      <c r="E419" t="s">
        <v>21</v>
      </c>
      <c r="F419" s="110">
        <f>SUMIF('Yucho Arai'!N:N,'Tổng hợp tiền thu theo mã U'!E419,'Yucho Arai'!H:H)+SUMIF(GMO!I:I,'Tổng hợp tiền thu theo mã U'!E419,GMO!G:G)</f>
        <v>0</v>
      </c>
      <c r="G419" s="110">
        <f>SUMIF('Yucho Arai'!N:N,'Tổng hợp tiền thu theo mã U'!E419,'Yucho Arai'!I:I)+SUMIF(GMO!I:I,'Tổng hợp tiền thu theo mã U'!E419,GMO!H:H)+SUMIF('Arai 7121'!H:H,'Tổng hợp tiền thu theo mã U'!E419,'Arai 7121'!B:B)</f>
        <v>1500</v>
      </c>
      <c r="H419" s="70">
        <f t="shared" si="7"/>
        <v>1500</v>
      </c>
    </row>
    <row r="420" spans="4:8">
      <c r="D420">
        <v>418</v>
      </c>
      <c r="E420" t="s">
        <v>27</v>
      </c>
      <c r="F420" s="110">
        <f>SUMIF('Yucho Arai'!N:N,'Tổng hợp tiền thu theo mã U'!E420,'Yucho Arai'!H:H)+SUMIF(GMO!I:I,'Tổng hợp tiền thu theo mã U'!E420,GMO!G:G)</f>
        <v>0</v>
      </c>
      <c r="G420" s="110">
        <f>SUMIF('Yucho Arai'!N:N,'Tổng hợp tiền thu theo mã U'!E420,'Yucho Arai'!I:I)+SUMIF(GMO!I:I,'Tổng hợp tiền thu theo mã U'!E420,GMO!H:H)+SUMIF('Arai 7121'!H:H,'Tổng hợp tiền thu theo mã U'!E420,'Arai 7121'!B:B)</f>
        <v>2000</v>
      </c>
      <c r="H420" s="70">
        <f t="shared" si="7"/>
        <v>2000</v>
      </c>
    </row>
    <row r="421" spans="4:8">
      <c r="D421">
        <v>419</v>
      </c>
      <c r="E421" t="s">
        <v>4097</v>
      </c>
      <c r="F421" s="110">
        <f>SUMIF('Yucho Arai'!N:N,'Tổng hợp tiền thu theo mã U'!E421,'Yucho Arai'!H:H)+SUMIF(GMO!I:I,'Tổng hợp tiền thu theo mã U'!E421,GMO!G:G)</f>
        <v>0</v>
      </c>
      <c r="G421" s="110">
        <f>SUMIF('Yucho Arai'!N:N,'Tổng hợp tiền thu theo mã U'!E421,'Yucho Arai'!I:I)+SUMIF(GMO!I:I,'Tổng hợp tiền thu theo mã U'!E421,GMO!H:H)+SUMIF('Arai 7121'!H:H,'Tổng hợp tiền thu theo mã U'!E421,'Arai 7121'!B:B)</f>
        <v>2000</v>
      </c>
      <c r="H421" s="70">
        <f t="shared" si="7"/>
        <v>2000</v>
      </c>
    </row>
    <row r="422" spans="4:8">
      <c r="D422">
        <v>420</v>
      </c>
      <c r="E422" t="s">
        <v>4080</v>
      </c>
      <c r="F422" s="110">
        <f>SUMIF('Yucho Arai'!N:N,'Tổng hợp tiền thu theo mã U'!E422,'Yucho Arai'!H:H)+SUMIF(GMO!I:I,'Tổng hợp tiền thu theo mã U'!E422,GMO!G:G)</f>
        <v>0</v>
      </c>
      <c r="G422" s="110">
        <f>SUMIF('Yucho Arai'!N:N,'Tổng hợp tiền thu theo mã U'!E422,'Yucho Arai'!I:I)+SUMIF(GMO!I:I,'Tổng hợp tiền thu theo mã U'!E422,GMO!H:H)+SUMIF('Arai 7121'!H:H,'Tổng hợp tiền thu theo mã U'!E422,'Arai 7121'!B:B)</f>
        <v>4000</v>
      </c>
      <c r="H422" s="70">
        <f t="shared" si="7"/>
        <v>4000</v>
      </c>
    </row>
    <row r="423" spans="4:8">
      <c r="D423">
        <v>421</v>
      </c>
      <c r="E423" t="s">
        <v>31</v>
      </c>
      <c r="F423" s="110">
        <f>SUMIF('Yucho Arai'!N:N,'Tổng hợp tiền thu theo mã U'!E423,'Yucho Arai'!H:H)+SUMIF(GMO!I:I,'Tổng hợp tiền thu theo mã U'!E423,GMO!G:G)</f>
        <v>0</v>
      </c>
      <c r="G423" s="110">
        <f>SUMIF('Yucho Arai'!N:N,'Tổng hợp tiền thu theo mã U'!E423,'Yucho Arai'!I:I)+SUMIF(GMO!I:I,'Tổng hợp tiền thu theo mã U'!E423,GMO!H:H)+SUMIF('Arai 7121'!H:H,'Tổng hợp tiền thu theo mã U'!E423,'Arai 7121'!B:B)</f>
        <v>2000</v>
      </c>
      <c r="H423" s="70">
        <f t="shared" si="7"/>
        <v>2000</v>
      </c>
    </row>
    <row r="424" spans="4:8">
      <c r="D424">
        <v>422</v>
      </c>
      <c r="E424" t="s">
        <v>1743</v>
      </c>
      <c r="F424" s="110">
        <f>SUMIF('Yucho Arai'!N:N,'Tổng hợp tiền thu theo mã U'!E424,'Yucho Arai'!H:H)+SUMIF(GMO!I:I,'Tổng hợp tiền thu theo mã U'!E424,GMO!G:G)</f>
        <v>0</v>
      </c>
      <c r="G424" s="110">
        <f>SUMIF('Yucho Arai'!N:N,'Tổng hợp tiền thu theo mã U'!E424,'Yucho Arai'!I:I)+SUMIF(GMO!I:I,'Tổng hợp tiền thu theo mã U'!E424,GMO!H:H)+SUMIF('Arai 7121'!H:H,'Tổng hợp tiền thu theo mã U'!E424,'Arai 7121'!B:B)</f>
        <v>3600</v>
      </c>
      <c r="H424" s="70">
        <f t="shared" si="7"/>
        <v>3600</v>
      </c>
    </row>
    <row r="425" spans="4:8">
      <c r="D425">
        <v>423</v>
      </c>
      <c r="E425" t="s">
        <v>22</v>
      </c>
      <c r="F425" s="110">
        <f>SUMIF('Yucho Arai'!N:N,'Tổng hợp tiền thu theo mã U'!E425,'Yucho Arai'!H:H)+SUMIF(GMO!I:I,'Tổng hợp tiền thu theo mã U'!E425,GMO!G:G)</f>
        <v>0</v>
      </c>
      <c r="G425" s="110">
        <f>SUMIF('Yucho Arai'!N:N,'Tổng hợp tiền thu theo mã U'!E425,'Yucho Arai'!I:I)+SUMIF(GMO!I:I,'Tổng hợp tiền thu theo mã U'!E425,GMO!H:H)+SUMIF('Arai 7121'!H:H,'Tổng hợp tiền thu theo mã U'!E425,'Arai 7121'!B:B)</f>
        <v>2000</v>
      </c>
      <c r="H425" s="70">
        <f t="shared" si="7"/>
        <v>2000</v>
      </c>
    </row>
    <row r="426" spans="4:8">
      <c r="D426">
        <v>424</v>
      </c>
      <c r="E426" t="s">
        <v>23</v>
      </c>
      <c r="F426" s="110">
        <f>SUMIF('Yucho Arai'!N:N,'Tổng hợp tiền thu theo mã U'!E426,'Yucho Arai'!H:H)+SUMIF(GMO!I:I,'Tổng hợp tiền thu theo mã U'!E426,GMO!G:G)</f>
        <v>0</v>
      </c>
      <c r="G426" s="110">
        <f>SUMIF('Yucho Arai'!N:N,'Tổng hợp tiền thu theo mã U'!E426,'Yucho Arai'!I:I)+SUMIF(GMO!I:I,'Tổng hợp tiền thu theo mã U'!E426,GMO!H:H)+SUMIF('Arai 7121'!H:H,'Tổng hợp tiền thu theo mã U'!E426,'Arai 7121'!B:B)</f>
        <v>2000</v>
      </c>
      <c r="H426" s="70">
        <f t="shared" si="7"/>
        <v>2000</v>
      </c>
    </row>
    <row r="427" spans="4:8">
      <c r="D427">
        <v>425</v>
      </c>
      <c r="E427" t="s">
        <v>24</v>
      </c>
      <c r="F427" s="110">
        <f>SUMIF('Yucho Arai'!N:N,'Tổng hợp tiền thu theo mã U'!E427,'Yucho Arai'!H:H)+SUMIF(GMO!I:I,'Tổng hợp tiền thu theo mã U'!E427,GMO!G:G)</f>
        <v>0</v>
      </c>
      <c r="G427" s="110">
        <f>SUMIF('Yucho Arai'!N:N,'Tổng hợp tiền thu theo mã U'!E427,'Yucho Arai'!I:I)+SUMIF(GMO!I:I,'Tổng hợp tiền thu theo mã U'!E427,GMO!H:H)+SUMIF('Arai 7121'!H:H,'Tổng hợp tiền thu theo mã U'!E427,'Arai 7121'!B:B)</f>
        <v>2000</v>
      </c>
      <c r="H427" s="70">
        <f t="shared" si="7"/>
        <v>2000</v>
      </c>
    </row>
    <row r="428" spans="4:8">
      <c r="D428">
        <v>426</v>
      </c>
      <c r="E428" t="s">
        <v>4013</v>
      </c>
      <c r="F428" s="110">
        <f>SUMIF('Yucho Arai'!N:N,'Tổng hợp tiền thu theo mã U'!E428,'Yucho Arai'!H:H)+SUMIF(GMO!I:I,'Tổng hợp tiền thu theo mã U'!E428,GMO!G:G)</f>
        <v>0</v>
      </c>
      <c r="G428" s="110">
        <f>SUMIF('Yucho Arai'!N:N,'Tổng hợp tiền thu theo mã U'!E428,'Yucho Arai'!I:I)+SUMIF(GMO!I:I,'Tổng hợp tiền thu theo mã U'!E428,GMO!H:H)+SUMIF('Arai 7121'!H:H,'Tổng hợp tiền thu theo mã U'!E428,'Arai 7121'!B:B)</f>
        <v>2000</v>
      </c>
      <c r="H428" s="70">
        <f t="shared" si="7"/>
        <v>2000</v>
      </c>
    </row>
    <row r="429" spans="4:8">
      <c r="D429">
        <v>427</v>
      </c>
      <c r="E429" t="s">
        <v>4003</v>
      </c>
      <c r="F429" s="110">
        <f>SUMIF('Yucho Arai'!N:N,'Tổng hợp tiền thu theo mã U'!E429,'Yucho Arai'!H:H)+SUMIF(GMO!I:I,'Tổng hợp tiền thu theo mã U'!E429,GMO!G:G)</f>
        <v>0</v>
      </c>
      <c r="G429" s="110">
        <f>SUMIF('Yucho Arai'!N:N,'Tổng hợp tiền thu theo mã U'!E429,'Yucho Arai'!I:I)+SUMIF(GMO!I:I,'Tổng hợp tiền thu theo mã U'!E429,GMO!H:H)+SUMIF('Arai 7121'!H:H,'Tổng hợp tiền thu theo mã U'!E429,'Arai 7121'!B:B)</f>
        <v>2000</v>
      </c>
      <c r="H429" s="70">
        <f t="shared" si="7"/>
        <v>2000</v>
      </c>
    </row>
    <row r="430" spans="4:8">
      <c r="D430">
        <v>428</v>
      </c>
      <c r="E430" t="s">
        <v>4066</v>
      </c>
      <c r="F430" s="110">
        <f>SUMIF('Yucho Arai'!N:N,'Tổng hợp tiền thu theo mã U'!E430,'Yucho Arai'!H:H)+SUMIF(GMO!I:I,'Tổng hợp tiền thu theo mã U'!E430,GMO!G:G)</f>
        <v>0</v>
      </c>
      <c r="G430" s="110">
        <f>SUMIF('Yucho Arai'!N:N,'Tổng hợp tiền thu theo mã U'!E430,'Yucho Arai'!I:I)+SUMIF(GMO!I:I,'Tổng hợp tiền thu theo mã U'!E430,GMO!H:H)+SUMIF('Arai 7121'!H:H,'Tổng hợp tiền thu theo mã U'!E430,'Arai 7121'!B:B)</f>
        <v>2000</v>
      </c>
      <c r="H430" s="70">
        <f t="shared" si="7"/>
        <v>2000</v>
      </c>
    </row>
    <row r="431" spans="4:8">
      <c r="D431">
        <v>429</v>
      </c>
      <c r="E431" t="s">
        <v>44</v>
      </c>
      <c r="F431" s="110">
        <f>SUMIF('Yucho Arai'!N:N,'Tổng hợp tiền thu theo mã U'!E431,'Yucho Arai'!H:H)+SUMIF(GMO!I:I,'Tổng hợp tiền thu theo mã U'!E431,GMO!G:G)</f>
        <v>0</v>
      </c>
      <c r="G431" s="110">
        <f>SUMIF('Yucho Arai'!N:N,'Tổng hợp tiền thu theo mã U'!E431,'Yucho Arai'!I:I)+SUMIF(GMO!I:I,'Tổng hợp tiền thu theo mã U'!E431,GMO!H:H)+SUMIF('Arai 7121'!H:H,'Tổng hợp tiền thu theo mã U'!E431,'Arai 7121'!B:B)</f>
        <v>2000</v>
      </c>
      <c r="H431" s="70">
        <f t="shared" si="7"/>
        <v>2000</v>
      </c>
    </row>
    <row r="432" spans="4:8">
      <c r="D432">
        <v>430</v>
      </c>
      <c r="E432" t="s">
        <v>30</v>
      </c>
      <c r="F432" s="110">
        <f>SUMIF('Yucho Arai'!N:N,'Tổng hợp tiền thu theo mã U'!E432,'Yucho Arai'!H:H)+SUMIF(GMO!I:I,'Tổng hợp tiền thu theo mã U'!E432,GMO!G:G)</f>
        <v>0</v>
      </c>
      <c r="G432" s="110">
        <f>SUMIF('Yucho Arai'!N:N,'Tổng hợp tiền thu theo mã U'!E432,'Yucho Arai'!I:I)+SUMIF(GMO!I:I,'Tổng hợp tiền thu theo mã U'!E432,GMO!H:H)+SUMIF('Arai 7121'!H:H,'Tổng hợp tiền thu theo mã U'!E432,'Arai 7121'!B:B)</f>
        <v>2000</v>
      </c>
      <c r="H432" s="70">
        <f t="shared" si="7"/>
        <v>2000</v>
      </c>
    </row>
    <row r="433" spans="4:8">
      <c r="D433">
        <v>431</v>
      </c>
      <c r="E433" t="s">
        <v>41</v>
      </c>
      <c r="F433" s="110">
        <f>SUMIF('Yucho Arai'!N:N,'Tổng hợp tiền thu theo mã U'!E433,'Yucho Arai'!H:H)+SUMIF(GMO!I:I,'Tổng hợp tiền thu theo mã U'!E433,GMO!G:G)</f>
        <v>0</v>
      </c>
      <c r="G433" s="110">
        <f>SUMIF('Yucho Arai'!N:N,'Tổng hợp tiền thu theo mã U'!E433,'Yucho Arai'!I:I)+SUMIF(GMO!I:I,'Tổng hợp tiền thu theo mã U'!E433,GMO!H:H)+SUMIF('Arai 7121'!H:H,'Tổng hợp tiền thu theo mã U'!E433,'Arai 7121'!B:B)</f>
        <v>2000</v>
      </c>
      <c r="H433" s="70">
        <f t="shared" si="7"/>
        <v>2000</v>
      </c>
    </row>
    <row r="434" spans="4:8">
      <c r="D434">
        <v>432</v>
      </c>
      <c r="E434" t="s">
        <v>4000</v>
      </c>
      <c r="F434" s="110">
        <f>SUMIF('Yucho Arai'!N:N,'Tổng hợp tiền thu theo mã U'!E434,'Yucho Arai'!H:H)+SUMIF(GMO!I:I,'Tổng hợp tiền thu theo mã U'!E434,GMO!G:G)</f>
        <v>0</v>
      </c>
      <c r="G434" s="110">
        <f>SUMIF('Yucho Arai'!N:N,'Tổng hợp tiền thu theo mã U'!E434,'Yucho Arai'!I:I)+SUMIF(GMO!I:I,'Tổng hợp tiền thu theo mã U'!E434,GMO!H:H)+SUMIF('Arai 7121'!H:H,'Tổng hợp tiền thu theo mã U'!E434,'Arai 7121'!B:B)</f>
        <v>2000</v>
      </c>
      <c r="H434" s="70">
        <f t="shared" si="7"/>
        <v>2000</v>
      </c>
    </row>
    <row r="435" spans="4:8">
      <c r="D435">
        <v>433</v>
      </c>
      <c r="E435" t="s">
        <v>4016</v>
      </c>
      <c r="F435" s="110">
        <f>SUMIF('Yucho Arai'!N:N,'Tổng hợp tiền thu theo mã U'!E435,'Yucho Arai'!H:H)+SUMIF(GMO!I:I,'Tổng hợp tiền thu theo mã U'!E435,GMO!G:G)</f>
        <v>0</v>
      </c>
      <c r="G435" s="110">
        <f>SUMIF('Yucho Arai'!N:N,'Tổng hợp tiền thu theo mã U'!E435,'Yucho Arai'!I:I)+SUMIF(GMO!I:I,'Tổng hợp tiền thu theo mã U'!E435,GMO!H:H)+SUMIF('Arai 7121'!H:H,'Tổng hợp tiền thu theo mã U'!E435,'Arai 7121'!B:B)</f>
        <v>2000</v>
      </c>
      <c r="H435" s="70">
        <f t="shared" si="7"/>
        <v>2000</v>
      </c>
    </row>
    <row r="436" spans="4:8">
      <c r="D436">
        <v>434</v>
      </c>
      <c r="E436" t="s">
        <v>114</v>
      </c>
      <c r="F436" s="110">
        <f>SUMIF('Yucho Arai'!N:N,'Tổng hợp tiền thu theo mã U'!E436,'Yucho Arai'!H:H)+SUMIF(GMO!I:I,'Tổng hợp tiền thu theo mã U'!E436,GMO!G:G)</f>
        <v>0</v>
      </c>
      <c r="G436" s="110">
        <f>SUMIF('Yucho Arai'!N:N,'Tổng hợp tiền thu theo mã U'!E436,'Yucho Arai'!I:I)+SUMIF(GMO!I:I,'Tổng hợp tiền thu theo mã U'!E436,GMO!H:H)+SUMIF('Arai 7121'!H:H,'Tổng hợp tiền thu theo mã U'!E436,'Arai 7121'!B:B)</f>
        <v>2000</v>
      </c>
      <c r="H436" s="70">
        <f t="shared" si="7"/>
        <v>2000</v>
      </c>
    </row>
    <row r="437" spans="4:8">
      <c r="D437">
        <v>435</v>
      </c>
      <c r="E437" t="s">
        <v>4002</v>
      </c>
      <c r="F437" s="110">
        <f>SUMIF('Yucho Arai'!N:N,'Tổng hợp tiền thu theo mã U'!E437,'Yucho Arai'!H:H)+SUMIF(GMO!I:I,'Tổng hợp tiền thu theo mã U'!E437,GMO!G:G)</f>
        <v>0</v>
      </c>
      <c r="G437" s="110">
        <f>SUMIF('Yucho Arai'!N:N,'Tổng hợp tiền thu theo mã U'!E437,'Yucho Arai'!I:I)+SUMIF(GMO!I:I,'Tổng hợp tiền thu theo mã U'!E437,GMO!H:H)+SUMIF('Arai 7121'!H:H,'Tổng hợp tiền thu theo mã U'!E437,'Arai 7121'!B:B)</f>
        <v>2000</v>
      </c>
      <c r="H437" s="70">
        <f t="shared" si="7"/>
        <v>2000</v>
      </c>
    </row>
    <row r="438" spans="4:8">
      <c r="D438">
        <v>436</v>
      </c>
      <c r="E438" t="s">
        <v>39</v>
      </c>
      <c r="F438" s="110">
        <f>SUMIF('Yucho Arai'!N:N,'Tổng hợp tiền thu theo mã U'!E438,'Yucho Arai'!H:H)+SUMIF(GMO!I:I,'Tổng hợp tiền thu theo mã U'!E438,GMO!G:G)</f>
        <v>0</v>
      </c>
      <c r="G438" s="110">
        <f>SUMIF('Yucho Arai'!N:N,'Tổng hợp tiền thu theo mã U'!E438,'Yucho Arai'!I:I)+SUMIF(GMO!I:I,'Tổng hợp tiền thu theo mã U'!E438,GMO!H:H)+SUMIF('Arai 7121'!H:H,'Tổng hợp tiền thu theo mã U'!E438,'Arai 7121'!B:B)</f>
        <v>4000</v>
      </c>
      <c r="H438" s="70">
        <f t="shared" si="7"/>
        <v>4000</v>
      </c>
    </row>
    <row r="439" spans="4:8">
      <c r="D439">
        <v>437</v>
      </c>
      <c r="E439" t="s">
        <v>2157</v>
      </c>
      <c r="F439" s="110">
        <f>SUMIF('Yucho Arai'!N:N,'Tổng hợp tiền thu theo mã U'!E439,'Yucho Arai'!H:H)+SUMIF(GMO!I:I,'Tổng hợp tiền thu theo mã U'!E439,GMO!G:G)</f>
        <v>0</v>
      </c>
      <c r="G439" s="110">
        <f>SUMIF('Yucho Arai'!N:N,'Tổng hợp tiền thu theo mã U'!E439,'Yucho Arai'!I:I)+SUMIF(GMO!I:I,'Tổng hợp tiền thu theo mã U'!E439,GMO!H:H)+SUMIF('Arai 7121'!H:H,'Tổng hợp tiền thu theo mã U'!E439,'Arai 7121'!B:B)</f>
        <v>2000</v>
      </c>
      <c r="H439" s="70">
        <f t="shared" si="7"/>
        <v>2000</v>
      </c>
    </row>
    <row r="440" spans="4:8">
      <c r="D440">
        <v>438</v>
      </c>
      <c r="E440" t="s">
        <v>49</v>
      </c>
      <c r="F440" s="110">
        <f>SUMIF('Yucho Arai'!N:N,'Tổng hợp tiền thu theo mã U'!E440,'Yucho Arai'!H:H)+SUMIF(GMO!I:I,'Tổng hợp tiền thu theo mã U'!E440,GMO!G:G)</f>
        <v>0</v>
      </c>
      <c r="G440" s="110">
        <f>SUMIF('Yucho Arai'!N:N,'Tổng hợp tiền thu theo mã U'!E440,'Yucho Arai'!I:I)+SUMIF(GMO!I:I,'Tổng hợp tiền thu theo mã U'!E440,GMO!H:H)+SUMIF('Arai 7121'!H:H,'Tổng hợp tiền thu theo mã U'!E440,'Arai 7121'!B:B)</f>
        <v>2000</v>
      </c>
      <c r="H440" s="70">
        <f t="shared" si="7"/>
        <v>2000</v>
      </c>
    </row>
    <row r="441" spans="4:8">
      <c r="D441">
        <v>439</v>
      </c>
      <c r="E441" t="s">
        <v>28</v>
      </c>
      <c r="F441" s="110">
        <f>SUMIF('Yucho Arai'!N:N,'Tổng hợp tiền thu theo mã U'!E441,'Yucho Arai'!H:H)+SUMIF(GMO!I:I,'Tổng hợp tiền thu theo mã U'!E441,GMO!G:G)</f>
        <v>0</v>
      </c>
      <c r="G441" s="110">
        <f>SUMIF('Yucho Arai'!N:N,'Tổng hợp tiền thu theo mã U'!E441,'Yucho Arai'!I:I)+SUMIF(GMO!I:I,'Tổng hợp tiền thu theo mã U'!E441,GMO!H:H)+SUMIF('Arai 7121'!H:H,'Tổng hợp tiền thu theo mã U'!E441,'Arai 7121'!B:B)</f>
        <v>2000</v>
      </c>
      <c r="H441" s="70">
        <f t="shared" si="7"/>
        <v>2000</v>
      </c>
    </row>
    <row r="442" spans="4:8">
      <c r="D442">
        <v>440</v>
      </c>
      <c r="E442" t="s">
        <v>85</v>
      </c>
      <c r="F442" s="110">
        <f>SUMIF('Yucho Arai'!N:N,'Tổng hợp tiền thu theo mã U'!E442,'Yucho Arai'!H:H)+SUMIF(GMO!I:I,'Tổng hợp tiền thu theo mã U'!E442,GMO!G:G)</f>
        <v>0</v>
      </c>
      <c r="G442" s="110">
        <f>SUMIF('Yucho Arai'!N:N,'Tổng hợp tiền thu theo mã U'!E442,'Yucho Arai'!I:I)+SUMIF(GMO!I:I,'Tổng hợp tiền thu theo mã U'!E442,GMO!H:H)+SUMIF('Arai 7121'!H:H,'Tổng hợp tiền thu theo mã U'!E442,'Arai 7121'!B:B)</f>
        <v>2000</v>
      </c>
      <c r="H442" s="70">
        <f t="shared" si="7"/>
        <v>2000</v>
      </c>
    </row>
    <row r="443" spans="4:8">
      <c r="D443">
        <v>441</v>
      </c>
      <c r="E443" t="s">
        <v>4001</v>
      </c>
      <c r="F443" s="110">
        <f>SUMIF('Yucho Arai'!N:N,'Tổng hợp tiền thu theo mã U'!E443,'Yucho Arai'!H:H)+SUMIF(GMO!I:I,'Tổng hợp tiền thu theo mã U'!E443,GMO!G:G)</f>
        <v>0</v>
      </c>
      <c r="G443" s="110">
        <f>SUMIF('Yucho Arai'!N:N,'Tổng hợp tiền thu theo mã U'!E443,'Yucho Arai'!I:I)+SUMIF(GMO!I:I,'Tổng hợp tiền thu theo mã U'!E443,GMO!H:H)+SUMIF('Arai 7121'!H:H,'Tổng hợp tiền thu theo mã U'!E443,'Arai 7121'!B:B)</f>
        <v>2000</v>
      </c>
      <c r="H443" s="70">
        <f t="shared" si="7"/>
        <v>2000</v>
      </c>
    </row>
    <row r="444" spans="4:8">
      <c r="D444">
        <v>442</v>
      </c>
      <c r="E444" t="s">
        <v>4020</v>
      </c>
      <c r="F444" s="110">
        <f>SUMIF('Yucho Arai'!N:N,'Tổng hợp tiền thu theo mã U'!E444,'Yucho Arai'!H:H)+SUMIF(GMO!I:I,'Tổng hợp tiền thu theo mã U'!E444,GMO!G:G)</f>
        <v>0</v>
      </c>
      <c r="G444" s="110">
        <f>SUMIF('Yucho Arai'!N:N,'Tổng hợp tiền thu theo mã U'!E444,'Yucho Arai'!I:I)+SUMIF(GMO!I:I,'Tổng hợp tiền thu theo mã U'!E444,GMO!H:H)+SUMIF('Arai 7121'!H:H,'Tổng hợp tiền thu theo mã U'!E444,'Arai 7121'!B:B)</f>
        <v>4000</v>
      </c>
      <c r="H444" s="70">
        <f t="shared" si="7"/>
        <v>4000</v>
      </c>
    </row>
    <row r="445" spans="4:8">
      <c r="D445">
        <v>443</v>
      </c>
      <c r="E445" t="s">
        <v>4078</v>
      </c>
      <c r="F445" s="110">
        <f>SUMIF('Yucho Arai'!N:N,'Tổng hợp tiền thu theo mã U'!E445,'Yucho Arai'!H:H)+SUMIF(GMO!I:I,'Tổng hợp tiền thu theo mã U'!E445,GMO!G:G)</f>
        <v>0</v>
      </c>
      <c r="G445" s="110">
        <f>SUMIF('Yucho Arai'!N:N,'Tổng hợp tiền thu theo mã U'!E445,'Yucho Arai'!I:I)+SUMIF(GMO!I:I,'Tổng hợp tiền thu theo mã U'!E445,GMO!H:H)+SUMIF('Arai 7121'!H:H,'Tổng hợp tiền thu theo mã U'!E445,'Arai 7121'!B:B)</f>
        <v>2000</v>
      </c>
      <c r="H445" s="70">
        <f t="shared" si="7"/>
        <v>2000</v>
      </c>
    </row>
    <row r="446" spans="4:8">
      <c r="D446">
        <v>444</v>
      </c>
      <c r="E446" t="s">
        <v>43</v>
      </c>
      <c r="F446" s="110">
        <f>SUMIF('Yucho Arai'!N:N,'Tổng hợp tiền thu theo mã U'!E446,'Yucho Arai'!H:H)+SUMIF(GMO!I:I,'Tổng hợp tiền thu theo mã U'!E446,GMO!G:G)</f>
        <v>0</v>
      </c>
      <c r="G446" s="110">
        <f>SUMIF('Yucho Arai'!N:N,'Tổng hợp tiền thu theo mã U'!E446,'Yucho Arai'!I:I)+SUMIF(GMO!I:I,'Tổng hợp tiền thu theo mã U'!E446,GMO!H:H)+SUMIF('Arai 7121'!H:H,'Tổng hợp tiền thu theo mã U'!E446,'Arai 7121'!B:B)</f>
        <v>2000</v>
      </c>
      <c r="H446" s="70">
        <f t="shared" si="7"/>
        <v>2000</v>
      </c>
    </row>
    <row r="447" spans="4:8">
      <c r="D447">
        <v>445</v>
      </c>
      <c r="E447" t="s">
        <v>2152</v>
      </c>
      <c r="F447" s="110">
        <f>SUMIF('Yucho Arai'!N:N,'Tổng hợp tiền thu theo mã U'!E447,'Yucho Arai'!H:H)+SUMIF(GMO!I:I,'Tổng hợp tiền thu theo mã U'!E447,GMO!G:G)</f>
        <v>0</v>
      </c>
      <c r="G447" s="110">
        <f>SUMIF('Yucho Arai'!N:N,'Tổng hợp tiền thu theo mã U'!E447,'Yucho Arai'!I:I)+SUMIF(GMO!I:I,'Tổng hợp tiền thu theo mã U'!E447,GMO!H:H)+SUMIF('Arai 7121'!H:H,'Tổng hợp tiền thu theo mã U'!E447,'Arai 7121'!B:B)</f>
        <v>2000</v>
      </c>
      <c r="H447" s="70">
        <f t="shared" si="7"/>
        <v>2000</v>
      </c>
    </row>
    <row r="448" spans="4:8">
      <c r="D448">
        <v>446</v>
      </c>
      <c r="E448" t="s">
        <v>4045</v>
      </c>
      <c r="F448" s="110">
        <f>SUMIF('Yucho Arai'!N:N,'Tổng hợp tiền thu theo mã U'!E448,'Yucho Arai'!H:H)+SUMIF(GMO!I:I,'Tổng hợp tiền thu theo mã U'!E448,GMO!G:G)</f>
        <v>0</v>
      </c>
      <c r="G448" s="110">
        <f>SUMIF('Yucho Arai'!N:N,'Tổng hợp tiền thu theo mã U'!E448,'Yucho Arai'!I:I)+SUMIF(GMO!I:I,'Tổng hợp tiền thu theo mã U'!E448,GMO!H:H)+SUMIF('Arai 7121'!H:H,'Tổng hợp tiền thu theo mã U'!E448,'Arai 7121'!B:B)</f>
        <v>3000</v>
      </c>
      <c r="H448" s="70">
        <f t="shared" si="7"/>
        <v>3000</v>
      </c>
    </row>
    <row r="449" spans="4:8">
      <c r="D449">
        <v>447</v>
      </c>
      <c r="E449" t="s">
        <v>34</v>
      </c>
      <c r="F449" s="110">
        <f>SUMIF('Yucho Arai'!N:N,'Tổng hợp tiền thu theo mã U'!E449,'Yucho Arai'!H:H)+SUMIF(GMO!I:I,'Tổng hợp tiền thu theo mã U'!E449,GMO!G:G)</f>
        <v>0</v>
      </c>
      <c r="G449" s="110">
        <f>SUMIF('Yucho Arai'!N:N,'Tổng hợp tiền thu theo mã U'!E449,'Yucho Arai'!I:I)+SUMIF(GMO!I:I,'Tổng hợp tiền thu theo mã U'!E449,GMO!H:H)+SUMIF('Arai 7121'!H:H,'Tổng hợp tiền thu theo mã U'!E449,'Arai 7121'!B:B)</f>
        <v>2600</v>
      </c>
      <c r="H449" s="70">
        <f t="shared" si="7"/>
        <v>2600</v>
      </c>
    </row>
    <row r="450" spans="4:8">
      <c r="D450">
        <v>448</v>
      </c>
      <c r="E450" t="s">
        <v>4041</v>
      </c>
      <c r="F450" s="110">
        <f>SUMIF('Yucho Arai'!N:N,'Tổng hợp tiền thu theo mã U'!E450,'Yucho Arai'!H:H)+SUMIF(GMO!I:I,'Tổng hợp tiền thu theo mã U'!E450,GMO!G:G)</f>
        <v>0</v>
      </c>
      <c r="G450" s="110">
        <f>SUMIF('Yucho Arai'!N:N,'Tổng hợp tiền thu theo mã U'!E450,'Yucho Arai'!I:I)+SUMIF(GMO!I:I,'Tổng hợp tiền thu theo mã U'!E450,GMO!H:H)+SUMIF('Arai 7121'!H:H,'Tổng hợp tiền thu theo mã U'!E450,'Arai 7121'!B:B)</f>
        <v>2000</v>
      </c>
      <c r="H450" s="70">
        <f t="shared" si="7"/>
        <v>2000</v>
      </c>
    </row>
    <row r="451" spans="4:8">
      <c r="D451">
        <v>449</v>
      </c>
      <c r="E451" t="s">
        <v>48</v>
      </c>
      <c r="F451" s="110">
        <f>SUMIF('Yucho Arai'!N:N,'Tổng hợp tiền thu theo mã U'!E451,'Yucho Arai'!H:H)+SUMIF(GMO!I:I,'Tổng hợp tiền thu theo mã U'!E451,GMO!G:G)</f>
        <v>0</v>
      </c>
      <c r="G451" s="110">
        <f>SUMIF('Yucho Arai'!N:N,'Tổng hợp tiền thu theo mã U'!E451,'Yucho Arai'!I:I)+SUMIF(GMO!I:I,'Tổng hợp tiền thu theo mã U'!E451,GMO!H:H)+SUMIF('Arai 7121'!H:H,'Tổng hợp tiền thu theo mã U'!E451,'Arai 7121'!B:B)</f>
        <v>2000</v>
      </c>
      <c r="H451" s="70">
        <f t="shared" si="7"/>
        <v>2000</v>
      </c>
    </row>
    <row r="452" spans="4:8">
      <c r="D452">
        <v>450</v>
      </c>
      <c r="E452" t="s">
        <v>63</v>
      </c>
      <c r="F452" s="110">
        <f>SUMIF('Yucho Arai'!N:N,'Tổng hợp tiền thu theo mã U'!E452,'Yucho Arai'!H:H)+SUMIF(GMO!I:I,'Tổng hợp tiền thu theo mã U'!E452,GMO!G:G)</f>
        <v>0</v>
      </c>
      <c r="G452" s="110">
        <f>SUMIF('Yucho Arai'!N:N,'Tổng hợp tiền thu theo mã U'!E452,'Yucho Arai'!I:I)+SUMIF(GMO!I:I,'Tổng hợp tiền thu theo mã U'!E452,GMO!H:H)+SUMIF('Arai 7121'!H:H,'Tổng hợp tiền thu theo mã U'!E452,'Arai 7121'!B:B)</f>
        <v>2000</v>
      </c>
      <c r="H452" s="70">
        <f t="shared" ref="H452:H455" si="8">G452+F452</f>
        <v>2000</v>
      </c>
    </row>
    <row r="453" spans="4:8">
      <c r="D453">
        <v>451</v>
      </c>
      <c r="E453" t="s">
        <v>4072</v>
      </c>
      <c r="F453" s="110">
        <f>SUMIF('Yucho Arai'!N:N,'Tổng hợp tiền thu theo mã U'!E453,'Yucho Arai'!H:H)+SUMIF(GMO!I:I,'Tổng hợp tiền thu theo mã U'!E453,GMO!G:G)</f>
        <v>0</v>
      </c>
      <c r="G453" s="110">
        <f>SUMIF('Yucho Arai'!N:N,'Tổng hợp tiền thu theo mã U'!E453,'Yucho Arai'!I:I)+SUMIF(GMO!I:I,'Tổng hợp tiền thu theo mã U'!E453,GMO!H:H)+SUMIF('Arai 7121'!H:H,'Tổng hợp tiền thu theo mã U'!E453,'Arai 7121'!B:B)</f>
        <v>2000</v>
      </c>
      <c r="H453" s="70">
        <f t="shared" si="8"/>
        <v>2000</v>
      </c>
    </row>
    <row r="454" spans="4:8">
      <c r="D454">
        <v>452</v>
      </c>
      <c r="E454" t="s">
        <v>4005</v>
      </c>
      <c r="F454" s="110">
        <f>SUMIF('Yucho Arai'!N:N,'Tổng hợp tiền thu theo mã U'!E454,'Yucho Arai'!H:H)+SUMIF(GMO!I:I,'Tổng hợp tiền thu theo mã U'!E454,GMO!G:G)</f>
        <v>0</v>
      </c>
      <c r="G454" s="110">
        <f>SUMIF('Yucho Arai'!N:N,'Tổng hợp tiền thu theo mã U'!E454,'Yucho Arai'!I:I)+SUMIF(GMO!I:I,'Tổng hợp tiền thu theo mã U'!E454,GMO!H:H)+SUMIF('Arai 7121'!H:H,'Tổng hợp tiền thu theo mã U'!E454,'Arai 7121'!B:B)</f>
        <v>2000</v>
      </c>
      <c r="H454" s="70">
        <f t="shared" si="8"/>
        <v>2000</v>
      </c>
    </row>
    <row r="455" spans="4:8">
      <c r="D455">
        <v>453</v>
      </c>
      <c r="E455" t="s">
        <v>4088</v>
      </c>
      <c r="F455" s="110">
        <f>SUMIF('Yucho Arai'!N:N,'Tổng hợp tiền thu theo mã U'!E455,'Yucho Arai'!H:H)+SUMIF(GMO!I:I,'Tổng hợp tiền thu theo mã U'!E455,GMO!G:G)</f>
        <v>0</v>
      </c>
      <c r="G455" s="110">
        <f>SUMIF('Yucho Arai'!N:N,'Tổng hợp tiền thu theo mã U'!E455,'Yucho Arai'!I:I)+SUMIF(GMO!I:I,'Tổng hợp tiền thu theo mã U'!E455,GMO!H:H)+SUMIF('Arai 7121'!H:H,'Tổng hợp tiền thu theo mã U'!E455,'Arai 7121'!B:B)</f>
        <v>2000</v>
      </c>
      <c r="H455" s="70">
        <f t="shared" si="8"/>
        <v>2000</v>
      </c>
    </row>
    <row r="456" spans="4:8">
      <c r="D456">
        <v>453</v>
      </c>
      <c r="E456" t="s">
        <v>4229</v>
      </c>
      <c r="F456" s="110">
        <f>SUMIF('Yucho Arai'!N:N,'Tổng hợp tiền thu theo mã U'!E456,'Yucho Arai'!H:H)+SUMIF(GMO!I:I,'Tổng hợp tiền thu theo mã U'!E456,GMO!G:G)</f>
        <v>3000</v>
      </c>
      <c r="G456" s="110">
        <f>SUMIF('Yucho Arai'!N:N,'Tổng hợp tiền thu theo mã U'!E456,'Yucho Arai'!I:I)+SUMIF(GMO!I:I,'Tổng hợp tiền thu theo mã U'!E456,GMO!H:H)+SUMIF('Arai 7121'!H:H,'Tổng hợp tiền thu theo mã U'!E456,'Arai 7121'!B:B)</f>
        <v>0</v>
      </c>
      <c r="H456" s="70">
        <f t="shared" ref="H456" si="9">G456+F456</f>
        <v>3000</v>
      </c>
    </row>
    <row r="457" spans="4:8">
      <c r="D457">
        <v>454</v>
      </c>
      <c r="E457" t="s">
        <v>4236</v>
      </c>
      <c r="F457" s="110">
        <f>SUMIF('Yucho Arai'!N:N,'Tổng hợp tiền thu theo mã U'!E457,'Yucho Arai'!H:H)+SUMIF(GMO!I:I,'Tổng hợp tiền thu theo mã U'!E457,GMO!G:G)</f>
        <v>4000</v>
      </c>
      <c r="G457" s="110">
        <f>SUMIF('Yucho Arai'!N:N,'Tổng hợp tiền thu theo mã U'!E457,'Yucho Arai'!I:I)+SUMIF(GMO!I:I,'Tổng hợp tiền thu theo mã U'!E457,GMO!H:H)+SUMIF('Arai 7121'!H:H,'Tổng hợp tiền thu theo mã U'!E457,'Arai 7121'!B:B)</f>
        <v>290</v>
      </c>
      <c r="H457" s="70">
        <f t="shared" ref="H457" si="10">G457+F457</f>
        <v>4290</v>
      </c>
    </row>
    <row r="458" spans="4:8">
      <c r="D458">
        <v>455</v>
      </c>
      <c r="E458" t="s">
        <v>4120</v>
      </c>
      <c r="F458" s="110">
        <f>SUMIF('Yucho Arai'!N:N,'Tổng hợp tiền thu theo mã U'!E458,'Yucho Arai'!H:H)+SUMIF(GMO!I:I,'Tổng hợp tiền thu theo mã U'!E458,GMO!G:G)</f>
        <v>4000</v>
      </c>
      <c r="G458" s="110">
        <f>SUMIF('Yucho Arai'!N:N,'Tổng hợp tiền thu theo mã U'!E458,'Yucho Arai'!I:I)+SUMIF(GMO!I:I,'Tổng hợp tiền thu theo mã U'!E458,GMO!H:H)+SUMIF('Arai 7121'!H:H,'Tổng hợp tiền thu theo mã U'!E458,'Arai 7121'!B:B)</f>
        <v>0</v>
      </c>
      <c r="H458" s="70">
        <f t="shared" ref="H458:H460" si="11">G458+F458</f>
        <v>4000</v>
      </c>
    </row>
    <row r="459" spans="4:8">
      <c r="D459">
        <v>456</v>
      </c>
      <c r="E459" t="s">
        <v>4136</v>
      </c>
      <c r="F459" s="110">
        <f>SUMIF('Yucho Arai'!N:N,'Tổng hợp tiền thu theo mã U'!E459,'Yucho Arai'!H:H)+SUMIF(GMO!I:I,'Tổng hợp tiền thu theo mã U'!E459,GMO!G:G)</f>
        <v>4000</v>
      </c>
      <c r="G459" s="110">
        <f>SUMIF('Yucho Arai'!N:N,'Tổng hợp tiền thu theo mã U'!E459,'Yucho Arai'!I:I)+SUMIF(GMO!I:I,'Tổng hợp tiền thu theo mã U'!E459,GMO!H:H)+SUMIF('Arai 7121'!H:H,'Tổng hợp tiền thu theo mã U'!E459,'Arai 7121'!B:B)</f>
        <v>290</v>
      </c>
      <c r="H459" s="70">
        <f t="shared" si="11"/>
        <v>4290</v>
      </c>
    </row>
    <row r="460" spans="4:8">
      <c r="D460">
        <v>457</v>
      </c>
      <c r="E460" t="s">
        <v>4137</v>
      </c>
      <c r="F460" s="110">
        <f>SUMIF('Yucho Arai'!N:N,'Tổng hợp tiền thu theo mã U'!E460,'Yucho Arai'!H:H)+SUMIF(GMO!I:I,'Tổng hợp tiền thu theo mã U'!E460,GMO!G:G)</f>
        <v>4000</v>
      </c>
      <c r="G460" s="110">
        <f>SUMIF('Yucho Arai'!N:N,'Tổng hợp tiền thu theo mã U'!E460,'Yucho Arai'!I:I)+SUMIF(GMO!I:I,'Tổng hợp tiền thu theo mã U'!E460,GMO!H:H)+SUMIF('Arai 7121'!H:H,'Tổng hợp tiền thu theo mã U'!E460,'Arai 7121'!B:B)</f>
        <v>290</v>
      </c>
      <c r="H460" s="70">
        <f t="shared" si="11"/>
        <v>4290</v>
      </c>
    </row>
    <row r="461" spans="4:8">
      <c r="D461">
        <v>458</v>
      </c>
      <c r="E461" t="s">
        <v>4189</v>
      </c>
      <c r="F461" s="110">
        <f>SUMIF('Yucho Arai'!N:N,'Tổng hợp tiền thu theo mã U'!E461,'Yucho Arai'!H:H)+SUMIF(GMO!I:I,'Tổng hợp tiền thu theo mã U'!E461,GMO!G:G)</f>
        <v>4000</v>
      </c>
      <c r="G461" s="110">
        <f>SUMIF('Yucho Arai'!N:N,'Tổng hợp tiền thu theo mã U'!E461,'Yucho Arai'!I:I)+SUMIF(GMO!I:I,'Tổng hợp tiền thu theo mã U'!E461,GMO!H:H)+SUMIF('Arai 7121'!H:H,'Tổng hợp tiền thu theo mã U'!E461,'Arai 7121'!B:B)</f>
        <v>290</v>
      </c>
      <c r="H461" s="70">
        <f t="shared" ref="H461:H465" si="12">G461+F461</f>
        <v>4290</v>
      </c>
    </row>
    <row r="462" spans="4:8">
      <c r="D462">
        <v>459</v>
      </c>
      <c r="E462" t="s">
        <v>4217</v>
      </c>
      <c r="F462" s="110">
        <f>SUMIF('Yucho Arai'!N:N,'Tổng hợp tiền thu theo mã U'!E462,'Yucho Arai'!H:H)+SUMIF(GMO!I:I,'Tổng hợp tiền thu theo mã U'!E462,GMO!G:G)</f>
        <v>3297</v>
      </c>
      <c r="G462" s="110">
        <f>SUMIF('Yucho Arai'!N:N,'Tổng hợp tiền thu theo mã U'!E462,'Yucho Arai'!I:I)+SUMIF(GMO!I:I,'Tổng hợp tiền thu theo mã U'!E462,GMO!H:H)+SUMIF('Arai 7121'!H:H,'Tổng hợp tiền thu theo mã U'!E462,'Arai 7121'!B:B)</f>
        <v>0</v>
      </c>
      <c r="H462" s="70">
        <f t="shared" si="12"/>
        <v>3297</v>
      </c>
    </row>
    <row r="463" spans="4:8">
      <c r="D463">
        <v>460</v>
      </c>
      <c r="E463" t="s">
        <v>4223</v>
      </c>
      <c r="F463" s="110">
        <f>SUMIF('Yucho Arai'!N:N,'Tổng hợp tiền thu theo mã U'!E463,'Yucho Arai'!H:H)+SUMIF(GMO!I:I,'Tổng hợp tiền thu theo mã U'!E463,GMO!G:G)</f>
        <v>4000</v>
      </c>
      <c r="G463" s="110">
        <f>SUMIF('Yucho Arai'!N:N,'Tổng hợp tiền thu theo mã U'!E463,'Yucho Arai'!I:I)+SUMIF(GMO!I:I,'Tổng hợp tiền thu theo mã U'!E463,GMO!H:H)+SUMIF('Arai 7121'!H:H,'Tổng hợp tiền thu theo mã U'!E463,'Arai 7121'!B:B)</f>
        <v>290</v>
      </c>
      <c r="H463" s="70">
        <f t="shared" si="12"/>
        <v>4290</v>
      </c>
    </row>
    <row r="464" spans="4:8">
      <c r="D464">
        <v>461</v>
      </c>
      <c r="E464" t="s">
        <v>4174</v>
      </c>
      <c r="F464" s="110">
        <f>SUMIF('Yucho Arai'!N:N,'Tổng hợp tiền thu theo mã U'!E464,'Yucho Arai'!H:H)+SUMIF(GMO!I:I,'Tổng hợp tiền thu theo mã U'!E464,GMO!G:G)</f>
        <v>4000</v>
      </c>
      <c r="G464" s="110">
        <f>SUMIF('Yucho Arai'!N:N,'Tổng hợp tiền thu theo mã U'!E464,'Yucho Arai'!I:I)+SUMIF(GMO!I:I,'Tổng hợp tiền thu theo mã U'!E464,GMO!H:H)+SUMIF('Arai 7121'!H:H,'Tổng hợp tiền thu theo mã U'!E464,'Arai 7121'!B:B)</f>
        <v>290</v>
      </c>
      <c r="H464" s="70">
        <f t="shared" si="12"/>
        <v>4290</v>
      </c>
    </row>
    <row r="465" spans="4:8">
      <c r="D465">
        <v>462</v>
      </c>
      <c r="E465" t="s">
        <v>4098</v>
      </c>
      <c r="F465" s="110">
        <f>SUMIF('Yucho Arai'!N:N,'Tổng hợp tiền thu theo mã U'!E465,'Yucho Arai'!H:H)+SUMIF(GMO!I:I,'Tổng hợp tiền thu theo mã U'!E465,GMO!G:G)</f>
        <v>0</v>
      </c>
      <c r="G465" s="110">
        <f>SUMIF('Yucho Arai'!N:N,'Tổng hợp tiền thu theo mã U'!E465,'Yucho Arai'!I:I)+SUMIF(GMO!I:I,'Tổng hợp tiền thu theo mã U'!E465,GMO!H:H)+SUMIF('Arai 7121'!H:H,'Tổng hợp tiền thu theo mã U'!E465,'Arai 7121'!B:B)</f>
        <v>5000</v>
      </c>
      <c r="H465" s="70">
        <f t="shared" si="12"/>
        <v>5000</v>
      </c>
    </row>
  </sheetData>
  <conditionalFormatting sqref="E1:E1048576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H8" sqref="H8"/>
    </sheetView>
  </sheetViews>
  <sheetFormatPr defaultRowHeight="14.25"/>
  <cols>
    <col min="2" max="2" width="30" customWidth="1"/>
    <col min="3" max="3" width="31.5" customWidth="1"/>
    <col min="4" max="4" width="9.375" customWidth="1"/>
    <col min="5" max="5" width="14.375" customWidth="1"/>
    <col min="6" max="6" width="11.5" bestFit="1" customWidth="1"/>
    <col min="7" max="7" width="10.5" bestFit="1" customWidth="1"/>
    <col min="8" max="8" width="66.625" bestFit="1" customWidth="1"/>
  </cols>
  <sheetData>
    <row r="1" spans="1:8" ht="30.75" customHeight="1">
      <c r="A1" s="186" t="s">
        <v>3998</v>
      </c>
      <c r="B1" s="187"/>
      <c r="C1" s="187"/>
      <c r="D1" s="187"/>
      <c r="E1" s="187"/>
      <c r="F1" s="187"/>
      <c r="G1" s="187"/>
      <c r="H1" s="71" t="s">
        <v>134</v>
      </c>
    </row>
    <row r="2" spans="1:8" ht="30" customHeight="1">
      <c r="A2" s="103">
        <v>1</v>
      </c>
      <c r="B2" s="69" t="s">
        <v>135</v>
      </c>
      <c r="C2" s="69" t="s">
        <v>136</v>
      </c>
      <c r="D2" s="67"/>
      <c r="E2" s="173">
        <v>5677256</v>
      </c>
      <c r="F2" s="68"/>
      <c r="G2" s="72"/>
      <c r="H2" s="105"/>
    </row>
    <row r="3" spans="1:8" ht="15">
      <c r="A3" s="189">
        <v>2</v>
      </c>
      <c r="B3" s="188" t="s">
        <v>137</v>
      </c>
      <c r="C3" s="188" t="s">
        <v>138</v>
      </c>
      <c r="D3" s="67" t="s">
        <v>19</v>
      </c>
      <c r="E3" s="68">
        <f>'Tổng hợp'!G6</f>
        <v>0</v>
      </c>
      <c r="F3" s="68"/>
      <c r="G3" s="72"/>
      <c r="H3" s="105"/>
    </row>
    <row r="4" spans="1:8" ht="15">
      <c r="A4" s="184"/>
      <c r="B4" s="184"/>
      <c r="C4" s="184"/>
      <c r="D4" s="67" t="s">
        <v>13</v>
      </c>
      <c r="E4" s="68">
        <f>'Tổng hợp'!G7</f>
        <v>0</v>
      </c>
      <c r="F4" s="68"/>
      <c r="G4" s="72"/>
      <c r="H4" s="105"/>
    </row>
    <row r="5" spans="1:8" ht="15">
      <c r="A5" s="185"/>
      <c r="B5" s="185"/>
      <c r="C5" s="185"/>
      <c r="D5" s="67" t="s">
        <v>11</v>
      </c>
      <c r="E5" s="68">
        <f>'Tổng hợp'!G5</f>
        <v>0</v>
      </c>
      <c r="F5" s="68"/>
      <c r="G5" s="72"/>
      <c r="H5" s="105"/>
    </row>
    <row r="6" spans="1:8" ht="15">
      <c r="A6" s="189">
        <v>3</v>
      </c>
      <c r="B6" s="188" t="s">
        <v>139</v>
      </c>
      <c r="C6" s="188" t="s">
        <v>140</v>
      </c>
      <c r="D6" s="67" t="s">
        <v>19</v>
      </c>
      <c r="E6" s="68">
        <f>'Tổng hợp'!B6+'Tổng hợp'!D6+'Tổng hợp'!F6</f>
        <v>754789</v>
      </c>
      <c r="F6" s="68"/>
      <c r="G6" s="72"/>
      <c r="H6" s="105"/>
    </row>
    <row r="7" spans="1:8" ht="15">
      <c r="A7" s="184"/>
      <c r="B7" s="184"/>
      <c r="C7" s="184"/>
      <c r="D7" s="67" t="s">
        <v>13</v>
      </c>
      <c r="E7" s="68"/>
      <c r="F7" s="68"/>
      <c r="G7" s="72"/>
      <c r="H7" s="105"/>
    </row>
    <row r="8" spans="1:8" ht="15">
      <c r="A8" s="185"/>
      <c r="B8" s="185"/>
      <c r="C8" s="185"/>
      <c r="D8" s="67" t="s">
        <v>11</v>
      </c>
      <c r="E8" s="68">
        <f>'Tổng hợp'!B5+'Tổng hợp'!D5+'Tổng hợp'!F5</f>
        <v>48451</v>
      </c>
      <c r="F8" s="68"/>
      <c r="G8" s="72"/>
      <c r="H8" s="105"/>
    </row>
    <row r="9" spans="1:8" ht="30" customHeight="1">
      <c r="A9" s="103">
        <v>4</v>
      </c>
      <c r="B9" s="69" t="s">
        <v>141</v>
      </c>
      <c r="C9" s="69" t="s">
        <v>142</v>
      </c>
      <c r="D9" s="67"/>
      <c r="E9" s="68"/>
      <c r="F9" s="68"/>
      <c r="G9" s="72"/>
      <c r="H9" s="105"/>
    </row>
    <row r="10" spans="1:8" ht="60" customHeight="1">
      <c r="A10" s="103">
        <v>5</v>
      </c>
      <c r="B10" s="69" t="s">
        <v>143</v>
      </c>
      <c r="C10" s="69" t="s">
        <v>144</v>
      </c>
      <c r="D10" s="67"/>
      <c r="E10" s="68"/>
      <c r="F10" s="68"/>
      <c r="G10" s="72"/>
      <c r="H10" s="105"/>
    </row>
    <row r="11" spans="1:8" ht="30" customHeight="1">
      <c r="A11" s="103">
        <v>6</v>
      </c>
      <c r="B11" s="69" t="s">
        <v>145</v>
      </c>
      <c r="C11" s="69" t="s">
        <v>146</v>
      </c>
      <c r="D11" s="67"/>
      <c r="E11" s="68">
        <f>E2+E6-E9-E10+E8</f>
        <v>6480496</v>
      </c>
      <c r="F11" s="68"/>
      <c r="G11" s="72"/>
      <c r="H11" s="105"/>
    </row>
    <row r="12" spans="1:8" ht="24.75" customHeight="1">
      <c r="A12" s="183">
        <v>7</v>
      </c>
      <c r="B12" s="188" t="s">
        <v>147</v>
      </c>
      <c r="C12" s="188" t="s">
        <v>148</v>
      </c>
      <c r="D12" s="67" t="s">
        <v>19</v>
      </c>
      <c r="E12" s="68">
        <f>'Tổng hợp'!I6+'Tổng hợp'!H6+'Tổng hợp'!E6+'Tổng hợp'!C6</f>
        <v>15761</v>
      </c>
      <c r="F12" s="68"/>
      <c r="G12" s="72"/>
      <c r="H12" s="105" t="s">
        <v>3997</v>
      </c>
    </row>
    <row r="13" spans="1:8" ht="24.75" customHeight="1">
      <c r="A13" s="184"/>
      <c r="B13" s="184"/>
      <c r="C13" s="184"/>
      <c r="D13" s="67" t="s">
        <v>13</v>
      </c>
      <c r="E13" s="68">
        <f>'Tổng hợp'!H7</f>
        <v>0</v>
      </c>
      <c r="F13" s="67"/>
      <c r="G13" s="73"/>
      <c r="H13" s="105" t="s">
        <v>149</v>
      </c>
    </row>
    <row r="14" spans="1:8" ht="24.75" customHeight="1">
      <c r="A14" s="185"/>
      <c r="B14" s="185"/>
      <c r="C14" s="185"/>
      <c r="D14" s="67" t="s">
        <v>11</v>
      </c>
      <c r="E14" s="68">
        <f>'Tổng hợp'!I5+'Tổng hợp'!H5+'Tổng hợp'!E5+'Tổng hợp'!C5</f>
        <v>540352</v>
      </c>
      <c r="F14" s="67"/>
      <c r="G14" s="73"/>
      <c r="H14" s="105" t="s">
        <v>150</v>
      </c>
    </row>
    <row r="18" spans="5:7">
      <c r="E18" s="70"/>
      <c r="F18" s="70"/>
      <c r="G18" s="70"/>
    </row>
  </sheetData>
  <mergeCells count="10">
    <mergeCell ref="A12:A14"/>
    <mergeCell ref="A1:G1"/>
    <mergeCell ref="C12:C14"/>
    <mergeCell ref="B12:B14"/>
    <mergeCell ref="C3:C5"/>
    <mergeCell ref="A3:A5"/>
    <mergeCell ref="B3:B5"/>
    <mergeCell ref="C6:C8"/>
    <mergeCell ref="A6:A8"/>
    <mergeCell ref="B6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39997558519241921"/>
  </sheetPr>
  <dimension ref="A1:U751"/>
  <sheetViews>
    <sheetView zoomScale="85" zoomScaleNormal="85" workbookViewId="0">
      <pane xSplit="1" ySplit="2" topLeftCell="B696" activePane="bottomRight" state="frozen"/>
      <selection pane="topRight" activeCell="B1" sqref="B1"/>
      <selection pane="bottomLeft" activeCell="A3" sqref="A3"/>
      <selection pane="bottomRight" activeCell="N3" sqref="N3:N751"/>
    </sheetView>
  </sheetViews>
  <sheetFormatPr defaultRowHeight="15"/>
  <cols>
    <col min="1" max="1" width="16.5" customWidth="1"/>
    <col min="2" max="2" width="13.125" customWidth="1"/>
    <col min="3" max="3" width="13.875" customWidth="1"/>
    <col min="4" max="4" width="24.375" customWidth="1"/>
    <col min="5" max="5" width="15" customWidth="1"/>
    <col min="6" max="6" width="14.875" customWidth="1"/>
    <col min="7" max="7" width="14.375" style="2" customWidth="1"/>
    <col min="8" max="9" width="12.375" style="2" customWidth="1"/>
    <col min="10" max="10" width="17" style="2" customWidth="1"/>
    <col min="11" max="11" width="11.875" style="2" customWidth="1"/>
    <col min="12" max="12" width="13.625" customWidth="1"/>
    <col min="13" max="13" width="15" customWidth="1"/>
    <col min="14" max="14" width="19.875" style="92" customWidth="1"/>
    <col min="15" max="15" width="16.375" customWidth="1"/>
    <col min="16" max="16" width="22.5" style="65" customWidth="1"/>
    <col min="17" max="17" width="16.375" style="2" customWidth="1"/>
    <col min="18" max="18" width="16.375" customWidth="1"/>
    <col min="19" max="19" width="7.625" customWidth="1"/>
    <col min="20" max="20" width="23.5" customWidth="1"/>
    <col min="21" max="21" width="16.375" customWidth="1"/>
  </cols>
  <sheetData>
    <row r="1" spans="1:21" s="34" customFormat="1" ht="33.75" customHeight="1">
      <c r="A1" s="79" t="s">
        <v>151</v>
      </c>
      <c r="B1" s="79" t="s">
        <v>152</v>
      </c>
      <c r="C1" s="79" t="s">
        <v>153</v>
      </c>
      <c r="D1" s="79" t="s">
        <v>154</v>
      </c>
      <c r="E1" s="79"/>
      <c r="F1" s="79" t="s">
        <v>155</v>
      </c>
      <c r="G1" s="80" t="s">
        <v>156</v>
      </c>
      <c r="H1" s="80" t="s">
        <v>157</v>
      </c>
      <c r="I1" s="80" t="s">
        <v>158</v>
      </c>
      <c r="J1" s="80" t="s">
        <v>159</v>
      </c>
      <c r="K1" s="80" t="s">
        <v>160</v>
      </c>
      <c r="L1" s="81"/>
      <c r="M1" s="81"/>
      <c r="N1" s="108" t="s">
        <v>161</v>
      </c>
      <c r="P1" s="82"/>
      <c r="Q1" s="83"/>
    </row>
    <row r="2" spans="1:21" s="9" customFormat="1" ht="42.75" customHeight="1" thickBot="1">
      <c r="A2" s="74"/>
      <c r="B2" s="75"/>
      <c r="C2" s="75"/>
      <c r="D2" s="75"/>
      <c r="E2" s="75"/>
      <c r="F2" s="75"/>
      <c r="G2" s="76">
        <f>SUBTOTAL(9,G3:G10000)</f>
        <v>770550</v>
      </c>
      <c r="H2" s="76">
        <f t="shared" ref="H2:K2" si="0">SUBTOTAL(9,H3:H10000)</f>
        <v>754789</v>
      </c>
      <c r="I2" s="76">
        <f t="shared" si="0"/>
        <v>15761</v>
      </c>
      <c r="J2" s="76">
        <f t="shared" si="0"/>
        <v>0</v>
      </c>
      <c r="K2" s="76">
        <f t="shared" si="0"/>
        <v>0</v>
      </c>
      <c r="L2" s="76"/>
      <c r="M2" s="75"/>
      <c r="N2" s="109"/>
      <c r="P2" s="29"/>
      <c r="Q2" s="33"/>
    </row>
    <row r="3" spans="1:21" ht="16.5" customHeight="1" thickBot="1">
      <c r="A3" s="92" t="s">
        <v>176</v>
      </c>
      <c r="B3" s="93">
        <v>46235</v>
      </c>
      <c r="C3" s="92" t="s">
        <v>177</v>
      </c>
      <c r="D3" s="92" t="s">
        <v>178</v>
      </c>
      <c r="E3" s="92"/>
      <c r="F3" s="92" t="s">
        <v>179</v>
      </c>
      <c r="G3" s="88">
        <v>6850</v>
      </c>
      <c r="H3" s="88">
        <v>6850</v>
      </c>
      <c r="I3" s="88">
        <v>0</v>
      </c>
      <c r="J3" s="88">
        <v>0</v>
      </c>
      <c r="K3" s="88"/>
      <c r="L3" s="92"/>
      <c r="M3" s="92" t="s">
        <v>175</v>
      </c>
      <c r="N3" t="s">
        <v>4070</v>
      </c>
      <c r="O3" s="133">
        <v>20260801</v>
      </c>
      <c r="P3" s="136">
        <v>202608010000001</v>
      </c>
      <c r="Q3" s="134">
        <v>6850</v>
      </c>
      <c r="R3" s="135"/>
      <c r="S3" s="134" t="s">
        <v>167</v>
      </c>
      <c r="T3" s="134" t="s">
        <v>264</v>
      </c>
      <c r="U3" s="134">
        <v>241.64699999999999</v>
      </c>
    </row>
    <row r="4" spans="1:21" ht="16.5" hidden="1" customHeight="1" thickBot="1">
      <c r="A4" s="92" t="s">
        <v>162</v>
      </c>
      <c r="B4" s="93">
        <v>46235</v>
      </c>
      <c r="C4" s="92" t="s">
        <v>355</v>
      </c>
      <c r="D4" s="92" t="s">
        <v>356</v>
      </c>
      <c r="E4" s="92"/>
      <c r="F4" s="92" t="s">
        <v>165</v>
      </c>
      <c r="G4" s="88">
        <v>7700</v>
      </c>
      <c r="H4" s="88"/>
      <c r="I4" s="88">
        <v>7700</v>
      </c>
      <c r="J4" s="88">
        <v>0</v>
      </c>
      <c r="K4" s="88"/>
      <c r="L4" s="92"/>
      <c r="M4" s="92" t="s">
        <v>166</v>
      </c>
      <c r="N4"/>
      <c r="O4" s="26">
        <v>20260801</v>
      </c>
      <c r="P4" s="32">
        <v>202608010000002</v>
      </c>
      <c r="Q4" s="27">
        <v>7700</v>
      </c>
      <c r="R4" s="28"/>
      <c r="S4" s="27" t="s">
        <v>167</v>
      </c>
      <c r="T4" s="27" t="s">
        <v>2161</v>
      </c>
      <c r="U4" s="27">
        <v>249.34700000000001</v>
      </c>
    </row>
    <row r="5" spans="1:21" ht="16.5" customHeight="1" thickBot="1">
      <c r="A5" s="92" t="s">
        <v>176</v>
      </c>
      <c r="B5" s="93">
        <v>46235</v>
      </c>
      <c r="C5" s="92" t="s">
        <v>214</v>
      </c>
      <c r="D5" s="92" t="s">
        <v>215</v>
      </c>
      <c r="E5" s="92"/>
      <c r="F5" s="92" t="s">
        <v>179</v>
      </c>
      <c r="G5" s="88">
        <v>6850</v>
      </c>
      <c r="H5" s="88">
        <v>6850</v>
      </c>
      <c r="I5" s="88">
        <v>0</v>
      </c>
      <c r="J5" s="88">
        <v>0</v>
      </c>
      <c r="K5" s="88"/>
      <c r="L5" s="92"/>
      <c r="M5" s="92" t="s">
        <v>175</v>
      </c>
      <c r="N5" t="s">
        <v>4214</v>
      </c>
      <c r="O5" s="20">
        <v>20260801</v>
      </c>
      <c r="P5" s="30">
        <v>202608010000003</v>
      </c>
      <c r="Q5" s="21">
        <v>6850</v>
      </c>
      <c r="R5" s="22"/>
      <c r="S5" s="21" t="s">
        <v>167</v>
      </c>
      <c r="T5" s="21" t="s">
        <v>558</v>
      </c>
      <c r="U5" s="21">
        <v>256.197</v>
      </c>
    </row>
    <row r="6" spans="1:21" ht="16.5" hidden="1" customHeight="1" thickBot="1">
      <c r="A6" s="92" t="s">
        <v>162</v>
      </c>
      <c r="B6" s="93">
        <v>46235</v>
      </c>
      <c r="C6" s="92" t="s">
        <v>191</v>
      </c>
      <c r="D6" s="92" t="s">
        <v>192</v>
      </c>
      <c r="E6" s="92"/>
      <c r="F6" s="92" t="s">
        <v>165</v>
      </c>
      <c r="G6" s="88">
        <v>2475</v>
      </c>
      <c r="H6" s="88"/>
      <c r="I6" s="88">
        <v>2475</v>
      </c>
      <c r="J6" s="88">
        <v>0</v>
      </c>
      <c r="K6" s="88"/>
      <c r="L6" s="92"/>
      <c r="M6" s="92" t="s">
        <v>166</v>
      </c>
      <c r="N6"/>
      <c r="O6" s="26">
        <v>20260801</v>
      </c>
      <c r="P6" s="32">
        <v>202608010000004</v>
      </c>
      <c r="Q6" s="27">
        <v>2475</v>
      </c>
      <c r="R6" s="28"/>
      <c r="S6" s="27" t="s">
        <v>167</v>
      </c>
      <c r="T6" s="27" t="s">
        <v>193</v>
      </c>
      <c r="U6" s="27">
        <v>258.67200000000003</v>
      </c>
    </row>
    <row r="7" spans="1:21" ht="16.5" hidden="1" customHeight="1" thickBot="1">
      <c r="A7" s="92" t="s">
        <v>162</v>
      </c>
      <c r="B7" s="93">
        <v>46235</v>
      </c>
      <c r="C7" s="92" t="s">
        <v>163</v>
      </c>
      <c r="D7" s="92" t="s">
        <v>164</v>
      </c>
      <c r="E7" s="92"/>
      <c r="F7" s="92" t="s">
        <v>165</v>
      </c>
      <c r="G7" s="88">
        <v>3850</v>
      </c>
      <c r="H7" s="88"/>
      <c r="I7" s="88">
        <v>3850</v>
      </c>
      <c r="J7" s="88">
        <v>0</v>
      </c>
      <c r="K7" s="88"/>
      <c r="L7" s="92"/>
      <c r="M7" s="92" t="s">
        <v>166</v>
      </c>
      <c r="N7"/>
      <c r="O7" s="23">
        <v>20260801</v>
      </c>
      <c r="P7" s="31">
        <v>202608010000005</v>
      </c>
      <c r="Q7" s="24">
        <v>3850</v>
      </c>
      <c r="R7" s="25"/>
      <c r="S7" s="24" t="s">
        <v>167</v>
      </c>
      <c r="T7" s="24" t="s">
        <v>168</v>
      </c>
      <c r="U7" s="24">
        <v>262.52199999999999</v>
      </c>
    </row>
    <row r="8" spans="1:21" ht="16.5" customHeight="1" thickBot="1">
      <c r="A8" s="92" t="s">
        <v>172</v>
      </c>
      <c r="B8" s="93">
        <v>46235</v>
      </c>
      <c r="C8" s="92" t="s">
        <v>2817</v>
      </c>
      <c r="D8" s="92" t="s">
        <v>2818</v>
      </c>
      <c r="E8" s="92"/>
      <c r="F8" s="92" t="s">
        <v>179</v>
      </c>
      <c r="G8" s="88">
        <v>493</v>
      </c>
      <c r="H8" s="88">
        <v>493</v>
      </c>
      <c r="I8" s="88">
        <v>0</v>
      </c>
      <c r="J8" s="88">
        <v>0</v>
      </c>
      <c r="K8" s="88"/>
      <c r="L8" s="92"/>
      <c r="M8" s="92" t="s">
        <v>175</v>
      </c>
      <c r="N8" t="s">
        <v>4149</v>
      </c>
      <c r="O8" s="26">
        <v>20260801</v>
      </c>
      <c r="P8" s="32">
        <v>202608010000006</v>
      </c>
      <c r="Q8" s="27">
        <v>493</v>
      </c>
      <c r="R8" s="28"/>
      <c r="S8" s="27" t="s">
        <v>167</v>
      </c>
      <c r="T8" s="27" t="s">
        <v>2147</v>
      </c>
      <c r="U8" s="27">
        <v>263.01499999999999</v>
      </c>
    </row>
    <row r="9" spans="1:21" ht="16.5" hidden="1" customHeight="1" thickBot="1">
      <c r="A9" s="92" t="s">
        <v>172</v>
      </c>
      <c r="B9" s="93">
        <v>46235</v>
      </c>
      <c r="C9" s="92" t="s">
        <v>222</v>
      </c>
      <c r="D9" s="92" t="s">
        <v>223</v>
      </c>
      <c r="E9" s="92"/>
      <c r="F9" s="92" t="s">
        <v>165</v>
      </c>
      <c r="G9" s="88">
        <v>500</v>
      </c>
      <c r="H9" s="88">
        <v>500</v>
      </c>
      <c r="I9" s="88">
        <v>0</v>
      </c>
      <c r="J9" s="88">
        <v>0</v>
      </c>
      <c r="K9" s="88"/>
      <c r="L9" s="92"/>
      <c r="M9" s="92" t="s">
        <v>175</v>
      </c>
      <c r="N9"/>
      <c r="O9" s="23">
        <v>20260801</v>
      </c>
      <c r="P9" s="31">
        <v>202608010000007</v>
      </c>
      <c r="Q9" s="24">
        <v>500</v>
      </c>
      <c r="R9" s="25"/>
      <c r="S9" s="24" t="s">
        <v>167</v>
      </c>
      <c r="T9" s="24" t="s">
        <v>2162</v>
      </c>
      <c r="U9" s="24">
        <v>263.51499999999999</v>
      </c>
    </row>
    <row r="10" spans="1:21" ht="16.5" customHeight="1" thickBot="1">
      <c r="A10" s="92" t="s">
        <v>180</v>
      </c>
      <c r="B10" s="93">
        <v>46236</v>
      </c>
      <c r="C10" s="92" t="s">
        <v>2819</v>
      </c>
      <c r="D10" s="92" t="s">
        <v>2820</v>
      </c>
      <c r="E10" s="92"/>
      <c r="F10" s="92" t="s">
        <v>179</v>
      </c>
      <c r="G10" s="88">
        <v>500</v>
      </c>
      <c r="H10" s="88">
        <v>500</v>
      </c>
      <c r="I10" s="88">
        <v>0</v>
      </c>
      <c r="J10" s="88">
        <v>0</v>
      </c>
      <c r="K10" s="88"/>
      <c r="L10" s="92"/>
      <c r="M10" s="92" t="s">
        <v>175</v>
      </c>
      <c r="N10" t="s">
        <v>4103</v>
      </c>
      <c r="O10" s="26">
        <v>20260802</v>
      </c>
      <c r="P10" s="32">
        <v>202608020000001</v>
      </c>
      <c r="Q10" s="27">
        <v>500</v>
      </c>
      <c r="R10" s="28"/>
      <c r="S10" s="27" t="s">
        <v>167</v>
      </c>
      <c r="T10" s="27" t="s">
        <v>2163</v>
      </c>
      <c r="U10" s="27">
        <v>264.01499999999999</v>
      </c>
    </row>
    <row r="11" spans="1:21" ht="16.5" hidden="1" customHeight="1" thickBot="1">
      <c r="A11" s="92" t="s">
        <v>162</v>
      </c>
      <c r="B11" s="93">
        <v>46236</v>
      </c>
      <c r="C11" s="92" t="s">
        <v>224</v>
      </c>
      <c r="D11" s="92" t="s">
        <v>225</v>
      </c>
      <c r="E11" s="92"/>
      <c r="F11" s="92" t="s">
        <v>165</v>
      </c>
      <c r="G11" s="88">
        <v>3850</v>
      </c>
      <c r="H11" s="88"/>
      <c r="I11" s="88">
        <v>3850</v>
      </c>
      <c r="J11" s="88">
        <v>0</v>
      </c>
      <c r="K11" s="88"/>
      <c r="L11" s="92"/>
      <c r="M11" s="92" t="s">
        <v>166</v>
      </c>
      <c r="N11"/>
      <c r="O11" s="23">
        <v>20260802</v>
      </c>
      <c r="P11" s="31">
        <v>202608020000002</v>
      </c>
      <c r="Q11" s="24">
        <v>3850</v>
      </c>
      <c r="R11" s="25"/>
      <c r="S11" s="24" t="s">
        <v>167</v>
      </c>
      <c r="T11" s="24" t="s">
        <v>226</v>
      </c>
      <c r="U11" s="24">
        <v>267.86500000000001</v>
      </c>
    </row>
    <row r="12" spans="1:21" ht="16.5" hidden="1" customHeight="1" thickBot="1">
      <c r="A12" s="92" t="s">
        <v>162</v>
      </c>
      <c r="B12" s="93">
        <v>46236</v>
      </c>
      <c r="C12" s="92" t="s">
        <v>1201</v>
      </c>
      <c r="D12" s="92" t="s">
        <v>1202</v>
      </c>
      <c r="E12" s="92"/>
      <c r="F12" s="92" t="s">
        <v>165</v>
      </c>
      <c r="G12" s="88">
        <v>46200</v>
      </c>
      <c r="H12" s="88"/>
      <c r="I12" s="88">
        <v>46200</v>
      </c>
      <c r="J12" s="88">
        <v>0</v>
      </c>
      <c r="K12" s="88"/>
      <c r="L12" s="92"/>
      <c r="M12" s="92" t="s">
        <v>166</v>
      </c>
      <c r="N12"/>
      <c r="O12" s="26">
        <v>20260802</v>
      </c>
      <c r="P12" s="32">
        <v>202608020000003</v>
      </c>
      <c r="Q12" s="27">
        <v>46200</v>
      </c>
      <c r="R12" s="28"/>
      <c r="S12" s="27" t="s">
        <v>167</v>
      </c>
      <c r="T12" s="27" t="s">
        <v>2164</v>
      </c>
      <c r="U12" s="27">
        <v>314.065</v>
      </c>
    </row>
    <row r="13" spans="1:21" ht="16.5" hidden="1" customHeight="1" thickBot="1">
      <c r="A13" s="92" t="s">
        <v>172</v>
      </c>
      <c r="B13" s="93">
        <v>46237</v>
      </c>
      <c r="C13" s="92" t="s">
        <v>897</v>
      </c>
      <c r="D13" s="92" t="s">
        <v>898</v>
      </c>
      <c r="E13" s="92"/>
      <c r="F13" s="92" t="s">
        <v>165</v>
      </c>
      <c r="G13" s="88">
        <v>6647</v>
      </c>
      <c r="H13" s="88">
        <v>3000</v>
      </c>
      <c r="I13" s="88">
        <v>3647</v>
      </c>
      <c r="J13" s="88">
        <v>0</v>
      </c>
      <c r="K13" s="88"/>
      <c r="L13" s="92"/>
      <c r="M13" s="92" t="s">
        <v>175</v>
      </c>
      <c r="O13" s="23">
        <v>20260803</v>
      </c>
      <c r="P13" s="31">
        <v>202608030000001</v>
      </c>
      <c r="Q13" s="24">
        <v>6647</v>
      </c>
      <c r="R13" s="25"/>
      <c r="S13" s="24" t="s">
        <v>167</v>
      </c>
      <c r="T13" s="24" t="s">
        <v>2165</v>
      </c>
      <c r="U13" s="24">
        <v>320.71199999999999</v>
      </c>
    </row>
    <row r="14" spans="1:21" ht="16.5" customHeight="1" thickBot="1">
      <c r="A14" s="92" t="s">
        <v>172</v>
      </c>
      <c r="B14" s="93">
        <v>46237</v>
      </c>
      <c r="C14" s="92" t="s">
        <v>2821</v>
      </c>
      <c r="D14" s="92" t="s">
        <v>2822</v>
      </c>
      <c r="E14" s="92"/>
      <c r="F14" s="92" t="s">
        <v>179</v>
      </c>
      <c r="G14" s="88">
        <v>4290</v>
      </c>
      <c r="H14" s="88">
        <v>4000</v>
      </c>
      <c r="I14" s="88">
        <v>290</v>
      </c>
      <c r="J14" s="88">
        <v>0</v>
      </c>
      <c r="K14" s="88"/>
      <c r="L14" s="92"/>
      <c r="M14" s="92" t="s">
        <v>175</v>
      </c>
      <c r="N14" t="s">
        <v>4189</v>
      </c>
      <c r="O14" s="26">
        <v>20260803</v>
      </c>
      <c r="P14" s="32">
        <v>202608030000002</v>
      </c>
      <c r="Q14" s="27">
        <v>4290</v>
      </c>
      <c r="R14" s="28"/>
      <c r="S14" s="27" t="s">
        <v>167</v>
      </c>
      <c r="T14" s="27" t="s">
        <v>2166</v>
      </c>
      <c r="U14" s="27">
        <v>325.00200000000001</v>
      </c>
    </row>
    <row r="15" spans="1:21" ht="16.5" customHeight="1" thickBot="1">
      <c r="A15" s="92" t="s">
        <v>180</v>
      </c>
      <c r="B15" s="93">
        <v>46237</v>
      </c>
      <c r="C15" s="92" t="s">
        <v>2048</v>
      </c>
      <c r="D15" s="92" t="s">
        <v>2049</v>
      </c>
      <c r="E15" s="92"/>
      <c r="F15" s="92" t="s">
        <v>179</v>
      </c>
      <c r="G15" s="88">
        <v>3297</v>
      </c>
      <c r="H15" s="88">
        <v>3000</v>
      </c>
      <c r="I15" s="88">
        <v>297</v>
      </c>
      <c r="J15" s="88">
        <v>0</v>
      </c>
      <c r="K15" s="88"/>
      <c r="L15" s="92"/>
      <c r="M15" s="92" t="s">
        <v>175</v>
      </c>
      <c r="N15" t="s">
        <v>4140</v>
      </c>
      <c r="O15" s="23">
        <v>20260803</v>
      </c>
      <c r="P15" s="31">
        <v>202608030000003</v>
      </c>
      <c r="Q15" s="24">
        <v>3297</v>
      </c>
      <c r="R15" s="25"/>
      <c r="S15" s="24" t="s">
        <v>167</v>
      </c>
      <c r="T15" s="24" t="s">
        <v>2167</v>
      </c>
      <c r="U15" s="24">
        <v>328.29899999999998</v>
      </c>
    </row>
    <row r="16" spans="1:21" ht="16.5" customHeight="1" thickBot="1">
      <c r="A16" s="92" t="s">
        <v>172</v>
      </c>
      <c r="B16" s="93">
        <v>46237</v>
      </c>
      <c r="C16" s="92" t="s">
        <v>2823</v>
      </c>
      <c r="D16" s="92" t="s">
        <v>2824</v>
      </c>
      <c r="E16" s="92"/>
      <c r="F16" s="92" t="s">
        <v>179</v>
      </c>
      <c r="G16" s="88">
        <v>4290</v>
      </c>
      <c r="H16" s="88">
        <v>4000</v>
      </c>
      <c r="I16" s="88">
        <v>290</v>
      </c>
      <c r="J16" s="88">
        <v>0</v>
      </c>
      <c r="K16" s="88"/>
      <c r="L16" s="92"/>
      <c r="M16" s="92" t="s">
        <v>175</v>
      </c>
      <c r="N16" t="s">
        <v>4133</v>
      </c>
      <c r="O16" s="26">
        <v>20260803</v>
      </c>
      <c r="P16" s="32">
        <v>202608030000004</v>
      </c>
      <c r="Q16" s="27">
        <v>4290</v>
      </c>
      <c r="R16" s="28"/>
      <c r="S16" s="27" t="s">
        <v>167</v>
      </c>
      <c r="T16" s="27" t="s">
        <v>2168</v>
      </c>
      <c r="U16" s="27">
        <v>332.589</v>
      </c>
    </row>
    <row r="17" spans="1:21" ht="16.5" hidden="1" customHeight="1" thickBot="1">
      <c r="A17" s="92" t="s">
        <v>172</v>
      </c>
      <c r="B17" s="93">
        <v>46237</v>
      </c>
      <c r="C17" s="92" t="s">
        <v>2825</v>
      </c>
      <c r="D17" s="92" t="s">
        <v>2826</v>
      </c>
      <c r="E17" s="92"/>
      <c r="F17" s="92" t="s">
        <v>165</v>
      </c>
      <c r="G17" s="88">
        <v>7140</v>
      </c>
      <c r="H17" s="88">
        <v>3000</v>
      </c>
      <c r="I17" s="88">
        <v>4140</v>
      </c>
      <c r="J17" s="88">
        <v>0</v>
      </c>
      <c r="K17" s="88"/>
      <c r="L17" s="92"/>
      <c r="M17" s="92" t="s">
        <v>175</v>
      </c>
      <c r="O17" s="23">
        <v>20260803</v>
      </c>
      <c r="P17" s="31">
        <v>202608030000005</v>
      </c>
      <c r="Q17" s="24">
        <v>7140</v>
      </c>
      <c r="R17" s="25"/>
      <c r="S17" s="24" t="s">
        <v>167</v>
      </c>
      <c r="T17" s="24" t="s">
        <v>2169</v>
      </c>
      <c r="U17" s="24">
        <v>339.72899999999998</v>
      </c>
    </row>
    <row r="18" spans="1:21" ht="16.5" hidden="1" customHeight="1" thickBot="1">
      <c r="A18" s="92" t="s">
        <v>172</v>
      </c>
      <c r="B18" s="93">
        <v>46237</v>
      </c>
      <c r="C18" s="92" t="s">
        <v>2827</v>
      </c>
      <c r="D18" s="92" t="s">
        <v>2828</v>
      </c>
      <c r="E18" s="92"/>
      <c r="F18" s="92" t="s">
        <v>165</v>
      </c>
      <c r="G18" s="88">
        <v>8290</v>
      </c>
      <c r="H18" s="88">
        <v>4000</v>
      </c>
      <c r="I18" s="88">
        <v>4290</v>
      </c>
      <c r="J18" s="88">
        <v>0</v>
      </c>
      <c r="K18" s="88"/>
      <c r="L18" s="92"/>
      <c r="M18" s="92" t="s">
        <v>175</v>
      </c>
      <c r="O18" s="26">
        <v>20260803</v>
      </c>
      <c r="P18" s="32">
        <v>202608030000006</v>
      </c>
      <c r="Q18" s="27">
        <v>8290</v>
      </c>
      <c r="R18" s="28"/>
      <c r="S18" s="27" t="s">
        <v>167</v>
      </c>
      <c r="T18" s="27" t="s">
        <v>2170</v>
      </c>
      <c r="U18" s="27">
        <v>348.01900000000001</v>
      </c>
    </row>
    <row r="19" spans="1:21" ht="16.5" hidden="1" customHeight="1" thickBot="1">
      <c r="A19" s="92" t="s">
        <v>180</v>
      </c>
      <c r="B19" s="93">
        <v>46237</v>
      </c>
      <c r="C19" s="92" t="s">
        <v>2059</v>
      </c>
      <c r="D19" s="92" t="s">
        <v>2060</v>
      </c>
      <c r="E19" s="92"/>
      <c r="F19" s="92" t="s">
        <v>165</v>
      </c>
      <c r="G19" s="88">
        <v>6597</v>
      </c>
      <c r="H19" s="88">
        <v>4000</v>
      </c>
      <c r="I19" s="88">
        <v>2597</v>
      </c>
      <c r="J19" s="88">
        <v>0</v>
      </c>
      <c r="K19" s="88"/>
      <c r="L19" s="92"/>
      <c r="M19" s="92" t="s">
        <v>175</v>
      </c>
      <c r="O19" s="23">
        <v>20260803</v>
      </c>
      <c r="P19" s="31">
        <v>202608030000007</v>
      </c>
      <c r="Q19" s="24">
        <v>6597</v>
      </c>
      <c r="R19" s="25"/>
      <c r="S19" s="24" t="s">
        <v>167</v>
      </c>
      <c r="T19" s="24" t="s">
        <v>2171</v>
      </c>
      <c r="U19" s="24">
        <v>354.61599999999999</v>
      </c>
    </row>
    <row r="20" spans="1:21" ht="16.5" hidden="1" customHeight="1" thickBot="1">
      <c r="A20" s="92" t="s">
        <v>172</v>
      </c>
      <c r="B20" s="93">
        <v>46237</v>
      </c>
      <c r="C20" s="92" t="s">
        <v>2829</v>
      </c>
      <c r="D20" s="92" t="s">
        <v>2830</v>
      </c>
      <c r="E20" s="92"/>
      <c r="F20" s="92" t="s">
        <v>165</v>
      </c>
      <c r="G20" s="88">
        <v>7092</v>
      </c>
      <c r="H20" s="88">
        <v>4000</v>
      </c>
      <c r="I20" s="88">
        <v>3092</v>
      </c>
      <c r="J20" s="88">
        <v>0</v>
      </c>
      <c r="K20" s="88"/>
      <c r="L20" s="92"/>
      <c r="M20" s="92" t="s">
        <v>175</v>
      </c>
      <c r="N20"/>
      <c r="O20" s="26">
        <v>20260803</v>
      </c>
      <c r="P20" s="32">
        <v>202608030000008</v>
      </c>
      <c r="Q20" s="27">
        <v>7092</v>
      </c>
      <c r="R20" s="28"/>
      <c r="S20" s="27" t="s">
        <v>167</v>
      </c>
      <c r="T20" s="27" t="s">
        <v>2172</v>
      </c>
      <c r="U20" s="27">
        <v>361.70800000000003</v>
      </c>
    </row>
    <row r="21" spans="1:21" ht="16.5" customHeight="1" thickBot="1">
      <c r="A21" s="92" t="s">
        <v>180</v>
      </c>
      <c r="B21" s="93">
        <v>46237</v>
      </c>
      <c r="C21" s="92" t="s">
        <v>2052</v>
      </c>
      <c r="D21" s="92" t="s">
        <v>2053</v>
      </c>
      <c r="E21" s="92"/>
      <c r="F21" s="92" t="s">
        <v>179</v>
      </c>
      <c r="G21" s="88">
        <v>2797</v>
      </c>
      <c r="H21" s="88">
        <v>2797</v>
      </c>
      <c r="I21" s="88">
        <v>0</v>
      </c>
      <c r="J21" s="88">
        <v>0</v>
      </c>
      <c r="K21" s="88"/>
      <c r="L21" s="92"/>
      <c r="M21" s="92" t="s">
        <v>175</v>
      </c>
      <c r="N21" t="s">
        <v>2054</v>
      </c>
      <c r="O21" s="23">
        <v>20260803</v>
      </c>
      <c r="P21" s="31">
        <v>202608030000009</v>
      </c>
      <c r="Q21" s="24">
        <v>2797</v>
      </c>
      <c r="R21" s="25"/>
      <c r="S21" s="24" t="s">
        <v>167</v>
      </c>
      <c r="T21" s="24" t="s">
        <v>2173</v>
      </c>
      <c r="U21" s="24">
        <v>364.505</v>
      </c>
    </row>
    <row r="22" spans="1:21" ht="16.5" hidden="1" customHeight="1" thickBot="1">
      <c r="A22" s="92" t="s">
        <v>172</v>
      </c>
      <c r="B22" s="93">
        <v>46237</v>
      </c>
      <c r="C22" s="92" t="s">
        <v>2831</v>
      </c>
      <c r="D22" s="92" t="s">
        <v>2832</v>
      </c>
      <c r="E22" s="92"/>
      <c r="F22" s="92" t="s">
        <v>165</v>
      </c>
      <c r="G22" s="88">
        <v>7140</v>
      </c>
      <c r="H22" s="88">
        <v>3000</v>
      </c>
      <c r="I22" s="88">
        <v>4140</v>
      </c>
      <c r="J22" s="88">
        <v>0</v>
      </c>
      <c r="K22" s="88"/>
      <c r="L22" s="92"/>
      <c r="M22" s="92" t="s">
        <v>175</v>
      </c>
      <c r="N22"/>
      <c r="O22" s="26">
        <v>20260803</v>
      </c>
      <c r="P22" s="32">
        <v>202608030000010</v>
      </c>
      <c r="Q22" s="27">
        <v>7140</v>
      </c>
      <c r="R22" s="28"/>
      <c r="S22" s="27" t="s">
        <v>167</v>
      </c>
      <c r="T22" s="27" t="s">
        <v>2174</v>
      </c>
      <c r="U22" s="27">
        <v>371.64499999999998</v>
      </c>
    </row>
    <row r="23" spans="1:21" ht="16.5" customHeight="1" thickBot="1">
      <c r="A23" s="92" t="s">
        <v>180</v>
      </c>
      <c r="B23" s="93">
        <v>46237</v>
      </c>
      <c r="C23" s="92" t="s">
        <v>2833</v>
      </c>
      <c r="D23" s="92" t="s">
        <v>2834</v>
      </c>
      <c r="E23" s="92"/>
      <c r="F23" s="92" t="s">
        <v>179</v>
      </c>
      <c r="G23" s="88">
        <v>3290</v>
      </c>
      <c r="H23" s="88">
        <v>3000</v>
      </c>
      <c r="I23" s="88">
        <v>290</v>
      </c>
      <c r="J23" s="88">
        <v>0</v>
      </c>
      <c r="K23" s="88"/>
      <c r="L23" s="92"/>
      <c r="M23" s="92" t="s">
        <v>175</v>
      </c>
      <c r="N23" t="s">
        <v>4084</v>
      </c>
      <c r="O23" s="23">
        <v>20260803</v>
      </c>
      <c r="P23" s="31">
        <v>202608030000011</v>
      </c>
      <c r="Q23" s="24">
        <v>3290</v>
      </c>
      <c r="R23" s="25"/>
      <c r="S23" s="24" t="s">
        <v>167</v>
      </c>
      <c r="T23" s="24" t="s">
        <v>2175</v>
      </c>
      <c r="U23" s="24">
        <v>374.935</v>
      </c>
    </row>
    <row r="24" spans="1:21" ht="16.5" hidden="1" customHeight="1" thickBot="1">
      <c r="A24" s="92" t="s">
        <v>172</v>
      </c>
      <c r="B24" s="93">
        <v>46237</v>
      </c>
      <c r="C24" s="92" t="s">
        <v>2835</v>
      </c>
      <c r="D24" s="92" t="s">
        <v>2836</v>
      </c>
      <c r="E24" s="92"/>
      <c r="F24" s="92" t="s">
        <v>165</v>
      </c>
      <c r="G24" s="88">
        <v>6090</v>
      </c>
      <c r="H24" s="88">
        <v>3000</v>
      </c>
      <c r="I24" s="88">
        <v>3090</v>
      </c>
      <c r="J24" s="88">
        <v>0</v>
      </c>
      <c r="K24" s="88"/>
      <c r="L24" s="92"/>
      <c r="M24" s="92" t="s">
        <v>175</v>
      </c>
      <c r="N24"/>
      <c r="O24" s="26">
        <v>20260803</v>
      </c>
      <c r="P24" s="32">
        <v>202608030000012</v>
      </c>
      <c r="Q24" s="27">
        <v>6090</v>
      </c>
      <c r="R24" s="28"/>
      <c r="S24" s="27" t="s">
        <v>167</v>
      </c>
      <c r="T24" s="27" t="s">
        <v>2176</v>
      </c>
      <c r="U24" s="27">
        <v>381.02499999999998</v>
      </c>
    </row>
    <row r="25" spans="1:21" ht="16.5" customHeight="1" thickBot="1">
      <c r="A25" s="92" t="s">
        <v>180</v>
      </c>
      <c r="B25" s="93">
        <v>46237</v>
      </c>
      <c r="C25" s="92" t="s">
        <v>1101</v>
      </c>
      <c r="D25" s="92" t="s">
        <v>1102</v>
      </c>
      <c r="E25" s="92"/>
      <c r="F25" s="92" t="s">
        <v>179</v>
      </c>
      <c r="G25" s="88">
        <v>3297</v>
      </c>
      <c r="H25" s="88">
        <v>3297</v>
      </c>
      <c r="I25" s="88">
        <v>0</v>
      </c>
      <c r="J25" s="88">
        <v>0</v>
      </c>
      <c r="K25" s="88"/>
      <c r="L25" s="92"/>
      <c r="M25" s="92" t="s">
        <v>175</v>
      </c>
      <c r="N25" t="s">
        <v>1103</v>
      </c>
      <c r="O25" s="23">
        <v>20260803</v>
      </c>
      <c r="P25" s="31">
        <v>202608030000013</v>
      </c>
      <c r="Q25" s="24">
        <v>3297</v>
      </c>
      <c r="R25" s="25"/>
      <c r="S25" s="24" t="s">
        <v>167</v>
      </c>
      <c r="T25" s="24" t="s">
        <v>2177</v>
      </c>
      <c r="U25" s="24">
        <v>384.322</v>
      </c>
    </row>
    <row r="26" spans="1:21" ht="16.5" customHeight="1" thickBot="1">
      <c r="A26" s="92" t="s">
        <v>172</v>
      </c>
      <c r="B26" s="93">
        <v>46237</v>
      </c>
      <c r="C26" s="92" t="s">
        <v>2837</v>
      </c>
      <c r="D26" s="92" t="s">
        <v>2838</v>
      </c>
      <c r="E26" s="92"/>
      <c r="F26" s="92" t="s">
        <v>179</v>
      </c>
      <c r="G26" s="88">
        <v>4290</v>
      </c>
      <c r="H26" s="88">
        <v>4000</v>
      </c>
      <c r="I26" s="88">
        <v>290</v>
      </c>
      <c r="J26" s="88">
        <v>0</v>
      </c>
      <c r="K26" s="88"/>
      <c r="L26" s="92"/>
      <c r="M26" s="92" t="s">
        <v>175</v>
      </c>
      <c r="N26" t="s">
        <v>4223</v>
      </c>
      <c r="O26" s="26">
        <v>20260803</v>
      </c>
      <c r="P26" s="32">
        <v>202608030000014</v>
      </c>
      <c r="Q26" s="27">
        <v>4290</v>
      </c>
      <c r="R26" s="28"/>
      <c r="S26" s="27" t="s">
        <v>167</v>
      </c>
      <c r="T26" s="27" t="s">
        <v>2178</v>
      </c>
      <c r="U26" s="27">
        <v>388.61200000000002</v>
      </c>
    </row>
    <row r="27" spans="1:21" ht="16.5" customHeight="1" thickBot="1">
      <c r="A27" s="92" t="s">
        <v>180</v>
      </c>
      <c r="B27" s="93">
        <v>46237</v>
      </c>
      <c r="C27" s="92" t="s">
        <v>2046</v>
      </c>
      <c r="D27" s="92" t="s">
        <v>2047</v>
      </c>
      <c r="E27" s="92"/>
      <c r="F27" s="92" t="s">
        <v>179</v>
      </c>
      <c r="G27" s="88">
        <v>3297</v>
      </c>
      <c r="H27" s="88">
        <v>3297</v>
      </c>
      <c r="I27" s="88">
        <v>0</v>
      </c>
      <c r="J27" s="88">
        <v>0</v>
      </c>
      <c r="K27" s="88"/>
      <c r="L27" s="92"/>
      <c r="M27" s="92" t="s">
        <v>175</v>
      </c>
      <c r="N27" t="s">
        <v>4138</v>
      </c>
      <c r="O27" s="23">
        <v>20260803</v>
      </c>
      <c r="P27" s="31">
        <v>202608030000015</v>
      </c>
      <c r="Q27" s="24">
        <v>3297</v>
      </c>
      <c r="R27" s="25"/>
      <c r="S27" s="24" t="s">
        <v>167</v>
      </c>
      <c r="T27" s="24" t="s">
        <v>2179</v>
      </c>
      <c r="U27" s="24">
        <v>391.90899999999999</v>
      </c>
    </row>
    <row r="28" spans="1:21" ht="16.5" customHeight="1" thickBot="1">
      <c r="A28" s="92" t="s">
        <v>180</v>
      </c>
      <c r="B28" s="93">
        <v>46237</v>
      </c>
      <c r="C28" s="92" t="s">
        <v>1111</v>
      </c>
      <c r="D28" s="92" t="s">
        <v>1112</v>
      </c>
      <c r="E28" s="92"/>
      <c r="F28" s="92" t="s">
        <v>179</v>
      </c>
      <c r="G28" s="88">
        <v>3297</v>
      </c>
      <c r="H28" s="88">
        <v>3297</v>
      </c>
      <c r="I28" s="88">
        <v>0</v>
      </c>
      <c r="J28" s="88">
        <v>0</v>
      </c>
      <c r="K28" s="88"/>
      <c r="L28" s="92"/>
      <c r="M28" s="92" t="s">
        <v>175</v>
      </c>
      <c r="N28" t="s">
        <v>1113</v>
      </c>
      <c r="O28" s="26">
        <v>20260803</v>
      </c>
      <c r="P28" s="32">
        <v>202608030000016</v>
      </c>
      <c r="Q28" s="27">
        <v>3297</v>
      </c>
      <c r="R28" s="28"/>
      <c r="S28" s="27" t="s">
        <v>167</v>
      </c>
      <c r="T28" s="27" t="s">
        <v>2180</v>
      </c>
      <c r="U28" s="27">
        <v>395.20600000000002</v>
      </c>
    </row>
    <row r="29" spans="1:21" ht="16.5" hidden="1" customHeight="1" thickBot="1">
      <c r="A29" s="92" t="s">
        <v>172</v>
      </c>
      <c r="B29" s="93">
        <v>46237</v>
      </c>
      <c r="C29" s="92" t="s">
        <v>2839</v>
      </c>
      <c r="D29" s="92" t="s">
        <v>2840</v>
      </c>
      <c r="E29" s="92"/>
      <c r="F29" s="92" t="s">
        <v>165</v>
      </c>
      <c r="G29" s="88">
        <v>5250</v>
      </c>
      <c r="H29" s="88">
        <v>3000</v>
      </c>
      <c r="I29" s="88">
        <v>2250</v>
      </c>
      <c r="J29" s="88">
        <v>0</v>
      </c>
      <c r="K29" s="88"/>
      <c r="L29" s="92"/>
      <c r="M29" s="92" t="s">
        <v>175</v>
      </c>
      <c r="O29" s="23">
        <v>20260803</v>
      </c>
      <c r="P29" s="31">
        <v>202608030000017</v>
      </c>
      <c r="Q29" s="24">
        <v>5250</v>
      </c>
      <c r="R29" s="25"/>
      <c r="S29" s="24" t="s">
        <v>167</v>
      </c>
      <c r="T29" s="24" t="s">
        <v>2181</v>
      </c>
      <c r="U29" s="24">
        <v>400.45600000000002</v>
      </c>
    </row>
    <row r="30" spans="1:21" ht="16.5" hidden="1" customHeight="1" thickBot="1">
      <c r="A30" s="92" t="s">
        <v>172</v>
      </c>
      <c r="B30" s="93">
        <v>46237</v>
      </c>
      <c r="C30" s="92" t="s">
        <v>2841</v>
      </c>
      <c r="D30" s="92" t="s">
        <v>2842</v>
      </c>
      <c r="E30" s="92"/>
      <c r="F30" s="92" t="s">
        <v>165</v>
      </c>
      <c r="G30" s="88">
        <v>8290</v>
      </c>
      <c r="H30" s="88">
        <v>4000</v>
      </c>
      <c r="I30" s="88">
        <v>4290</v>
      </c>
      <c r="J30" s="88">
        <v>0</v>
      </c>
      <c r="K30" s="88"/>
      <c r="L30" s="92"/>
      <c r="M30" s="92" t="s">
        <v>175</v>
      </c>
      <c r="N30"/>
      <c r="O30" s="26">
        <v>20260803</v>
      </c>
      <c r="P30" s="32">
        <v>202608030000018</v>
      </c>
      <c r="Q30" s="27">
        <v>8290</v>
      </c>
      <c r="R30" s="28"/>
      <c r="S30" s="27" t="s">
        <v>167</v>
      </c>
      <c r="T30" s="27" t="s">
        <v>2182</v>
      </c>
      <c r="U30" s="27">
        <v>408.74599999999998</v>
      </c>
    </row>
    <row r="31" spans="1:21" ht="16.5" customHeight="1" thickBot="1">
      <c r="A31" s="92" t="s">
        <v>176</v>
      </c>
      <c r="B31" s="93">
        <v>46237</v>
      </c>
      <c r="C31" s="92" t="s">
        <v>214</v>
      </c>
      <c r="D31" s="92" t="s">
        <v>215</v>
      </c>
      <c r="E31" s="92"/>
      <c r="F31" s="92" t="s">
        <v>179</v>
      </c>
      <c r="G31" s="88">
        <v>6850</v>
      </c>
      <c r="H31" s="88">
        <v>6850</v>
      </c>
      <c r="I31" s="88">
        <v>0</v>
      </c>
      <c r="J31" s="88">
        <v>0</v>
      </c>
      <c r="K31" s="88"/>
      <c r="L31" s="92"/>
      <c r="M31" s="92" t="s">
        <v>175</v>
      </c>
      <c r="N31" t="s">
        <v>4215</v>
      </c>
      <c r="O31" s="23">
        <v>20260803</v>
      </c>
      <c r="P31" s="31">
        <v>202608030000019</v>
      </c>
      <c r="Q31" s="24">
        <v>6850</v>
      </c>
      <c r="R31" s="25"/>
      <c r="S31" s="24" t="s">
        <v>167</v>
      </c>
      <c r="T31" s="24" t="s">
        <v>2183</v>
      </c>
      <c r="U31" s="24">
        <v>415.596</v>
      </c>
    </row>
    <row r="32" spans="1:21" ht="16.5" hidden="1" customHeight="1" thickBot="1">
      <c r="A32" s="92" t="s">
        <v>180</v>
      </c>
      <c r="B32" s="93">
        <v>46237</v>
      </c>
      <c r="C32" s="92" t="s">
        <v>2843</v>
      </c>
      <c r="D32" s="92" t="s">
        <v>2844</v>
      </c>
      <c r="E32" s="92"/>
      <c r="F32" s="92" t="s">
        <v>165</v>
      </c>
      <c r="G32" s="88">
        <v>493</v>
      </c>
      <c r="H32" s="88">
        <v>493</v>
      </c>
      <c r="I32" s="88">
        <v>0</v>
      </c>
      <c r="J32" s="88">
        <v>0</v>
      </c>
      <c r="K32" s="88"/>
      <c r="L32" s="92"/>
      <c r="M32" s="92" t="s">
        <v>175</v>
      </c>
      <c r="N32"/>
      <c r="O32" s="26">
        <v>20260803</v>
      </c>
      <c r="P32" s="32">
        <v>202608030000020</v>
      </c>
      <c r="Q32" s="27">
        <v>493</v>
      </c>
      <c r="R32" s="28"/>
      <c r="S32" s="27" t="s">
        <v>359</v>
      </c>
      <c r="T32" s="27" t="s">
        <v>2184</v>
      </c>
      <c r="U32" s="27">
        <v>416.089</v>
      </c>
    </row>
    <row r="33" spans="1:21" ht="16.5" customHeight="1" thickBot="1">
      <c r="A33" s="92" t="s">
        <v>172</v>
      </c>
      <c r="B33" s="93">
        <v>46237</v>
      </c>
      <c r="C33" s="92" t="s">
        <v>2845</v>
      </c>
      <c r="D33" s="92" t="s">
        <v>2846</v>
      </c>
      <c r="E33" s="92"/>
      <c r="F33" s="92" t="s">
        <v>179</v>
      </c>
      <c r="G33" s="88">
        <v>4000</v>
      </c>
      <c r="H33" s="88">
        <v>4000</v>
      </c>
      <c r="I33" s="88">
        <v>0</v>
      </c>
      <c r="J33" s="88">
        <v>0</v>
      </c>
      <c r="K33" s="88"/>
      <c r="L33" s="92"/>
      <c r="M33" s="92" t="s">
        <v>175</v>
      </c>
      <c r="N33" t="s">
        <v>4120</v>
      </c>
      <c r="O33" s="23">
        <v>20260803</v>
      </c>
      <c r="P33" s="31">
        <v>202608030000021</v>
      </c>
      <c r="Q33" s="24">
        <v>4000</v>
      </c>
      <c r="R33" s="25"/>
      <c r="S33" s="24" t="s">
        <v>167</v>
      </c>
      <c r="T33" s="24" t="s">
        <v>2185</v>
      </c>
      <c r="U33" s="24">
        <v>420.089</v>
      </c>
    </row>
    <row r="34" spans="1:21" ht="16.5" hidden="1" customHeight="1" thickBot="1">
      <c r="A34" s="92" t="s">
        <v>162</v>
      </c>
      <c r="B34" s="93">
        <v>46237</v>
      </c>
      <c r="C34" s="92" t="s">
        <v>2847</v>
      </c>
      <c r="D34" s="92" t="s">
        <v>2848</v>
      </c>
      <c r="E34" s="92"/>
      <c r="F34" s="92" t="s">
        <v>165</v>
      </c>
      <c r="G34" s="88">
        <v>3850</v>
      </c>
      <c r="H34" s="88"/>
      <c r="I34" s="88">
        <v>3850</v>
      </c>
      <c r="J34" s="88">
        <v>0</v>
      </c>
      <c r="K34" s="88"/>
      <c r="L34" s="92"/>
      <c r="M34" s="92" t="s">
        <v>166</v>
      </c>
      <c r="N34"/>
      <c r="O34" s="26">
        <v>20260803</v>
      </c>
      <c r="P34" s="32">
        <v>202608030000022</v>
      </c>
      <c r="Q34" s="27">
        <v>3850</v>
      </c>
      <c r="R34" s="28"/>
      <c r="S34" s="27" t="s">
        <v>167</v>
      </c>
      <c r="T34" s="27" t="s">
        <v>193</v>
      </c>
      <c r="U34" s="27">
        <v>423.93900000000002</v>
      </c>
    </row>
    <row r="35" spans="1:21" ht="16.5" customHeight="1" thickBot="1">
      <c r="A35" s="92" t="s">
        <v>176</v>
      </c>
      <c r="B35" s="93">
        <v>46237</v>
      </c>
      <c r="C35" s="92" t="s">
        <v>214</v>
      </c>
      <c r="D35" s="92" t="s">
        <v>215</v>
      </c>
      <c r="E35" s="92"/>
      <c r="F35" s="92" t="s">
        <v>179</v>
      </c>
      <c r="G35" s="88">
        <v>6850</v>
      </c>
      <c r="H35" s="88">
        <v>6850</v>
      </c>
      <c r="I35" s="88">
        <v>0</v>
      </c>
      <c r="J35" s="88">
        <v>0</v>
      </c>
      <c r="K35" s="88"/>
      <c r="L35" s="92"/>
      <c r="M35" s="92" t="s">
        <v>175</v>
      </c>
      <c r="N35" t="s">
        <v>4224</v>
      </c>
      <c r="O35" s="23">
        <v>20260803</v>
      </c>
      <c r="P35" s="31">
        <v>202608030000023</v>
      </c>
      <c r="Q35" s="24">
        <v>6850</v>
      </c>
      <c r="R35" s="25"/>
      <c r="S35" s="24" t="s">
        <v>167</v>
      </c>
      <c r="T35" s="24" t="s">
        <v>208</v>
      </c>
      <c r="U35" s="24">
        <v>430.78899999999999</v>
      </c>
    </row>
    <row r="36" spans="1:21" ht="16.5" hidden="1" customHeight="1" thickBot="1">
      <c r="A36" s="92" t="s">
        <v>3293</v>
      </c>
      <c r="B36" s="93">
        <v>46237</v>
      </c>
      <c r="C36" s="92" t="s">
        <v>2124</v>
      </c>
      <c r="D36" s="92" t="s">
        <v>2126</v>
      </c>
      <c r="E36" s="92"/>
      <c r="F36" s="92" t="s">
        <v>165</v>
      </c>
      <c r="G36" s="88">
        <v>2153</v>
      </c>
      <c r="H36" s="88"/>
      <c r="I36" s="88">
        <v>2153</v>
      </c>
      <c r="J36" s="88">
        <v>0</v>
      </c>
      <c r="K36" s="88"/>
      <c r="L36" s="92"/>
      <c r="M36" s="92" t="s">
        <v>175</v>
      </c>
      <c r="O36" s="26">
        <v>20260803</v>
      </c>
      <c r="P36" s="32">
        <v>202608030000024</v>
      </c>
      <c r="Q36" s="27">
        <v>2153</v>
      </c>
      <c r="R36" s="28"/>
      <c r="S36" s="27" t="s">
        <v>167</v>
      </c>
      <c r="T36" s="27" t="s">
        <v>208</v>
      </c>
      <c r="U36" s="27">
        <v>432.94200000000001</v>
      </c>
    </row>
    <row r="37" spans="1:21" ht="16.5" customHeight="1" thickBot="1">
      <c r="A37" s="92" t="s">
        <v>176</v>
      </c>
      <c r="B37" s="93">
        <v>46237</v>
      </c>
      <c r="C37" s="92" t="s">
        <v>1000</v>
      </c>
      <c r="D37" s="92" t="s">
        <v>1001</v>
      </c>
      <c r="E37" s="92"/>
      <c r="F37" s="92" t="s">
        <v>179</v>
      </c>
      <c r="G37" s="88">
        <v>7000</v>
      </c>
      <c r="H37" s="88">
        <v>7000</v>
      </c>
      <c r="I37" s="88">
        <v>0</v>
      </c>
      <c r="J37" s="88">
        <v>0</v>
      </c>
      <c r="K37" s="88"/>
      <c r="L37" s="92"/>
      <c r="M37" s="92" t="s">
        <v>175</v>
      </c>
      <c r="N37" t="s">
        <v>4190</v>
      </c>
      <c r="O37" s="23">
        <v>20260803</v>
      </c>
      <c r="P37" s="31">
        <v>202608030000025</v>
      </c>
      <c r="Q37" s="24">
        <v>7000</v>
      </c>
      <c r="R37" s="25"/>
      <c r="S37" s="24" t="s">
        <v>167</v>
      </c>
      <c r="T37" s="24" t="s">
        <v>264</v>
      </c>
      <c r="U37" s="24">
        <v>439.94200000000001</v>
      </c>
    </row>
    <row r="38" spans="1:21" ht="16.5" hidden="1" customHeight="1" thickBot="1">
      <c r="A38" s="92" t="s">
        <v>172</v>
      </c>
      <c r="B38" s="93">
        <v>46238</v>
      </c>
      <c r="C38" s="92" t="s">
        <v>2849</v>
      </c>
      <c r="D38" s="92" t="s">
        <v>2850</v>
      </c>
      <c r="E38" s="92"/>
      <c r="F38" s="92" t="s">
        <v>165</v>
      </c>
      <c r="G38" s="88">
        <v>5985</v>
      </c>
      <c r="H38" s="88">
        <v>3000</v>
      </c>
      <c r="I38" s="88">
        <v>2985</v>
      </c>
      <c r="J38" s="88">
        <v>0</v>
      </c>
      <c r="K38" s="88"/>
      <c r="L38" s="92"/>
      <c r="M38" s="92" t="s">
        <v>175</v>
      </c>
      <c r="N38"/>
      <c r="O38" s="26">
        <v>20260804</v>
      </c>
      <c r="P38" s="32">
        <v>202608040000001</v>
      </c>
      <c r="Q38" s="27">
        <v>5985</v>
      </c>
      <c r="R38" s="28"/>
      <c r="S38" s="27" t="s">
        <v>167</v>
      </c>
      <c r="T38" s="27" t="s">
        <v>2186</v>
      </c>
      <c r="U38" s="27">
        <v>445.92700000000002</v>
      </c>
    </row>
    <row r="39" spans="1:21" ht="16.5" hidden="1" customHeight="1" thickBot="1">
      <c r="A39" s="92" t="s">
        <v>172</v>
      </c>
      <c r="B39" s="93">
        <v>46238</v>
      </c>
      <c r="C39" s="92" t="s">
        <v>1872</v>
      </c>
      <c r="D39" s="92" t="s">
        <v>1873</v>
      </c>
      <c r="E39" s="92"/>
      <c r="F39" s="92" t="s">
        <v>165</v>
      </c>
      <c r="G39" s="88">
        <v>5252</v>
      </c>
      <c r="H39" s="88">
        <v>3000</v>
      </c>
      <c r="I39" s="88">
        <v>2252</v>
      </c>
      <c r="J39" s="88">
        <v>0</v>
      </c>
      <c r="K39" s="88"/>
      <c r="L39" s="92"/>
      <c r="M39" s="92" t="s">
        <v>175</v>
      </c>
      <c r="O39" s="23">
        <v>20260804</v>
      </c>
      <c r="P39" s="31">
        <v>202608040000002</v>
      </c>
      <c r="Q39" s="24">
        <v>5252</v>
      </c>
      <c r="R39" s="25"/>
      <c r="S39" s="24" t="s">
        <v>167</v>
      </c>
      <c r="T39" s="24" t="s">
        <v>2187</v>
      </c>
      <c r="U39" s="24">
        <v>451.17899999999997</v>
      </c>
    </row>
    <row r="40" spans="1:21" ht="16.5" hidden="1" customHeight="1" thickBot="1">
      <c r="A40" s="92" t="s">
        <v>180</v>
      </c>
      <c r="B40" s="93">
        <v>46238</v>
      </c>
      <c r="C40" s="92" t="s">
        <v>2851</v>
      </c>
      <c r="D40" s="92" t="s">
        <v>2852</v>
      </c>
      <c r="E40" s="92"/>
      <c r="F40" s="92" t="s">
        <v>165</v>
      </c>
      <c r="G40" s="88">
        <v>5252</v>
      </c>
      <c r="H40" s="88">
        <v>3000</v>
      </c>
      <c r="I40" s="88">
        <v>2252</v>
      </c>
      <c r="J40" s="88">
        <v>0</v>
      </c>
      <c r="K40" s="88"/>
      <c r="L40" s="92"/>
      <c r="M40" s="92" t="s">
        <v>175</v>
      </c>
      <c r="N40"/>
      <c r="O40" s="26">
        <v>20260804</v>
      </c>
      <c r="P40" s="32">
        <v>202608040000003</v>
      </c>
      <c r="Q40" s="27">
        <v>5252</v>
      </c>
      <c r="R40" s="28"/>
      <c r="S40" s="27" t="s">
        <v>167</v>
      </c>
      <c r="T40" s="27" t="s">
        <v>2188</v>
      </c>
      <c r="U40" s="27">
        <v>456.43099999999998</v>
      </c>
    </row>
    <row r="41" spans="1:21" ht="45.75" hidden="1" customHeight="1" thickBot="1">
      <c r="A41" s="92" t="s">
        <v>162</v>
      </c>
      <c r="B41" s="93">
        <v>46238</v>
      </c>
      <c r="C41" s="92" t="s">
        <v>2853</v>
      </c>
      <c r="D41" s="77" t="s">
        <v>2854</v>
      </c>
      <c r="E41" s="92"/>
      <c r="F41" s="92" t="s">
        <v>165</v>
      </c>
      <c r="G41" s="88">
        <v>3850</v>
      </c>
      <c r="H41" s="88"/>
      <c r="I41" s="88">
        <v>3850</v>
      </c>
      <c r="J41" s="88">
        <v>0</v>
      </c>
      <c r="K41" s="88"/>
      <c r="L41" s="92"/>
      <c r="M41" s="92" t="s">
        <v>166</v>
      </c>
      <c r="N41"/>
      <c r="O41" s="26">
        <v>20260804</v>
      </c>
      <c r="P41" s="32">
        <v>202608040000004</v>
      </c>
      <c r="Q41" s="27">
        <v>6650</v>
      </c>
      <c r="R41" s="28"/>
      <c r="S41" s="27" t="s">
        <v>167</v>
      </c>
      <c r="T41" s="27" t="s">
        <v>862</v>
      </c>
      <c r="U41" s="27">
        <v>463.08100000000002</v>
      </c>
    </row>
    <row r="42" spans="1:21" ht="16.5" hidden="1" customHeight="1" thickBot="1">
      <c r="A42" s="92" t="s">
        <v>162</v>
      </c>
      <c r="B42" s="93">
        <v>46238</v>
      </c>
      <c r="C42" s="92" t="s">
        <v>2853</v>
      </c>
      <c r="D42" s="92" t="s">
        <v>2854</v>
      </c>
      <c r="E42" s="92"/>
      <c r="F42" s="92" t="s">
        <v>165</v>
      </c>
      <c r="G42" s="88">
        <v>2800</v>
      </c>
      <c r="H42" s="88"/>
      <c r="I42" s="88">
        <v>2800</v>
      </c>
      <c r="J42" s="88">
        <v>0</v>
      </c>
      <c r="K42" s="88"/>
      <c r="L42" s="92"/>
      <c r="M42" s="92" t="s">
        <v>166</v>
      </c>
      <c r="N42"/>
      <c r="O42" s="113"/>
      <c r="P42" s="137"/>
      <c r="Q42" s="28"/>
      <c r="R42" s="28"/>
      <c r="S42" s="28"/>
      <c r="T42" s="28"/>
      <c r="U42" s="28"/>
    </row>
    <row r="43" spans="1:21" ht="16.5" customHeight="1" thickBot="1">
      <c r="A43" s="92" t="s">
        <v>180</v>
      </c>
      <c r="B43" s="93">
        <v>46238</v>
      </c>
      <c r="C43" s="92" t="s">
        <v>2855</v>
      </c>
      <c r="D43" s="92" t="s">
        <v>2856</v>
      </c>
      <c r="E43" s="92"/>
      <c r="F43" s="92" t="s">
        <v>179</v>
      </c>
      <c r="G43" s="88">
        <v>500</v>
      </c>
      <c r="H43" s="88">
        <v>500</v>
      </c>
      <c r="I43" s="88">
        <v>0</v>
      </c>
      <c r="J43" s="88">
        <v>0</v>
      </c>
      <c r="K43" s="88"/>
      <c r="L43" s="92"/>
      <c r="M43" s="92" t="s">
        <v>175</v>
      </c>
      <c r="N43" t="s">
        <v>4159</v>
      </c>
      <c r="O43" s="23">
        <v>20260804</v>
      </c>
      <c r="P43" s="31">
        <v>202608040000005</v>
      </c>
      <c r="Q43" s="24">
        <v>500</v>
      </c>
      <c r="R43" s="25"/>
      <c r="S43" s="24" t="s">
        <v>359</v>
      </c>
      <c r="T43" s="24" t="s">
        <v>2189</v>
      </c>
      <c r="U43" s="24">
        <v>463.58100000000002</v>
      </c>
    </row>
    <row r="44" spans="1:21" ht="16.5" customHeight="1" thickBot="1">
      <c r="A44" s="92" t="s">
        <v>180</v>
      </c>
      <c r="B44" s="93">
        <v>46238</v>
      </c>
      <c r="C44" s="92" t="s">
        <v>2857</v>
      </c>
      <c r="D44" s="92" t="s">
        <v>2858</v>
      </c>
      <c r="E44" s="92"/>
      <c r="F44" s="92" t="s">
        <v>179</v>
      </c>
      <c r="G44" s="88">
        <v>3000</v>
      </c>
      <c r="H44" s="88">
        <v>3000</v>
      </c>
      <c r="I44" s="88">
        <v>0</v>
      </c>
      <c r="J44" s="88">
        <v>0</v>
      </c>
      <c r="K44" s="88"/>
      <c r="L44" s="92"/>
      <c r="M44" s="92" t="s">
        <v>175</v>
      </c>
      <c r="N44" t="s">
        <v>4229</v>
      </c>
      <c r="O44" s="26">
        <v>20260804</v>
      </c>
      <c r="P44" s="32">
        <v>202608040000006</v>
      </c>
      <c r="Q44" s="27">
        <v>3000</v>
      </c>
      <c r="R44" s="28"/>
      <c r="S44" s="27" t="s">
        <v>167</v>
      </c>
      <c r="T44" s="27" t="s">
        <v>608</v>
      </c>
      <c r="U44" s="27">
        <v>466.58100000000002</v>
      </c>
    </row>
    <row r="45" spans="1:21" ht="16.5" customHeight="1" thickBot="1">
      <c r="A45" s="92" t="s">
        <v>162</v>
      </c>
      <c r="B45" s="93">
        <v>46238</v>
      </c>
      <c r="C45" s="92" t="e">
        <v>#N/A</v>
      </c>
      <c r="D45" s="92"/>
      <c r="E45" s="92"/>
      <c r="F45" s="92" t="s">
        <v>179</v>
      </c>
      <c r="G45" s="88">
        <v>2000</v>
      </c>
      <c r="H45" s="88"/>
      <c r="I45" s="88">
        <v>2000</v>
      </c>
      <c r="J45" s="88">
        <v>0</v>
      </c>
      <c r="K45" s="88"/>
      <c r="L45" s="92"/>
      <c r="M45" s="92" t="s">
        <v>166</v>
      </c>
      <c r="N45" t="s">
        <v>4033</v>
      </c>
      <c r="O45" s="114">
        <v>20260804</v>
      </c>
      <c r="P45" s="138">
        <v>202608040000007</v>
      </c>
      <c r="Q45" s="115">
        <v>2000</v>
      </c>
      <c r="R45" s="116"/>
      <c r="S45" s="115" t="s">
        <v>167</v>
      </c>
      <c r="T45" s="115" t="s">
        <v>836</v>
      </c>
      <c r="U45" s="115">
        <v>468.58100000000002</v>
      </c>
    </row>
    <row r="46" spans="1:21" ht="16.5" hidden="1" customHeight="1" thickBot="1">
      <c r="A46" s="92" t="s">
        <v>172</v>
      </c>
      <c r="B46" s="93">
        <v>46239</v>
      </c>
      <c r="C46" s="92" t="s">
        <v>2859</v>
      </c>
      <c r="D46" s="92" t="s">
        <v>2860</v>
      </c>
      <c r="E46" s="92"/>
      <c r="F46" s="92" t="s">
        <v>165</v>
      </c>
      <c r="G46" s="88">
        <v>5987</v>
      </c>
      <c r="H46" s="88">
        <v>3000</v>
      </c>
      <c r="I46" s="88">
        <v>2987</v>
      </c>
      <c r="J46" s="88">
        <v>0</v>
      </c>
      <c r="K46" s="88"/>
      <c r="L46" s="92"/>
      <c r="M46" s="92" t="s">
        <v>175</v>
      </c>
      <c r="O46" s="26">
        <v>20260805</v>
      </c>
      <c r="P46" s="32">
        <v>202608050000001</v>
      </c>
      <c r="Q46" s="27">
        <v>5987</v>
      </c>
      <c r="R46" s="28"/>
      <c r="S46" s="27" t="s">
        <v>167</v>
      </c>
      <c r="T46" s="27" t="s">
        <v>2190</v>
      </c>
      <c r="U46" s="27">
        <v>474.56799999999998</v>
      </c>
    </row>
    <row r="47" spans="1:21" ht="16.5" customHeight="1" thickBot="1">
      <c r="A47" s="92" t="s">
        <v>180</v>
      </c>
      <c r="B47" s="93">
        <v>46239</v>
      </c>
      <c r="C47" s="92" t="s">
        <v>1087</v>
      </c>
      <c r="D47" s="92" t="s">
        <v>1088</v>
      </c>
      <c r="E47" s="92"/>
      <c r="F47" s="92" t="s">
        <v>179</v>
      </c>
      <c r="G47" s="88">
        <v>3297</v>
      </c>
      <c r="H47" s="88">
        <v>3000</v>
      </c>
      <c r="I47" s="88">
        <v>297</v>
      </c>
      <c r="J47" s="88">
        <v>0</v>
      </c>
      <c r="K47" s="88"/>
      <c r="L47" s="92"/>
      <c r="M47" s="92" t="s">
        <v>175</v>
      </c>
      <c r="N47" t="s">
        <v>4139</v>
      </c>
      <c r="O47" s="23">
        <v>20260805</v>
      </c>
      <c r="P47" s="31">
        <v>202608050000002</v>
      </c>
      <c r="Q47" s="24">
        <v>3297</v>
      </c>
      <c r="R47" s="25"/>
      <c r="S47" s="24" t="s">
        <v>167</v>
      </c>
      <c r="T47" s="24" t="s">
        <v>2191</v>
      </c>
      <c r="U47" s="24">
        <v>477.86500000000001</v>
      </c>
    </row>
    <row r="48" spans="1:21" ht="16.5" hidden="1" customHeight="1" thickBot="1">
      <c r="A48" s="92" t="s">
        <v>180</v>
      </c>
      <c r="B48" s="93">
        <v>46239</v>
      </c>
      <c r="C48" s="92" t="s">
        <v>2070</v>
      </c>
      <c r="D48" s="92" t="s">
        <v>2071</v>
      </c>
      <c r="E48" s="92"/>
      <c r="F48" s="92" t="s">
        <v>165</v>
      </c>
      <c r="G48" s="88">
        <v>7797</v>
      </c>
      <c r="H48" s="88">
        <v>4000</v>
      </c>
      <c r="I48" s="88">
        <v>3797</v>
      </c>
      <c r="J48" s="88">
        <v>0</v>
      </c>
      <c r="K48" s="88"/>
      <c r="L48" s="92"/>
      <c r="M48" s="92" t="s">
        <v>175</v>
      </c>
      <c r="N48"/>
      <c r="O48" s="26">
        <v>20260805</v>
      </c>
      <c r="P48" s="32">
        <v>202608050000003</v>
      </c>
      <c r="Q48" s="27">
        <v>7797</v>
      </c>
      <c r="R48" s="28"/>
      <c r="S48" s="27" t="s">
        <v>167</v>
      </c>
      <c r="T48" s="27" t="s">
        <v>2192</v>
      </c>
      <c r="U48" s="27">
        <v>485.66199999999998</v>
      </c>
    </row>
    <row r="49" spans="1:21" ht="16.5" hidden="1" customHeight="1" thickBot="1">
      <c r="A49" s="92" t="s">
        <v>176</v>
      </c>
      <c r="B49" s="93">
        <v>46239</v>
      </c>
      <c r="C49" s="92" t="s">
        <v>2861</v>
      </c>
      <c r="D49" s="92" t="s">
        <v>2862</v>
      </c>
      <c r="E49" s="92"/>
      <c r="F49" s="92" t="s">
        <v>165</v>
      </c>
      <c r="G49" s="88">
        <v>5250</v>
      </c>
      <c r="H49" s="88">
        <v>3000</v>
      </c>
      <c r="I49" s="88">
        <v>2250</v>
      </c>
      <c r="J49" s="88">
        <v>0</v>
      </c>
      <c r="K49" s="88"/>
      <c r="L49" s="92"/>
      <c r="M49" s="92" t="s">
        <v>175</v>
      </c>
      <c r="O49" s="23">
        <v>20260805</v>
      </c>
      <c r="P49" s="31">
        <v>202608050000004</v>
      </c>
      <c r="Q49" s="24">
        <v>5250</v>
      </c>
      <c r="R49" s="25"/>
      <c r="S49" s="24" t="s">
        <v>167</v>
      </c>
      <c r="T49" s="24" t="s">
        <v>2193</v>
      </c>
      <c r="U49" s="24">
        <v>490.91199999999998</v>
      </c>
    </row>
    <row r="50" spans="1:21" ht="16.5" customHeight="1" thickBot="1">
      <c r="A50" s="92" t="s">
        <v>180</v>
      </c>
      <c r="B50" s="93">
        <v>46239</v>
      </c>
      <c r="C50" s="92" t="s">
        <v>2061</v>
      </c>
      <c r="D50" s="92" t="s">
        <v>2062</v>
      </c>
      <c r="E50" s="92"/>
      <c r="F50" s="92" t="s">
        <v>179</v>
      </c>
      <c r="G50" s="88">
        <v>3297</v>
      </c>
      <c r="H50" s="88">
        <v>3000</v>
      </c>
      <c r="I50" s="88">
        <v>297</v>
      </c>
      <c r="J50" s="88">
        <v>0</v>
      </c>
      <c r="K50" s="88"/>
      <c r="L50" s="92"/>
      <c r="M50" s="92" t="s">
        <v>175</v>
      </c>
      <c r="N50" t="s">
        <v>2063</v>
      </c>
      <c r="O50" s="26">
        <v>20260805</v>
      </c>
      <c r="P50" s="32">
        <v>202608050000005</v>
      </c>
      <c r="Q50" s="27">
        <v>3297</v>
      </c>
      <c r="R50" s="28"/>
      <c r="S50" s="27" t="s">
        <v>167</v>
      </c>
      <c r="T50" s="27" t="s">
        <v>2194</v>
      </c>
      <c r="U50" s="27">
        <v>494.209</v>
      </c>
    </row>
    <row r="51" spans="1:21" ht="16.5" hidden="1" customHeight="1" thickBot="1">
      <c r="A51" s="92" t="s">
        <v>172</v>
      </c>
      <c r="B51" s="93">
        <v>46239</v>
      </c>
      <c r="C51" s="92" t="s">
        <v>2863</v>
      </c>
      <c r="D51" s="92" t="s">
        <v>2864</v>
      </c>
      <c r="E51" s="92"/>
      <c r="F51" s="92" t="s">
        <v>165</v>
      </c>
      <c r="G51" s="88">
        <v>5250</v>
      </c>
      <c r="H51" s="88">
        <v>3000</v>
      </c>
      <c r="I51" s="88">
        <v>2250</v>
      </c>
      <c r="J51" s="88">
        <v>0</v>
      </c>
      <c r="K51" s="88"/>
      <c r="L51" s="92"/>
      <c r="M51" s="92" t="s">
        <v>175</v>
      </c>
      <c r="O51" s="23">
        <v>20260805</v>
      </c>
      <c r="P51" s="31">
        <v>202608050000006</v>
      </c>
      <c r="Q51" s="24">
        <v>5250</v>
      </c>
      <c r="R51" s="25"/>
      <c r="S51" s="24" t="s">
        <v>167</v>
      </c>
      <c r="T51" s="24" t="s">
        <v>2195</v>
      </c>
      <c r="U51" s="24">
        <v>499.459</v>
      </c>
    </row>
    <row r="52" spans="1:21" ht="16.5" hidden="1" customHeight="1" thickBot="1">
      <c r="A52" s="92" t="s">
        <v>180</v>
      </c>
      <c r="B52" s="93">
        <v>46239</v>
      </c>
      <c r="C52" s="92" t="s">
        <v>2865</v>
      </c>
      <c r="D52" s="92" t="s">
        <v>2866</v>
      </c>
      <c r="E52" s="92"/>
      <c r="F52" s="92" t="s">
        <v>165</v>
      </c>
      <c r="G52" s="88">
        <v>6597</v>
      </c>
      <c r="H52" s="88">
        <v>4000</v>
      </c>
      <c r="I52" s="88">
        <v>2597</v>
      </c>
      <c r="J52" s="88">
        <v>0</v>
      </c>
      <c r="K52" s="88"/>
      <c r="L52" s="92"/>
      <c r="M52" s="92" t="s">
        <v>175</v>
      </c>
      <c r="O52" s="26">
        <v>20260805</v>
      </c>
      <c r="P52" s="32">
        <v>202608050000007</v>
      </c>
      <c r="Q52" s="27">
        <v>6597</v>
      </c>
      <c r="R52" s="28"/>
      <c r="S52" s="27" t="s">
        <v>167</v>
      </c>
      <c r="T52" s="27" t="s">
        <v>2196</v>
      </c>
      <c r="U52" s="27">
        <v>506.05599999999998</v>
      </c>
    </row>
    <row r="53" spans="1:21" ht="21.75" customHeight="1" thickBot="1">
      <c r="A53" s="92" t="s">
        <v>180</v>
      </c>
      <c r="B53" s="93">
        <v>46239</v>
      </c>
      <c r="C53" s="92" t="s">
        <v>2867</v>
      </c>
      <c r="D53" s="92" t="s">
        <v>2868</v>
      </c>
      <c r="E53" s="92"/>
      <c r="F53" s="92" t="s">
        <v>179</v>
      </c>
      <c r="G53" s="88">
        <v>3292</v>
      </c>
      <c r="H53" s="88">
        <v>3000</v>
      </c>
      <c r="I53" s="88">
        <v>292</v>
      </c>
      <c r="J53" s="88">
        <v>0</v>
      </c>
      <c r="K53" s="88"/>
      <c r="L53" s="92"/>
      <c r="M53" s="92" t="s">
        <v>175</v>
      </c>
      <c r="N53" t="s">
        <v>4148</v>
      </c>
      <c r="O53" s="23">
        <v>20260805</v>
      </c>
      <c r="P53" s="31">
        <v>202608050000008</v>
      </c>
      <c r="Q53" s="24">
        <v>3292</v>
      </c>
      <c r="R53" s="25"/>
      <c r="S53" s="24" t="s">
        <v>167</v>
      </c>
      <c r="T53" s="24" t="s">
        <v>2197</v>
      </c>
      <c r="U53" s="24">
        <v>509.34800000000001</v>
      </c>
    </row>
    <row r="54" spans="1:21" ht="16.5" customHeight="1" thickBot="1">
      <c r="A54" s="92" t="s">
        <v>176</v>
      </c>
      <c r="B54" s="93">
        <v>46239</v>
      </c>
      <c r="C54" s="92" t="s">
        <v>214</v>
      </c>
      <c r="D54" s="92" t="s">
        <v>215</v>
      </c>
      <c r="E54" s="92"/>
      <c r="F54" s="92" t="s">
        <v>179</v>
      </c>
      <c r="G54" s="88">
        <v>6850</v>
      </c>
      <c r="H54" s="88">
        <v>6850</v>
      </c>
      <c r="I54" s="88">
        <v>0</v>
      </c>
      <c r="J54" s="88">
        <v>0</v>
      </c>
      <c r="K54" s="88"/>
      <c r="L54" s="92"/>
      <c r="M54" s="92" t="s">
        <v>175</v>
      </c>
      <c r="N54" t="s">
        <v>4225</v>
      </c>
      <c r="O54" s="26">
        <v>20260805</v>
      </c>
      <c r="P54" s="32">
        <v>202608050000009</v>
      </c>
      <c r="Q54" s="27">
        <v>6850</v>
      </c>
      <c r="R54" s="28"/>
      <c r="S54" s="27" t="s">
        <v>167</v>
      </c>
      <c r="T54" s="27" t="s">
        <v>464</v>
      </c>
      <c r="U54" s="27">
        <v>516.19799999999998</v>
      </c>
    </row>
    <row r="55" spans="1:21" ht="16.5" customHeight="1" thickBot="1">
      <c r="A55" s="92" t="s">
        <v>172</v>
      </c>
      <c r="B55" s="93">
        <v>46239</v>
      </c>
      <c r="C55" s="92" t="s">
        <v>2869</v>
      </c>
      <c r="D55" s="92" t="s">
        <v>2870</v>
      </c>
      <c r="E55" s="92"/>
      <c r="F55" s="92" t="s">
        <v>179</v>
      </c>
      <c r="G55" s="88">
        <v>4000</v>
      </c>
      <c r="H55" s="88">
        <v>4000</v>
      </c>
      <c r="I55" s="88">
        <v>0</v>
      </c>
      <c r="J55" s="88">
        <v>0</v>
      </c>
      <c r="K55" s="88"/>
      <c r="L55" s="92"/>
      <c r="M55" s="92" t="s">
        <v>175</v>
      </c>
      <c r="N55" t="s">
        <v>4171</v>
      </c>
      <c r="O55" s="26">
        <v>20260805</v>
      </c>
      <c r="P55" s="32">
        <v>202608050000010</v>
      </c>
      <c r="Q55" s="27">
        <v>4000</v>
      </c>
      <c r="R55" s="28"/>
      <c r="S55" s="27" t="s">
        <v>167</v>
      </c>
      <c r="T55" s="27" t="s">
        <v>208</v>
      </c>
      <c r="U55" s="27">
        <v>520.19799999999998</v>
      </c>
    </row>
    <row r="56" spans="1:21" ht="16.5" hidden="1" customHeight="1" thickBot="1">
      <c r="A56" s="92" t="s">
        <v>162</v>
      </c>
      <c r="B56" s="93">
        <v>46239</v>
      </c>
      <c r="C56" s="92" t="s">
        <v>279</v>
      </c>
      <c r="D56" s="92" t="s">
        <v>280</v>
      </c>
      <c r="E56" s="92"/>
      <c r="F56" s="92" t="s">
        <v>165</v>
      </c>
      <c r="G56" s="88">
        <v>2475</v>
      </c>
      <c r="H56" s="88"/>
      <c r="I56" s="88">
        <v>2475</v>
      </c>
      <c r="J56" s="88">
        <v>0</v>
      </c>
      <c r="K56" s="88"/>
      <c r="L56" s="92"/>
      <c r="M56" s="92" t="s">
        <v>166</v>
      </c>
      <c r="N56"/>
      <c r="O56" s="23">
        <v>20260805</v>
      </c>
      <c r="P56" s="31">
        <v>202608050000011</v>
      </c>
      <c r="Q56" s="24">
        <v>2475</v>
      </c>
      <c r="R56" s="25"/>
      <c r="S56" s="24" t="s">
        <v>167</v>
      </c>
      <c r="T56" s="24" t="s">
        <v>278</v>
      </c>
      <c r="U56" s="24">
        <v>522.673</v>
      </c>
    </row>
    <row r="57" spans="1:21" ht="16.5" hidden="1" customHeight="1" thickBot="1">
      <c r="A57" s="92" t="s">
        <v>162</v>
      </c>
      <c r="B57" s="93">
        <v>46239</v>
      </c>
      <c r="C57" s="92" t="s">
        <v>315</v>
      </c>
      <c r="D57" s="92" t="s">
        <v>316</v>
      </c>
      <c r="E57" s="92"/>
      <c r="F57" s="92" t="s">
        <v>165</v>
      </c>
      <c r="G57" s="88">
        <v>2915</v>
      </c>
      <c r="H57" s="88"/>
      <c r="I57" s="88">
        <v>2915</v>
      </c>
      <c r="J57" s="88">
        <v>0</v>
      </c>
      <c r="K57" s="88"/>
      <c r="L57" s="92"/>
      <c r="M57" s="92" t="s">
        <v>166</v>
      </c>
      <c r="N57"/>
      <c r="O57" s="26">
        <v>20260805</v>
      </c>
      <c r="P57" s="32">
        <v>202608050000012</v>
      </c>
      <c r="Q57" s="27">
        <v>2915</v>
      </c>
      <c r="R57" s="28"/>
      <c r="S57" s="27" t="s">
        <v>167</v>
      </c>
      <c r="T57" s="27" t="s">
        <v>317</v>
      </c>
      <c r="U57" s="27">
        <v>525.58799999999997</v>
      </c>
    </row>
    <row r="58" spans="1:21" ht="16.5" customHeight="1" thickBot="1">
      <c r="A58" s="92" t="s">
        <v>180</v>
      </c>
      <c r="B58" s="93">
        <v>46239</v>
      </c>
      <c r="C58" s="92" t="s">
        <v>2855</v>
      </c>
      <c r="D58" s="92" t="s">
        <v>2856</v>
      </c>
      <c r="E58" s="92"/>
      <c r="F58" s="92" t="s">
        <v>179</v>
      </c>
      <c r="G58" s="88">
        <v>500</v>
      </c>
      <c r="H58" s="88">
        <v>500</v>
      </c>
      <c r="I58" s="88">
        <v>0</v>
      </c>
      <c r="J58" s="88">
        <v>0</v>
      </c>
      <c r="K58" s="88"/>
      <c r="L58" s="92"/>
      <c r="M58" s="92" t="s">
        <v>175</v>
      </c>
      <c r="N58" t="s">
        <v>4159</v>
      </c>
      <c r="O58" s="23">
        <v>20260805</v>
      </c>
      <c r="P58" s="31">
        <v>202608050000013</v>
      </c>
      <c r="Q58" s="24">
        <v>500</v>
      </c>
      <c r="R58" s="25"/>
      <c r="S58" s="24" t="s">
        <v>167</v>
      </c>
      <c r="T58" s="24" t="s">
        <v>239</v>
      </c>
      <c r="U58" s="24">
        <v>526.08799999999997</v>
      </c>
    </row>
    <row r="59" spans="1:21" ht="16.5" hidden="1" customHeight="1" thickBot="1">
      <c r="A59" s="92" t="s">
        <v>162</v>
      </c>
      <c r="B59" s="93">
        <v>46239</v>
      </c>
      <c r="C59" s="92" t="s">
        <v>253</v>
      </c>
      <c r="D59" s="92" t="s">
        <v>254</v>
      </c>
      <c r="E59" s="92"/>
      <c r="F59" s="92" t="s">
        <v>165</v>
      </c>
      <c r="G59" s="88">
        <v>2915</v>
      </c>
      <c r="H59" s="88"/>
      <c r="I59" s="88">
        <v>2915</v>
      </c>
      <c r="J59" s="88">
        <v>0</v>
      </c>
      <c r="K59" s="88"/>
      <c r="L59" s="92"/>
      <c r="M59" s="92" t="s">
        <v>166</v>
      </c>
      <c r="N59"/>
      <c r="O59" s="26">
        <v>20260805</v>
      </c>
      <c r="P59" s="32">
        <v>202608050000014</v>
      </c>
      <c r="Q59" s="27">
        <v>2915</v>
      </c>
      <c r="R59" s="28"/>
      <c r="S59" s="27" t="s">
        <v>167</v>
      </c>
      <c r="T59" s="27" t="s">
        <v>255</v>
      </c>
      <c r="U59" s="27">
        <v>529.00300000000004</v>
      </c>
    </row>
    <row r="60" spans="1:21" ht="16.5" hidden="1" customHeight="1" thickBot="1">
      <c r="A60" s="92" t="s">
        <v>162</v>
      </c>
      <c r="B60" s="93">
        <v>46239</v>
      </c>
      <c r="C60" s="92" t="s">
        <v>1139</v>
      </c>
      <c r="D60" s="92" t="s">
        <v>466</v>
      </c>
      <c r="E60" s="92"/>
      <c r="F60" s="92" t="s">
        <v>165</v>
      </c>
      <c r="G60" s="88">
        <v>2915</v>
      </c>
      <c r="H60" s="88"/>
      <c r="I60" s="88">
        <v>2915</v>
      </c>
      <c r="J60" s="88">
        <v>0</v>
      </c>
      <c r="K60" s="88"/>
      <c r="L60" s="92"/>
      <c r="M60" s="92" t="s">
        <v>166</v>
      </c>
      <c r="N60"/>
      <c r="O60" s="23">
        <v>20260805</v>
      </c>
      <c r="P60" s="31">
        <v>202608050000015</v>
      </c>
      <c r="Q60" s="24">
        <v>2915</v>
      </c>
      <c r="R60" s="25"/>
      <c r="S60" s="24" t="s">
        <v>167</v>
      </c>
      <c r="T60" s="24" t="s">
        <v>2198</v>
      </c>
      <c r="U60" s="24">
        <v>531.91800000000001</v>
      </c>
    </row>
    <row r="61" spans="1:21" ht="16.5" hidden="1" customHeight="1" thickBot="1">
      <c r="A61" s="92" t="s">
        <v>162</v>
      </c>
      <c r="B61" s="93">
        <v>46239</v>
      </c>
      <c r="C61" s="92" t="s">
        <v>247</v>
      </c>
      <c r="D61" s="92" t="s">
        <v>248</v>
      </c>
      <c r="E61" s="92"/>
      <c r="F61" s="92" t="s">
        <v>165</v>
      </c>
      <c r="G61" s="88">
        <v>5830</v>
      </c>
      <c r="H61" s="88"/>
      <c r="I61" s="88">
        <v>5830</v>
      </c>
      <c r="J61" s="88">
        <v>0</v>
      </c>
      <c r="K61" s="88"/>
      <c r="L61" s="92"/>
      <c r="M61" s="92" t="s">
        <v>166</v>
      </c>
      <c r="N61"/>
      <c r="O61" s="26">
        <v>20260805</v>
      </c>
      <c r="P61" s="32">
        <v>202608050000016</v>
      </c>
      <c r="Q61" s="27">
        <v>5830</v>
      </c>
      <c r="R61" s="28"/>
      <c r="S61" s="27" t="s">
        <v>167</v>
      </c>
      <c r="T61" s="27" t="s">
        <v>249</v>
      </c>
      <c r="U61" s="27">
        <v>537.74800000000005</v>
      </c>
    </row>
    <row r="62" spans="1:21" ht="16.5" hidden="1" customHeight="1" thickBot="1">
      <c r="A62" s="92" t="s">
        <v>162</v>
      </c>
      <c r="B62" s="93">
        <v>46239</v>
      </c>
      <c r="C62" s="92" t="s">
        <v>250</v>
      </c>
      <c r="D62" s="92" t="s">
        <v>251</v>
      </c>
      <c r="E62" s="92"/>
      <c r="F62" s="92" t="s">
        <v>165</v>
      </c>
      <c r="G62" s="88">
        <v>2475</v>
      </c>
      <c r="H62" s="88"/>
      <c r="I62" s="88">
        <v>2475</v>
      </c>
      <c r="J62" s="88">
        <v>0</v>
      </c>
      <c r="K62" s="88"/>
      <c r="L62" s="92"/>
      <c r="M62" s="92" t="s">
        <v>166</v>
      </c>
      <c r="N62"/>
      <c r="O62" s="23">
        <v>20260805</v>
      </c>
      <c r="P62" s="31">
        <v>202608050000017</v>
      </c>
      <c r="Q62" s="24">
        <v>2475</v>
      </c>
      <c r="R62" s="25"/>
      <c r="S62" s="24" t="s">
        <v>167</v>
      </c>
      <c r="T62" s="24" t="s">
        <v>193</v>
      </c>
      <c r="U62" s="24">
        <v>540.22299999999996</v>
      </c>
    </row>
    <row r="63" spans="1:21" ht="16.5" hidden="1" customHeight="1" thickBot="1">
      <c r="A63" s="92" t="s">
        <v>162</v>
      </c>
      <c r="B63" s="93">
        <v>46239</v>
      </c>
      <c r="C63" s="92" t="s">
        <v>211</v>
      </c>
      <c r="D63" s="92" t="s">
        <v>212</v>
      </c>
      <c r="E63" s="92"/>
      <c r="F63" s="92" t="s">
        <v>165</v>
      </c>
      <c r="G63" s="88">
        <v>2915</v>
      </c>
      <c r="H63" s="88"/>
      <c r="I63" s="88">
        <v>2915</v>
      </c>
      <c r="J63" s="88">
        <v>0</v>
      </c>
      <c r="K63" s="88"/>
      <c r="L63" s="92"/>
      <c r="M63" s="92" t="s">
        <v>166</v>
      </c>
      <c r="N63"/>
      <c r="O63" s="26">
        <v>20260805</v>
      </c>
      <c r="P63" s="32">
        <v>202608050000018</v>
      </c>
      <c r="Q63" s="27">
        <v>2915</v>
      </c>
      <c r="R63" s="28"/>
      <c r="S63" s="27" t="s">
        <v>167</v>
      </c>
      <c r="T63" s="27" t="s">
        <v>213</v>
      </c>
      <c r="U63" s="27">
        <v>543.13800000000003</v>
      </c>
    </row>
    <row r="64" spans="1:21" ht="16.5" hidden="1" customHeight="1" thickBot="1">
      <c r="A64" s="92" t="s">
        <v>162</v>
      </c>
      <c r="B64" s="93">
        <v>46239</v>
      </c>
      <c r="C64" s="92" t="s">
        <v>2871</v>
      </c>
      <c r="D64" s="92" t="s">
        <v>2872</v>
      </c>
      <c r="E64" s="92"/>
      <c r="F64" s="92" t="s">
        <v>165</v>
      </c>
      <c r="G64" s="88">
        <v>5600</v>
      </c>
      <c r="H64" s="88"/>
      <c r="I64" s="88">
        <v>5600</v>
      </c>
      <c r="J64" s="88">
        <v>0</v>
      </c>
      <c r="K64" s="88"/>
      <c r="L64" s="92"/>
      <c r="M64" s="92" t="s">
        <v>166</v>
      </c>
      <c r="O64" s="20">
        <v>20260805</v>
      </c>
      <c r="P64" s="30">
        <v>202608050000019</v>
      </c>
      <c r="Q64" s="21">
        <v>5600</v>
      </c>
      <c r="R64" s="22"/>
      <c r="S64" s="21" t="s">
        <v>184</v>
      </c>
      <c r="T64" s="21" t="s">
        <v>2199</v>
      </c>
      <c r="U64" s="21">
        <v>548.73800000000006</v>
      </c>
    </row>
    <row r="65" spans="1:21" ht="16.5" hidden="1" customHeight="1" thickBot="1">
      <c r="A65" s="92" t="s">
        <v>162</v>
      </c>
      <c r="B65" s="93">
        <v>46239</v>
      </c>
      <c r="C65" s="92" t="s">
        <v>244</v>
      </c>
      <c r="D65" s="92" t="s">
        <v>245</v>
      </c>
      <c r="E65" s="92"/>
      <c r="F65" s="92" t="s">
        <v>165</v>
      </c>
      <c r="G65" s="88">
        <v>2475</v>
      </c>
      <c r="H65" s="88"/>
      <c r="I65" s="88">
        <v>2475</v>
      </c>
      <c r="J65" s="88">
        <v>0</v>
      </c>
      <c r="K65" s="88"/>
      <c r="L65" s="92"/>
      <c r="M65" s="92" t="s">
        <v>166</v>
      </c>
      <c r="N65"/>
      <c r="O65" s="26">
        <v>20260805</v>
      </c>
      <c r="P65" s="32">
        <v>202608050000020</v>
      </c>
      <c r="Q65" s="27">
        <v>2475</v>
      </c>
      <c r="R65" s="28"/>
      <c r="S65" s="27" t="s">
        <v>167</v>
      </c>
      <c r="T65" s="27" t="s">
        <v>246</v>
      </c>
      <c r="U65" s="27">
        <v>551.21299999999997</v>
      </c>
    </row>
    <row r="66" spans="1:21" ht="16.5" hidden="1" customHeight="1" thickBot="1">
      <c r="A66" s="92" t="s">
        <v>162</v>
      </c>
      <c r="B66" s="93">
        <v>46239</v>
      </c>
      <c r="C66" s="92" t="s">
        <v>256</v>
      </c>
      <c r="D66" s="92" t="s">
        <v>257</v>
      </c>
      <c r="E66" s="92"/>
      <c r="F66" s="92" t="s">
        <v>165</v>
      </c>
      <c r="G66" s="88">
        <v>2915</v>
      </c>
      <c r="H66" s="88"/>
      <c r="I66" s="88">
        <v>2915</v>
      </c>
      <c r="J66" s="88">
        <v>0</v>
      </c>
      <c r="K66" s="88"/>
      <c r="L66" s="92"/>
      <c r="M66" s="92" t="s">
        <v>166</v>
      </c>
      <c r="N66"/>
      <c r="O66" s="23">
        <v>20260805</v>
      </c>
      <c r="P66" s="31">
        <v>202608050000021</v>
      </c>
      <c r="Q66" s="24">
        <v>2915</v>
      </c>
      <c r="R66" s="25"/>
      <c r="S66" s="24" t="s">
        <v>167</v>
      </c>
      <c r="T66" s="24" t="s">
        <v>258</v>
      </c>
      <c r="U66" s="24">
        <v>554.12800000000004</v>
      </c>
    </row>
    <row r="67" spans="1:21" ht="16.5" customHeight="1" thickBot="1">
      <c r="A67" s="92" t="s">
        <v>176</v>
      </c>
      <c r="B67" s="93">
        <v>46239</v>
      </c>
      <c r="C67" s="92" t="s">
        <v>1000</v>
      </c>
      <c r="D67" s="92" t="s">
        <v>1001</v>
      </c>
      <c r="E67" s="92"/>
      <c r="F67" s="92" t="s">
        <v>179</v>
      </c>
      <c r="G67" s="88">
        <v>14000</v>
      </c>
      <c r="H67" s="88">
        <v>14000</v>
      </c>
      <c r="I67" s="88">
        <v>0</v>
      </c>
      <c r="J67" s="88">
        <v>0</v>
      </c>
      <c r="K67" s="88"/>
      <c r="L67" s="92"/>
      <c r="M67" s="92" t="s">
        <v>175</v>
      </c>
      <c r="N67" t="s">
        <v>4199</v>
      </c>
      <c r="O67" s="26">
        <v>20260805</v>
      </c>
      <c r="P67" s="32">
        <v>202608050000022</v>
      </c>
      <c r="Q67" s="27">
        <v>14000</v>
      </c>
      <c r="R67" s="28"/>
      <c r="S67" s="27" t="s">
        <v>167</v>
      </c>
      <c r="T67" s="27" t="s">
        <v>208</v>
      </c>
      <c r="U67" s="27">
        <v>568.12800000000004</v>
      </c>
    </row>
    <row r="68" spans="1:21" ht="16.5" hidden="1" customHeight="1" thickBot="1">
      <c r="A68" s="92" t="s">
        <v>162</v>
      </c>
      <c r="B68" s="93">
        <v>46240</v>
      </c>
      <c r="C68" s="92" t="s">
        <v>270</v>
      </c>
      <c r="D68" s="92" t="s">
        <v>271</v>
      </c>
      <c r="E68" s="92"/>
      <c r="F68" s="92" t="s">
        <v>165</v>
      </c>
      <c r="G68" s="88">
        <v>2915</v>
      </c>
      <c r="H68" s="88"/>
      <c r="I68" s="88">
        <v>2915</v>
      </c>
      <c r="J68" s="88">
        <v>0</v>
      </c>
      <c r="K68" s="88"/>
      <c r="L68" s="92"/>
      <c r="M68" s="92" t="s">
        <v>166</v>
      </c>
      <c r="N68"/>
      <c r="O68" s="23">
        <v>20260806</v>
      </c>
      <c r="P68" s="31">
        <v>202608060000001</v>
      </c>
      <c r="Q68" s="24">
        <v>2915</v>
      </c>
      <c r="R68" s="25"/>
      <c r="S68" s="24" t="s">
        <v>167</v>
      </c>
      <c r="T68" s="24" t="s">
        <v>269</v>
      </c>
      <c r="U68" s="24">
        <v>571.04300000000001</v>
      </c>
    </row>
    <row r="69" spans="1:21" ht="16.5" hidden="1" customHeight="1" thickBot="1">
      <c r="A69" s="92" t="s">
        <v>162</v>
      </c>
      <c r="B69" s="93">
        <v>46240</v>
      </c>
      <c r="C69" s="92" t="s">
        <v>287</v>
      </c>
      <c r="D69" s="92" t="s">
        <v>288</v>
      </c>
      <c r="E69" s="92"/>
      <c r="F69" s="92" t="s">
        <v>165</v>
      </c>
      <c r="G69" s="88">
        <v>2475</v>
      </c>
      <c r="H69" s="88"/>
      <c r="I69" s="88">
        <v>2475</v>
      </c>
      <c r="J69" s="88">
        <v>0</v>
      </c>
      <c r="K69" s="88"/>
      <c r="L69" s="92"/>
      <c r="M69" s="92" t="s">
        <v>166</v>
      </c>
      <c r="N69"/>
      <c r="O69" s="26">
        <v>20260806</v>
      </c>
      <c r="P69" s="32">
        <v>202608060000002</v>
      </c>
      <c r="Q69" s="27">
        <v>2475</v>
      </c>
      <c r="R69" s="28"/>
      <c r="S69" s="27" t="s">
        <v>167</v>
      </c>
      <c r="T69" s="27" t="s">
        <v>208</v>
      </c>
      <c r="U69" s="27">
        <v>573.51800000000003</v>
      </c>
    </row>
    <row r="70" spans="1:21" ht="16.5" customHeight="1" thickBot="1">
      <c r="A70" s="92" t="s">
        <v>180</v>
      </c>
      <c r="B70" s="93">
        <v>46240</v>
      </c>
      <c r="C70" s="92" t="s">
        <v>2873</v>
      </c>
      <c r="D70" s="92" t="s">
        <v>2874</v>
      </c>
      <c r="E70" s="92"/>
      <c r="F70" s="92" t="s">
        <v>179</v>
      </c>
      <c r="G70" s="88">
        <v>493</v>
      </c>
      <c r="H70" s="88"/>
      <c r="I70" s="88">
        <v>493</v>
      </c>
      <c r="J70" s="88">
        <v>0</v>
      </c>
      <c r="K70" s="88"/>
      <c r="L70" s="92"/>
      <c r="M70" s="92" t="s">
        <v>175</v>
      </c>
      <c r="N70" t="s">
        <v>4134</v>
      </c>
      <c r="O70" s="23">
        <v>20260806</v>
      </c>
      <c r="P70" s="31">
        <v>202608060000003</v>
      </c>
      <c r="Q70" s="24">
        <v>493</v>
      </c>
      <c r="R70" s="25"/>
      <c r="S70" s="24" t="s">
        <v>167</v>
      </c>
      <c r="T70" s="24" t="s">
        <v>2200</v>
      </c>
      <c r="U70" s="24">
        <v>574.01099999999997</v>
      </c>
    </row>
    <row r="71" spans="1:21" ht="16.5" customHeight="1" thickBot="1">
      <c r="A71" s="92" t="s">
        <v>180</v>
      </c>
      <c r="B71" s="93">
        <v>46240</v>
      </c>
      <c r="C71" s="92" t="s">
        <v>2875</v>
      </c>
      <c r="D71" s="92" t="s">
        <v>2876</v>
      </c>
      <c r="E71" s="92"/>
      <c r="F71" s="92" t="s">
        <v>179</v>
      </c>
      <c r="G71" s="88">
        <v>3292</v>
      </c>
      <c r="H71" s="88">
        <v>3000</v>
      </c>
      <c r="I71" s="88">
        <v>292</v>
      </c>
      <c r="J71" s="88">
        <v>0</v>
      </c>
      <c r="K71" s="88"/>
      <c r="L71" s="92"/>
      <c r="M71" s="92" t="s">
        <v>175</v>
      </c>
      <c r="N71" t="s">
        <v>4141</v>
      </c>
      <c r="O71" s="26">
        <v>20260806</v>
      </c>
      <c r="P71" s="32">
        <v>202608060000004</v>
      </c>
      <c r="Q71" s="27">
        <v>3292</v>
      </c>
      <c r="R71" s="28"/>
      <c r="S71" s="27" t="s">
        <v>167</v>
      </c>
      <c r="T71" s="27" t="s">
        <v>2201</v>
      </c>
      <c r="U71" s="27">
        <v>577.303</v>
      </c>
    </row>
    <row r="72" spans="1:21" ht="16.5" customHeight="1" thickBot="1">
      <c r="A72" s="92" t="s">
        <v>172</v>
      </c>
      <c r="B72" s="93">
        <v>46240</v>
      </c>
      <c r="C72" s="92" t="s">
        <v>2817</v>
      </c>
      <c r="D72" s="92" t="s">
        <v>2818</v>
      </c>
      <c r="E72" s="92"/>
      <c r="F72" s="92" t="s">
        <v>179</v>
      </c>
      <c r="G72" s="88">
        <v>3797</v>
      </c>
      <c r="H72" s="88">
        <v>3797</v>
      </c>
      <c r="I72" s="88">
        <v>0</v>
      </c>
      <c r="J72" s="88">
        <v>0</v>
      </c>
      <c r="K72" s="88"/>
      <c r="L72" s="92"/>
      <c r="M72" s="92" t="s">
        <v>175</v>
      </c>
      <c r="N72" t="s">
        <v>4149</v>
      </c>
      <c r="O72" s="23">
        <v>20260806</v>
      </c>
      <c r="P72" s="31">
        <v>202608060000005</v>
      </c>
      <c r="Q72" s="24">
        <v>3797</v>
      </c>
      <c r="R72" s="25"/>
      <c r="S72" s="24" t="s">
        <v>167</v>
      </c>
      <c r="T72" s="24" t="s">
        <v>2202</v>
      </c>
      <c r="U72" s="24">
        <v>581.1</v>
      </c>
    </row>
    <row r="73" spans="1:21" ht="16.5" hidden="1" customHeight="1" thickBot="1">
      <c r="A73" s="92" t="s">
        <v>172</v>
      </c>
      <c r="B73" s="93">
        <v>46240</v>
      </c>
      <c r="C73" s="92" t="s">
        <v>2877</v>
      </c>
      <c r="D73" s="92" t="s">
        <v>2878</v>
      </c>
      <c r="E73" s="92"/>
      <c r="F73" s="92" t="s">
        <v>165</v>
      </c>
      <c r="G73" s="88">
        <v>5252</v>
      </c>
      <c r="H73" s="88">
        <v>3000</v>
      </c>
      <c r="I73" s="88">
        <v>2252</v>
      </c>
      <c r="J73" s="88">
        <v>0</v>
      </c>
      <c r="K73" s="88"/>
      <c r="L73" s="92"/>
      <c r="M73" s="92" t="s">
        <v>175</v>
      </c>
      <c r="N73"/>
      <c r="O73" s="26">
        <v>20260806</v>
      </c>
      <c r="P73" s="32">
        <v>202608060000006</v>
      </c>
      <c r="Q73" s="27">
        <v>5252</v>
      </c>
      <c r="R73" s="28"/>
      <c r="S73" s="27" t="s">
        <v>167</v>
      </c>
      <c r="T73" s="27" t="s">
        <v>2203</v>
      </c>
      <c r="U73" s="27">
        <v>586.35199999999998</v>
      </c>
    </row>
    <row r="74" spans="1:21" ht="16.5" hidden="1" customHeight="1" thickBot="1">
      <c r="A74" s="92" t="s">
        <v>172</v>
      </c>
      <c r="B74" s="93">
        <v>46240</v>
      </c>
      <c r="C74" s="92" t="s">
        <v>2879</v>
      </c>
      <c r="D74" s="92" t="s">
        <v>2880</v>
      </c>
      <c r="E74" s="92"/>
      <c r="F74" s="92" t="s">
        <v>165</v>
      </c>
      <c r="G74" s="88">
        <v>5985</v>
      </c>
      <c r="H74" s="88">
        <v>3000</v>
      </c>
      <c r="I74" s="88">
        <v>2985</v>
      </c>
      <c r="J74" s="88">
        <v>0</v>
      </c>
      <c r="K74" s="88"/>
      <c r="L74" s="92"/>
      <c r="M74" s="92" t="s">
        <v>175</v>
      </c>
      <c r="N74"/>
      <c r="O74" s="23">
        <v>20260806</v>
      </c>
      <c r="P74" s="31">
        <v>202608060000007</v>
      </c>
      <c r="Q74" s="24">
        <v>5985</v>
      </c>
      <c r="R74" s="25"/>
      <c r="S74" s="24" t="s">
        <v>167</v>
      </c>
      <c r="T74" s="24" t="s">
        <v>2204</v>
      </c>
      <c r="U74" s="24">
        <v>592.33699999999999</v>
      </c>
    </row>
    <row r="75" spans="1:21" ht="16.5" customHeight="1" thickBot="1">
      <c r="A75" s="92" t="s">
        <v>180</v>
      </c>
      <c r="B75" s="93">
        <v>46240</v>
      </c>
      <c r="C75" s="92" t="s">
        <v>2881</v>
      </c>
      <c r="D75" s="92" t="s">
        <v>2882</v>
      </c>
      <c r="E75" s="92"/>
      <c r="F75" s="92" t="s">
        <v>179</v>
      </c>
      <c r="G75" s="88">
        <v>3292</v>
      </c>
      <c r="H75" s="88">
        <v>3000</v>
      </c>
      <c r="I75" s="88">
        <v>292</v>
      </c>
      <c r="J75" s="88">
        <v>0</v>
      </c>
      <c r="K75" s="88"/>
      <c r="L75" s="92"/>
      <c r="M75" s="92" t="s">
        <v>175</v>
      </c>
      <c r="N75" t="s">
        <v>4147</v>
      </c>
      <c r="O75" s="26">
        <v>20260806</v>
      </c>
      <c r="P75" s="32">
        <v>202608060000008</v>
      </c>
      <c r="Q75" s="27">
        <v>3292</v>
      </c>
      <c r="R75" s="28"/>
      <c r="S75" s="27" t="s">
        <v>167</v>
      </c>
      <c r="T75" s="27" t="s">
        <v>2205</v>
      </c>
      <c r="U75" s="27">
        <v>595.62900000000002</v>
      </c>
    </row>
    <row r="76" spans="1:21" ht="16.5" hidden="1" customHeight="1" thickBot="1">
      <c r="A76" s="92" t="s">
        <v>172</v>
      </c>
      <c r="B76" s="93">
        <v>46240</v>
      </c>
      <c r="C76" s="92" t="s">
        <v>2883</v>
      </c>
      <c r="D76" s="92" t="s">
        <v>2884</v>
      </c>
      <c r="E76" s="92"/>
      <c r="F76" s="92" t="s">
        <v>165</v>
      </c>
      <c r="G76" s="88">
        <v>6597</v>
      </c>
      <c r="H76" s="88">
        <v>4000</v>
      </c>
      <c r="I76" s="88">
        <v>2597</v>
      </c>
      <c r="J76" s="88">
        <v>0</v>
      </c>
      <c r="K76" s="88"/>
      <c r="L76" s="92"/>
      <c r="M76" s="92" t="s">
        <v>175</v>
      </c>
      <c r="N76"/>
      <c r="O76" s="23">
        <v>20260806</v>
      </c>
      <c r="P76" s="31">
        <v>202608060000009</v>
      </c>
      <c r="Q76" s="24">
        <v>6597</v>
      </c>
      <c r="R76" s="25"/>
      <c r="S76" s="24" t="s">
        <v>167</v>
      </c>
      <c r="T76" s="24" t="s">
        <v>2206</v>
      </c>
      <c r="U76" s="24">
        <v>602.226</v>
      </c>
    </row>
    <row r="77" spans="1:21" ht="16.5" customHeight="1" thickBot="1">
      <c r="A77" s="92" t="s">
        <v>180</v>
      </c>
      <c r="B77" s="93">
        <v>46240</v>
      </c>
      <c r="C77" s="92" t="s">
        <v>2089</v>
      </c>
      <c r="D77" s="92" t="s">
        <v>2090</v>
      </c>
      <c r="E77" s="92"/>
      <c r="F77" s="92" t="s">
        <v>179</v>
      </c>
      <c r="G77" s="88">
        <v>3297</v>
      </c>
      <c r="H77" s="88">
        <v>3297</v>
      </c>
      <c r="I77" s="88">
        <v>0</v>
      </c>
      <c r="J77" s="88">
        <v>0</v>
      </c>
      <c r="K77" s="88"/>
      <c r="L77" s="92"/>
      <c r="M77" s="92" t="s">
        <v>175</v>
      </c>
      <c r="N77" t="s">
        <v>4146</v>
      </c>
      <c r="O77" s="26">
        <v>20260806</v>
      </c>
      <c r="P77" s="32">
        <v>202608060000010</v>
      </c>
      <c r="Q77" s="27">
        <v>3297</v>
      </c>
      <c r="R77" s="28"/>
      <c r="S77" s="27" t="s">
        <v>167</v>
      </c>
      <c r="T77" s="27" t="s">
        <v>2207</v>
      </c>
      <c r="U77" s="27">
        <v>605.52300000000002</v>
      </c>
    </row>
    <row r="78" spans="1:21" ht="16.5" hidden="1" customHeight="1" thickBot="1">
      <c r="A78" s="92" t="s">
        <v>172</v>
      </c>
      <c r="B78" s="93">
        <v>46240</v>
      </c>
      <c r="C78" s="92" t="s">
        <v>2885</v>
      </c>
      <c r="D78" s="92" t="s">
        <v>2886</v>
      </c>
      <c r="E78" s="92"/>
      <c r="F78" s="92" t="s">
        <v>165</v>
      </c>
      <c r="G78" s="88">
        <v>7092</v>
      </c>
      <c r="H78" s="88">
        <v>4000</v>
      </c>
      <c r="I78" s="88">
        <v>3092</v>
      </c>
      <c r="J78" s="88">
        <v>0</v>
      </c>
      <c r="K78" s="88"/>
      <c r="L78" s="92"/>
      <c r="M78" s="92" t="s">
        <v>175</v>
      </c>
      <c r="N78"/>
      <c r="O78" s="23">
        <v>20260806</v>
      </c>
      <c r="P78" s="31">
        <v>202608060000011</v>
      </c>
      <c r="Q78" s="24">
        <v>7092</v>
      </c>
      <c r="R78" s="25"/>
      <c r="S78" s="24" t="s">
        <v>167</v>
      </c>
      <c r="T78" s="24" t="s">
        <v>2208</v>
      </c>
      <c r="U78" s="24">
        <v>612.61500000000001</v>
      </c>
    </row>
    <row r="79" spans="1:21" ht="16.5" customHeight="1" thickBot="1">
      <c r="A79" s="92" t="s">
        <v>180</v>
      </c>
      <c r="B79" s="93">
        <v>46240</v>
      </c>
      <c r="C79" s="92" t="s">
        <v>2819</v>
      </c>
      <c r="D79" s="92" t="s">
        <v>2820</v>
      </c>
      <c r="E79" s="92"/>
      <c r="F79" s="92" t="s">
        <v>179</v>
      </c>
      <c r="G79" s="88">
        <v>3297</v>
      </c>
      <c r="H79" s="88">
        <v>3297</v>
      </c>
      <c r="I79" s="88">
        <v>0</v>
      </c>
      <c r="J79" s="88">
        <v>0</v>
      </c>
      <c r="K79" s="88"/>
      <c r="L79" s="92"/>
      <c r="M79" s="92" t="s">
        <v>175</v>
      </c>
      <c r="N79" t="s">
        <v>4103</v>
      </c>
      <c r="O79" s="26">
        <v>20260806</v>
      </c>
      <c r="P79" s="32">
        <v>202608060000012</v>
      </c>
      <c r="Q79" s="27">
        <v>3297</v>
      </c>
      <c r="R79" s="28"/>
      <c r="S79" s="27" t="s">
        <v>167</v>
      </c>
      <c r="T79" s="27" t="s">
        <v>2209</v>
      </c>
      <c r="U79" s="27">
        <v>615.91200000000003</v>
      </c>
    </row>
    <row r="80" spans="1:21" ht="16.5" hidden="1" customHeight="1" thickBot="1">
      <c r="A80" s="92" t="s">
        <v>180</v>
      </c>
      <c r="B80" s="93">
        <v>46240</v>
      </c>
      <c r="C80" s="92" t="s">
        <v>2843</v>
      </c>
      <c r="D80" s="92" t="s">
        <v>2844</v>
      </c>
      <c r="E80" s="92"/>
      <c r="F80" s="92" t="s">
        <v>165</v>
      </c>
      <c r="G80" s="88">
        <v>6597</v>
      </c>
      <c r="H80" s="88">
        <v>4000</v>
      </c>
      <c r="I80" s="88">
        <v>2597</v>
      </c>
      <c r="J80" s="88">
        <v>0</v>
      </c>
      <c r="K80" s="88"/>
      <c r="L80" s="92"/>
      <c r="M80" s="92" t="s">
        <v>175</v>
      </c>
      <c r="N80"/>
      <c r="O80" s="23">
        <v>20260806</v>
      </c>
      <c r="P80" s="31">
        <v>202608060000013</v>
      </c>
      <c r="Q80" s="24">
        <v>6597</v>
      </c>
      <c r="R80" s="25"/>
      <c r="S80" s="24" t="s">
        <v>167</v>
      </c>
      <c r="T80" s="24" t="s">
        <v>2210</v>
      </c>
      <c r="U80" s="24">
        <v>622.50900000000001</v>
      </c>
    </row>
    <row r="81" spans="1:21" ht="16.5" hidden="1" customHeight="1" thickBot="1">
      <c r="A81" s="92" t="s">
        <v>180</v>
      </c>
      <c r="B81" s="93">
        <v>46240</v>
      </c>
      <c r="C81" s="92" t="s">
        <v>2103</v>
      </c>
      <c r="D81" s="92" t="s">
        <v>2104</v>
      </c>
      <c r="E81" s="92"/>
      <c r="F81" s="92" t="s">
        <v>165</v>
      </c>
      <c r="G81" s="88">
        <v>7797</v>
      </c>
      <c r="H81" s="88">
        <v>4000</v>
      </c>
      <c r="I81" s="88">
        <v>3797</v>
      </c>
      <c r="J81" s="88">
        <v>0</v>
      </c>
      <c r="K81" s="88"/>
      <c r="L81" s="92"/>
      <c r="M81" s="92" t="s">
        <v>175</v>
      </c>
      <c r="N81"/>
      <c r="O81" s="26">
        <v>20260806</v>
      </c>
      <c r="P81" s="32">
        <v>202608060000014</v>
      </c>
      <c r="Q81" s="27">
        <v>7797</v>
      </c>
      <c r="R81" s="28"/>
      <c r="S81" s="27" t="s">
        <v>167</v>
      </c>
      <c r="T81" s="27" t="s">
        <v>2211</v>
      </c>
      <c r="U81" s="27">
        <v>630.30600000000004</v>
      </c>
    </row>
    <row r="82" spans="1:21" ht="16.5" customHeight="1" thickBot="1">
      <c r="A82" s="92" t="s">
        <v>172</v>
      </c>
      <c r="B82" s="93">
        <v>46240</v>
      </c>
      <c r="C82" s="92" t="s">
        <v>2887</v>
      </c>
      <c r="D82" s="92" t="s">
        <v>2888</v>
      </c>
      <c r="E82" s="92"/>
      <c r="F82" s="92" t="s">
        <v>179</v>
      </c>
      <c r="G82" s="88">
        <v>4000</v>
      </c>
      <c r="H82" s="88">
        <v>4000</v>
      </c>
      <c r="I82" s="88">
        <v>0</v>
      </c>
      <c r="J82" s="88">
        <v>0</v>
      </c>
      <c r="K82" s="88"/>
      <c r="L82" s="92"/>
      <c r="M82" s="92" t="s">
        <v>175</v>
      </c>
      <c r="N82" t="s">
        <v>4127</v>
      </c>
      <c r="O82" s="20">
        <v>20260806</v>
      </c>
      <c r="P82" s="30">
        <v>202608060000015</v>
      </c>
      <c r="Q82" s="21">
        <v>4000</v>
      </c>
      <c r="R82" s="22"/>
      <c r="S82" s="21" t="s">
        <v>167</v>
      </c>
      <c r="T82" s="21" t="s">
        <v>566</v>
      </c>
      <c r="U82" s="21">
        <v>634.30600000000004</v>
      </c>
    </row>
    <row r="83" spans="1:21" ht="16.5" hidden="1" customHeight="1" thickBot="1">
      <c r="A83" s="92" t="s">
        <v>172</v>
      </c>
      <c r="B83" s="93">
        <v>46240</v>
      </c>
      <c r="C83" s="92" t="s">
        <v>2889</v>
      </c>
      <c r="D83" s="92" t="s">
        <v>2890</v>
      </c>
      <c r="E83" s="92"/>
      <c r="F83" s="92" t="s">
        <v>165</v>
      </c>
      <c r="G83" s="88">
        <v>5695</v>
      </c>
      <c r="H83" s="88">
        <v>3000</v>
      </c>
      <c r="I83" s="88">
        <v>2695</v>
      </c>
      <c r="J83" s="88">
        <v>0</v>
      </c>
      <c r="K83" s="88"/>
      <c r="L83" s="92"/>
      <c r="M83" s="92" t="s">
        <v>175</v>
      </c>
      <c r="N83"/>
      <c r="O83" s="26">
        <v>20260806</v>
      </c>
      <c r="P83" s="32">
        <v>202608060000016</v>
      </c>
      <c r="Q83" s="27">
        <v>5695</v>
      </c>
      <c r="R83" s="28"/>
      <c r="S83" s="27" t="s">
        <v>167</v>
      </c>
      <c r="T83" s="27" t="s">
        <v>2212</v>
      </c>
      <c r="U83" s="27">
        <v>640.00099999999998</v>
      </c>
    </row>
    <row r="84" spans="1:21" ht="16.5" hidden="1" customHeight="1" thickBot="1">
      <c r="A84" s="92" t="s">
        <v>162</v>
      </c>
      <c r="B84" s="93">
        <v>46240</v>
      </c>
      <c r="C84" s="92" t="s">
        <v>342</v>
      </c>
      <c r="D84" s="92" t="s">
        <v>343</v>
      </c>
      <c r="E84" s="92"/>
      <c r="F84" s="92" t="s">
        <v>165</v>
      </c>
      <c r="G84" s="88">
        <v>2475</v>
      </c>
      <c r="H84" s="88"/>
      <c r="I84" s="88">
        <v>2475</v>
      </c>
      <c r="J84" s="88">
        <v>0</v>
      </c>
      <c r="K84" s="88"/>
      <c r="L84" s="92"/>
      <c r="M84" s="92" t="s">
        <v>166</v>
      </c>
      <c r="O84" s="23">
        <v>20260806</v>
      </c>
      <c r="P84" s="31">
        <v>202608060000017</v>
      </c>
      <c r="Q84" s="24">
        <v>2475</v>
      </c>
      <c r="R84" s="25"/>
      <c r="S84" s="24" t="s">
        <v>167</v>
      </c>
      <c r="T84" s="24" t="s">
        <v>344</v>
      </c>
      <c r="U84" s="24">
        <v>642.476</v>
      </c>
    </row>
    <row r="85" spans="1:21" ht="16.5" hidden="1" customHeight="1" thickBot="1">
      <c r="A85" s="92" t="s">
        <v>162</v>
      </c>
      <c r="B85" s="93">
        <v>46240</v>
      </c>
      <c r="C85" s="92" t="s">
        <v>326</v>
      </c>
      <c r="D85" s="92" t="s">
        <v>327</v>
      </c>
      <c r="E85" s="92"/>
      <c r="F85" s="92" t="s">
        <v>165</v>
      </c>
      <c r="G85" s="88">
        <v>2915</v>
      </c>
      <c r="H85" s="88"/>
      <c r="I85" s="88">
        <v>2915</v>
      </c>
      <c r="J85" s="88">
        <v>0</v>
      </c>
      <c r="K85" s="88"/>
      <c r="L85" s="92"/>
      <c r="M85" s="92" t="s">
        <v>166</v>
      </c>
      <c r="N85"/>
      <c r="O85" s="26">
        <v>20260806</v>
      </c>
      <c r="P85" s="32">
        <v>202608060000018</v>
      </c>
      <c r="Q85" s="27">
        <v>2915</v>
      </c>
      <c r="R85" s="28"/>
      <c r="S85" s="27" t="s">
        <v>167</v>
      </c>
      <c r="T85" s="27" t="s">
        <v>208</v>
      </c>
      <c r="U85" s="27">
        <v>645.39099999999996</v>
      </c>
    </row>
    <row r="86" spans="1:21" ht="16.5" hidden="1" customHeight="1" thickBot="1">
      <c r="A86" s="92" t="s">
        <v>162</v>
      </c>
      <c r="B86" s="93">
        <v>46240</v>
      </c>
      <c r="C86" s="92" t="s">
        <v>298</v>
      </c>
      <c r="D86" s="92" t="s">
        <v>299</v>
      </c>
      <c r="E86" s="92"/>
      <c r="F86" s="92" t="s">
        <v>165</v>
      </c>
      <c r="G86" s="88">
        <v>2915</v>
      </c>
      <c r="H86" s="88"/>
      <c r="I86" s="88">
        <v>2915</v>
      </c>
      <c r="J86" s="88">
        <v>0</v>
      </c>
      <c r="K86" s="88"/>
      <c r="L86" s="92"/>
      <c r="M86" s="92" t="s">
        <v>166</v>
      </c>
      <c r="O86" s="23">
        <v>20260806</v>
      </c>
      <c r="P86" s="31">
        <v>202608060000019</v>
      </c>
      <c r="Q86" s="24">
        <v>2915</v>
      </c>
      <c r="R86" s="25"/>
      <c r="S86" s="24" t="s">
        <v>167</v>
      </c>
      <c r="T86" s="24" t="s">
        <v>208</v>
      </c>
      <c r="U86" s="24">
        <v>648.30600000000004</v>
      </c>
    </row>
    <row r="87" spans="1:21" ht="16.5" hidden="1" customHeight="1" thickBot="1">
      <c r="A87" s="92" t="s">
        <v>172</v>
      </c>
      <c r="B87" s="93">
        <v>46241</v>
      </c>
      <c r="C87" s="92" t="s">
        <v>2891</v>
      </c>
      <c r="D87" s="92" t="s">
        <v>2892</v>
      </c>
      <c r="E87" s="92"/>
      <c r="F87" s="92" t="s">
        <v>165</v>
      </c>
      <c r="G87" s="88">
        <v>5250</v>
      </c>
      <c r="H87" s="88">
        <v>3000</v>
      </c>
      <c r="I87" s="88">
        <v>2250</v>
      </c>
      <c r="J87" s="88">
        <v>0</v>
      </c>
      <c r="K87" s="88"/>
      <c r="L87" s="92"/>
      <c r="M87" s="92" t="s">
        <v>175</v>
      </c>
      <c r="N87"/>
      <c r="O87" s="26">
        <v>20260807</v>
      </c>
      <c r="P87" s="32">
        <v>202608070000001</v>
      </c>
      <c r="Q87" s="27">
        <v>5250</v>
      </c>
      <c r="R87" s="28"/>
      <c r="S87" s="27" t="s">
        <v>167</v>
      </c>
      <c r="T87" s="27" t="s">
        <v>2213</v>
      </c>
      <c r="U87" s="27">
        <v>653.55600000000004</v>
      </c>
    </row>
    <row r="88" spans="1:21" ht="16.5" hidden="1" customHeight="1" thickBot="1">
      <c r="A88" s="92" t="s">
        <v>176</v>
      </c>
      <c r="B88" s="93">
        <v>46241</v>
      </c>
      <c r="C88" s="92" t="s">
        <v>2893</v>
      </c>
      <c r="D88" s="92" t="s">
        <v>2894</v>
      </c>
      <c r="E88" s="92"/>
      <c r="F88" s="92" t="s">
        <v>165</v>
      </c>
      <c r="G88" s="88">
        <v>7090</v>
      </c>
      <c r="H88" s="88">
        <v>4000</v>
      </c>
      <c r="I88" s="88">
        <v>3090</v>
      </c>
      <c r="J88" s="88">
        <v>0</v>
      </c>
      <c r="K88" s="88"/>
      <c r="L88" s="92"/>
      <c r="M88" s="92" t="s">
        <v>175</v>
      </c>
      <c r="N88"/>
      <c r="O88" s="23">
        <v>20260807</v>
      </c>
      <c r="P88" s="31">
        <v>202608070000002</v>
      </c>
      <c r="Q88" s="24">
        <v>7090</v>
      </c>
      <c r="R88" s="25"/>
      <c r="S88" s="24" t="s">
        <v>167</v>
      </c>
      <c r="T88" s="24" t="s">
        <v>2214</v>
      </c>
      <c r="U88" s="24">
        <v>660.64599999999996</v>
      </c>
    </row>
    <row r="89" spans="1:21" ht="16.5" hidden="1" customHeight="1" thickBot="1">
      <c r="A89" s="92" t="s">
        <v>172</v>
      </c>
      <c r="B89" s="93">
        <v>46241</v>
      </c>
      <c r="C89" s="92" t="s">
        <v>222</v>
      </c>
      <c r="D89" s="92" t="s">
        <v>2895</v>
      </c>
      <c r="E89" s="92"/>
      <c r="F89" s="92" t="s">
        <v>165</v>
      </c>
      <c r="G89" s="88">
        <v>6597</v>
      </c>
      <c r="H89" s="88">
        <v>4000</v>
      </c>
      <c r="I89" s="88">
        <v>2597</v>
      </c>
      <c r="J89" s="88">
        <v>0</v>
      </c>
      <c r="K89" s="88"/>
      <c r="L89" s="92"/>
      <c r="M89" s="92" t="s">
        <v>175</v>
      </c>
      <c r="N89"/>
      <c r="O89" s="26">
        <v>20260807</v>
      </c>
      <c r="P89" s="32">
        <v>202608070000003</v>
      </c>
      <c r="Q89" s="27">
        <v>6597</v>
      </c>
      <c r="R89" s="28"/>
      <c r="S89" s="27" t="s">
        <v>167</v>
      </c>
      <c r="T89" s="27" t="s">
        <v>2215</v>
      </c>
      <c r="U89" s="27">
        <v>667.24300000000005</v>
      </c>
    </row>
    <row r="90" spans="1:21" ht="16.5" customHeight="1" thickBot="1">
      <c r="A90" s="92" t="s">
        <v>180</v>
      </c>
      <c r="B90" s="93">
        <v>46241</v>
      </c>
      <c r="C90" s="92" t="s">
        <v>2896</v>
      </c>
      <c r="D90" s="92" t="s">
        <v>2897</v>
      </c>
      <c r="E90" s="92"/>
      <c r="F90" s="92" t="s">
        <v>179</v>
      </c>
      <c r="G90" s="88">
        <v>3297</v>
      </c>
      <c r="H90" s="88">
        <v>3297</v>
      </c>
      <c r="I90" s="88">
        <v>0</v>
      </c>
      <c r="J90" s="88">
        <v>0</v>
      </c>
      <c r="K90" s="88"/>
      <c r="L90" s="92"/>
      <c r="M90" s="92" t="s">
        <v>175</v>
      </c>
      <c r="N90" t="s">
        <v>4152</v>
      </c>
      <c r="O90" s="23">
        <v>20260807</v>
      </c>
      <c r="P90" s="31">
        <v>202608070000004</v>
      </c>
      <c r="Q90" s="24">
        <v>3297</v>
      </c>
      <c r="R90" s="25"/>
      <c r="S90" s="24" t="s">
        <v>167</v>
      </c>
      <c r="T90" s="24" t="s">
        <v>2216</v>
      </c>
      <c r="U90" s="24">
        <v>670.54</v>
      </c>
    </row>
    <row r="91" spans="1:21" ht="16.5" hidden="1" customHeight="1" thickBot="1">
      <c r="A91" s="92" t="s">
        <v>176</v>
      </c>
      <c r="B91" s="93">
        <v>46241</v>
      </c>
      <c r="C91" s="92" t="s">
        <v>2898</v>
      </c>
      <c r="D91" s="92" t="s">
        <v>2899</v>
      </c>
      <c r="E91" s="92"/>
      <c r="F91" s="92" t="s">
        <v>165</v>
      </c>
      <c r="G91" s="88">
        <v>5250</v>
      </c>
      <c r="H91" s="88">
        <v>3000</v>
      </c>
      <c r="I91" s="88">
        <v>2250</v>
      </c>
      <c r="J91" s="88">
        <v>0</v>
      </c>
      <c r="K91" s="88"/>
      <c r="L91" s="92"/>
      <c r="M91" s="92" t="s">
        <v>175</v>
      </c>
      <c r="O91" s="26">
        <v>20260807</v>
      </c>
      <c r="P91" s="32">
        <v>202608070000005</v>
      </c>
      <c r="Q91" s="27">
        <v>5250</v>
      </c>
      <c r="R91" s="28"/>
      <c r="S91" s="27" t="s">
        <v>167</v>
      </c>
      <c r="T91" s="27" t="s">
        <v>2217</v>
      </c>
      <c r="U91" s="27">
        <v>675.79</v>
      </c>
    </row>
    <row r="92" spans="1:21" ht="16.5" hidden="1" customHeight="1" thickBot="1">
      <c r="A92" s="92" t="s">
        <v>162</v>
      </c>
      <c r="B92" s="93">
        <v>46241</v>
      </c>
      <c r="C92" s="92" t="s">
        <v>267</v>
      </c>
      <c r="D92" s="92" t="s">
        <v>268</v>
      </c>
      <c r="E92" s="92"/>
      <c r="F92" s="92" t="s">
        <v>165</v>
      </c>
      <c r="G92" s="88">
        <v>2915</v>
      </c>
      <c r="H92" s="88"/>
      <c r="I92" s="88">
        <v>2915</v>
      </c>
      <c r="J92" s="88">
        <v>0</v>
      </c>
      <c r="K92" s="88"/>
      <c r="L92" s="92"/>
      <c r="M92" s="92" t="s">
        <v>166</v>
      </c>
      <c r="N92"/>
      <c r="O92" s="20">
        <v>20260807</v>
      </c>
      <c r="P92" s="30">
        <v>202608070000006</v>
      </c>
      <c r="Q92" s="21">
        <v>2915</v>
      </c>
      <c r="R92" s="22"/>
      <c r="S92" s="21" t="s">
        <v>167</v>
      </c>
      <c r="T92" s="21" t="s">
        <v>272</v>
      </c>
      <c r="U92" s="21">
        <v>678.70500000000004</v>
      </c>
    </row>
    <row r="93" spans="1:21" ht="16.5" hidden="1" customHeight="1" thickBot="1">
      <c r="A93" s="92" t="s">
        <v>162</v>
      </c>
      <c r="B93" s="93">
        <v>46241</v>
      </c>
      <c r="C93" s="92" t="s">
        <v>294</v>
      </c>
      <c r="D93" s="92" t="s">
        <v>295</v>
      </c>
      <c r="E93" s="92"/>
      <c r="F93" s="92" t="s">
        <v>165</v>
      </c>
      <c r="G93" s="88">
        <v>2475</v>
      </c>
      <c r="H93" s="88"/>
      <c r="I93" s="88">
        <v>2475</v>
      </c>
      <c r="J93" s="88">
        <v>0</v>
      </c>
      <c r="K93" s="88"/>
      <c r="L93" s="92"/>
      <c r="M93" s="92" t="s">
        <v>166</v>
      </c>
      <c r="O93" s="23">
        <v>20260807</v>
      </c>
      <c r="P93" s="31">
        <v>202608070000007</v>
      </c>
      <c r="Q93" s="24">
        <v>2475</v>
      </c>
      <c r="R93" s="25"/>
      <c r="S93" s="24" t="s">
        <v>167</v>
      </c>
      <c r="T93" s="24" t="s">
        <v>286</v>
      </c>
      <c r="U93" s="24">
        <v>681.18</v>
      </c>
    </row>
    <row r="94" spans="1:21" ht="16.5" customHeight="1" thickBot="1">
      <c r="A94" s="92" t="s">
        <v>180</v>
      </c>
      <c r="B94" s="93">
        <v>46241</v>
      </c>
      <c r="C94" s="92" t="s">
        <v>2900</v>
      </c>
      <c r="D94" s="92" t="s">
        <v>2901</v>
      </c>
      <c r="E94" s="92"/>
      <c r="F94" s="92" t="s">
        <v>179</v>
      </c>
      <c r="G94" s="88">
        <v>500</v>
      </c>
      <c r="H94" s="88">
        <v>500</v>
      </c>
      <c r="I94" s="88">
        <v>0</v>
      </c>
      <c r="J94" s="88">
        <v>0</v>
      </c>
      <c r="K94" s="88"/>
      <c r="L94" s="92"/>
      <c r="M94" s="92" t="s">
        <v>175</v>
      </c>
      <c r="N94" t="s">
        <v>4183</v>
      </c>
      <c r="O94" s="26">
        <v>20260807</v>
      </c>
      <c r="P94" s="32">
        <v>202608070000008</v>
      </c>
      <c r="Q94" s="27">
        <v>500</v>
      </c>
      <c r="R94" s="28"/>
      <c r="S94" s="27" t="s">
        <v>167</v>
      </c>
      <c r="T94" s="27" t="s">
        <v>2218</v>
      </c>
      <c r="U94" s="27">
        <v>681.68</v>
      </c>
    </row>
    <row r="95" spans="1:21" ht="16.5" hidden="1" customHeight="1" thickBot="1">
      <c r="A95" s="92" t="s">
        <v>162</v>
      </c>
      <c r="B95" s="93">
        <v>46241</v>
      </c>
      <c r="C95" s="92" t="s">
        <v>331</v>
      </c>
      <c r="D95" s="92" t="s">
        <v>332</v>
      </c>
      <c r="E95" s="92"/>
      <c r="F95" s="92" t="s">
        <v>165</v>
      </c>
      <c r="G95" s="88">
        <v>2915</v>
      </c>
      <c r="H95" s="88"/>
      <c r="I95" s="88">
        <v>2915</v>
      </c>
      <c r="J95" s="88">
        <v>0</v>
      </c>
      <c r="K95" s="88"/>
      <c r="L95" s="92"/>
      <c r="M95" s="92" t="s">
        <v>166</v>
      </c>
      <c r="N95"/>
      <c r="O95" s="23">
        <v>20260807</v>
      </c>
      <c r="P95" s="31">
        <v>202608070000009</v>
      </c>
      <c r="Q95" s="24">
        <v>2915</v>
      </c>
      <c r="R95" s="25"/>
      <c r="S95" s="24" t="s">
        <v>167</v>
      </c>
      <c r="T95" s="24" t="s">
        <v>333</v>
      </c>
      <c r="U95" s="24">
        <v>684.59500000000003</v>
      </c>
    </row>
    <row r="96" spans="1:21" ht="16.5" hidden="1" customHeight="1" thickBot="1">
      <c r="A96" s="92" t="s">
        <v>162</v>
      </c>
      <c r="B96" s="93">
        <v>46241</v>
      </c>
      <c r="C96" s="92" t="s">
        <v>328</v>
      </c>
      <c r="D96" s="92" t="s">
        <v>329</v>
      </c>
      <c r="E96" s="92"/>
      <c r="F96" s="92" t="s">
        <v>165</v>
      </c>
      <c r="G96" s="88">
        <v>2475</v>
      </c>
      <c r="H96" s="88"/>
      <c r="I96" s="88">
        <v>2475</v>
      </c>
      <c r="J96" s="88">
        <v>0</v>
      </c>
      <c r="K96" s="88"/>
      <c r="L96" s="92"/>
      <c r="M96" s="92" t="s">
        <v>166</v>
      </c>
      <c r="N96"/>
      <c r="O96" s="26">
        <v>20260807</v>
      </c>
      <c r="P96" s="32">
        <v>202608070000010</v>
      </c>
      <c r="Q96" s="27">
        <v>2475</v>
      </c>
      <c r="R96" s="28"/>
      <c r="S96" s="27" t="s">
        <v>167</v>
      </c>
      <c r="T96" s="27" t="s">
        <v>208</v>
      </c>
      <c r="U96" s="27">
        <v>687.07</v>
      </c>
    </row>
    <row r="97" spans="1:21" ht="16.5" hidden="1" customHeight="1" thickBot="1">
      <c r="A97" s="92" t="s">
        <v>162</v>
      </c>
      <c r="B97" s="93">
        <v>46241</v>
      </c>
      <c r="C97" s="92" t="s">
        <v>227</v>
      </c>
      <c r="D97" s="92" t="s">
        <v>228</v>
      </c>
      <c r="E97" s="92"/>
      <c r="F97" s="92" t="s">
        <v>165</v>
      </c>
      <c r="G97" s="88">
        <v>2915</v>
      </c>
      <c r="H97" s="88"/>
      <c r="I97" s="88">
        <v>2915</v>
      </c>
      <c r="J97" s="88">
        <v>0</v>
      </c>
      <c r="K97" s="88"/>
      <c r="L97" s="92"/>
      <c r="M97" s="92" t="s">
        <v>166</v>
      </c>
      <c r="N97"/>
      <c r="O97" s="23">
        <v>20260807</v>
      </c>
      <c r="P97" s="31">
        <v>202608070000011</v>
      </c>
      <c r="Q97" s="24">
        <v>2915</v>
      </c>
      <c r="R97" s="25"/>
      <c r="S97" s="24" t="s">
        <v>167</v>
      </c>
      <c r="T97" s="24" t="s">
        <v>229</v>
      </c>
      <c r="U97" s="24">
        <v>689.98500000000001</v>
      </c>
    </row>
    <row r="98" spans="1:21" ht="16.5" hidden="1" customHeight="1" thickBot="1">
      <c r="A98" s="92" t="s">
        <v>162</v>
      </c>
      <c r="B98" s="93">
        <v>46241</v>
      </c>
      <c r="C98" s="92" t="s">
        <v>282</v>
      </c>
      <c r="D98" s="92" t="s">
        <v>283</v>
      </c>
      <c r="E98" s="92"/>
      <c r="F98" s="92" t="s">
        <v>165</v>
      </c>
      <c r="G98" s="88">
        <v>2915</v>
      </c>
      <c r="H98" s="88"/>
      <c r="I98" s="88">
        <v>2915</v>
      </c>
      <c r="J98" s="88">
        <v>0</v>
      </c>
      <c r="K98" s="88"/>
      <c r="L98" s="92"/>
      <c r="M98" s="92" t="s">
        <v>166</v>
      </c>
      <c r="N98"/>
      <c r="O98" s="26">
        <v>20260807</v>
      </c>
      <c r="P98" s="32">
        <v>202608070000012</v>
      </c>
      <c r="Q98" s="27">
        <v>2915</v>
      </c>
      <c r="R98" s="28"/>
      <c r="S98" s="27" t="s">
        <v>167</v>
      </c>
      <c r="T98" s="27" t="s">
        <v>208</v>
      </c>
      <c r="U98" s="27">
        <v>692.9</v>
      </c>
    </row>
    <row r="99" spans="1:21" ht="16.5" hidden="1" customHeight="1" thickBot="1">
      <c r="A99" s="92" t="s">
        <v>162</v>
      </c>
      <c r="B99" s="93">
        <v>46241</v>
      </c>
      <c r="C99" s="92" t="s">
        <v>296</v>
      </c>
      <c r="D99" s="92" t="s">
        <v>297</v>
      </c>
      <c r="E99" s="92"/>
      <c r="F99" s="92" t="s">
        <v>165</v>
      </c>
      <c r="G99" s="88">
        <v>2915</v>
      </c>
      <c r="H99" s="88"/>
      <c r="I99" s="88">
        <v>2915</v>
      </c>
      <c r="J99" s="88">
        <v>0</v>
      </c>
      <c r="K99" s="88"/>
      <c r="L99" s="92"/>
      <c r="M99" s="92" t="s">
        <v>166</v>
      </c>
      <c r="N99"/>
      <c r="O99" s="23">
        <v>20260807</v>
      </c>
      <c r="P99" s="31">
        <v>202608070000013</v>
      </c>
      <c r="Q99" s="24">
        <v>2915</v>
      </c>
      <c r="R99" s="25"/>
      <c r="S99" s="24" t="s">
        <v>167</v>
      </c>
      <c r="T99" s="24" t="s">
        <v>320</v>
      </c>
      <c r="U99" s="24">
        <v>695.81500000000005</v>
      </c>
    </row>
    <row r="100" spans="1:21" ht="16.5" hidden="1" customHeight="1" thickBot="1">
      <c r="A100" s="92" t="s">
        <v>162</v>
      </c>
      <c r="B100" s="93">
        <v>46241</v>
      </c>
      <c r="C100" s="92" t="s">
        <v>318</v>
      </c>
      <c r="D100" s="92" t="s">
        <v>319</v>
      </c>
      <c r="E100" s="92"/>
      <c r="F100" s="92" t="s">
        <v>165</v>
      </c>
      <c r="G100" s="88">
        <v>2915</v>
      </c>
      <c r="H100" s="88"/>
      <c r="I100" s="88">
        <v>2915</v>
      </c>
      <c r="J100" s="88">
        <v>0</v>
      </c>
      <c r="K100" s="88"/>
      <c r="L100" s="92"/>
      <c r="M100" s="92" t="s">
        <v>166</v>
      </c>
      <c r="N100"/>
      <c r="O100" s="26">
        <v>20260807</v>
      </c>
      <c r="P100" s="32">
        <v>202608070000014</v>
      </c>
      <c r="Q100" s="27">
        <v>2915</v>
      </c>
      <c r="R100" s="28"/>
      <c r="S100" s="27" t="s">
        <v>167</v>
      </c>
      <c r="T100" s="27" t="s">
        <v>308</v>
      </c>
      <c r="U100" s="27">
        <v>698.73</v>
      </c>
    </row>
    <row r="101" spans="1:21" ht="16.5" hidden="1" customHeight="1" thickBot="1">
      <c r="A101" s="92" t="s">
        <v>162</v>
      </c>
      <c r="B101" s="93">
        <v>46241</v>
      </c>
      <c r="C101" s="92" t="s">
        <v>306</v>
      </c>
      <c r="D101" s="92" t="s">
        <v>307</v>
      </c>
      <c r="E101" s="92"/>
      <c r="F101" s="92" t="s">
        <v>165</v>
      </c>
      <c r="G101" s="88">
        <v>2915</v>
      </c>
      <c r="H101" s="88"/>
      <c r="I101" s="88">
        <v>2915</v>
      </c>
      <c r="J101" s="88">
        <v>0</v>
      </c>
      <c r="K101" s="88"/>
      <c r="L101" s="92"/>
      <c r="M101" s="92" t="s">
        <v>166</v>
      </c>
      <c r="N101"/>
      <c r="O101" s="23">
        <v>20260807</v>
      </c>
      <c r="P101" s="31">
        <v>202608070000015</v>
      </c>
      <c r="Q101" s="24">
        <v>2915</v>
      </c>
      <c r="R101" s="25"/>
      <c r="S101" s="24" t="s">
        <v>167</v>
      </c>
      <c r="T101" s="24" t="s">
        <v>291</v>
      </c>
      <c r="U101" s="24">
        <v>701.64499999999998</v>
      </c>
    </row>
    <row r="102" spans="1:21" ht="16.5" hidden="1" customHeight="1" thickBot="1">
      <c r="A102" s="92" t="s">
        <v>162</v>
      </c>
      <c r="B102" s="93">
        <v>46241</v>
      </c>
      <c r="C102" s="92" t="s">
        <v>284</v>
      </c>
      <c r="D102" s="92" t="s">
        <v>285</v>
      </c>
      <c r="E102" s="92"/>
      <c r="F102" s="92" t="s">
        <v>165</v>
      </c>
      <c r="G102" s="88">
        <v>2475</v>
      </c>
      <c r="H102" s="88"/>
      <c r="I102" s="88">
        <v>2475</v>
      </c>
      <c r="J102" s="88">
        <v>0</v>
      </c>
      <c r="K102" s="88"/>
      <c r="L102" s="92"/>
      <c r="M102" s="92" t="s">
        <v>166</v>
      </c>
      <c r="N102"/>
      <c r="O102" s="26">
        <v>20260807</v>
      </c>
      <c r="P102" s="32">
        <v>202608070000016</v>
      </c>
      <c r="Q102" s="27">
        <v>2475</v>
      </c>
      <c r="R102" s="28"/>
      <c r="S102" s="27" t="s">
        <v>167</v>
      </c>
      <c r="T102" s="27" t="s">
        <v>281</v>
      </c>
      <c r="U102" s="27">
        <v>704.12</v>
      </c>
    </row>
    <row r="103" spans="1:21" ht="16.5" hidden="1" customHeight="1" thickBot="1">
      <c r="A103" s="92" t="s">
        <v>162</v>
      </c>
      <c r="B103" s="93">
        <v>46241</v>
      </c>
      <c r="C103" s="92" t="s">
        <v>289</v>
      </c>
      <c r="D103" s="92" t="s">
        <v>290</v>
      </c>
      <c r="E103" s="92"/>
      <c r="F103" s="92" t="s">
        <v>165</v>
      </c>
      <c r="G103" s="88">
        <v>2915</v>
      </c>
      <c r="H103" s="88"/>
      <c r="I103" s="88">
        <v>2915</v>
      </c>
      <c r="J103" s="88">
        <v>0</v>
      </c>
      <c r="K103" s="88"/>
      <c r="L103" s="92"/>
      <c r="M103" s="92" t="s">
        <v>166</v>
      </c>
      <c r="N103"/>
      <c r="O103" s="23">
        <v>20260807</v>
      </c>
      <c r="P103" s="31">
        <v>202608070000017</v>
      </c>
      <c r="Q103" s="24">
        <v>2915</v>
      </c>
      <c r="R103" s="25"/>
      <c r="S103" s="24" t="s">
        <v>167</v>
      </c>
      <c r="T103" s="24" t="s">
        <v>300</v>
      </c>
      <c r="U103" s="24">
        <v>707.03499999999997</v>
      </c>
    </row>
    <row r="104" spans="1:21" ht="16.5" hidden="1" customHeight="1" thickBot="1">
      <c r="A104" s="92" t="s">
        <v>162</v>
      </c>
      <c r="B104" s="93">
        <v>46242</v>
      </c>
      <c r="C104" s="92" t="s">
        <v>303</v>
      </c>
      <c r="D104" s="92" t="s">
        <v>304</v>
      </c>
      <c r="E104" s="92"/>
      <c r="F104" s="92" t="s">
        <v>165</v>
      </c>
      <c r="G104" s="88">
        <v>3850</v>
      </c>
      <c r="H104" s="88"/>
      <c r="I104" s="88">
        <v>3850</v>
      </c>
      <c r="J104" s="88">
        <v>0</v>
      </c>
      <c r="K104" s="88"/>
      <c r="L104" s="92"/>
      <c r="M104" s="92" t="s">
        <v>166</v>
      </c>
      <c r="N104"/>
      <c r="O104" s="117">
        <v>20260808</v>
      </c>
      <c r="P104" s="139">
        <v>202608080000001</v>
      </c>
      <c r="Q104" s="118">
        <v>3850</v>
      </c>
      <c r="R104" s="40"/>
      <c r="S104" s="118" t="s">
        <v>167</v>
      </c>
      <c r="T104" s="118" t="s">
        <v>305</v>
      </c>
      <c r="U104" s="118">
        <v>710.88499999999999</v>
      </c>
    </row>
    <row r="105" spans="1:21" ht="16.5" hidden="1" customHeight="1" thickBot="1">
      <c r="A105" s="92" t="s">
        <v>162</v>
      </c>
      <c r="B105" s="93">
        <v>46242</v>
      </c>
      <c r="C105" s="92" t="s">
        <v>2902</v>
      </c>
      <c r="D105" s="92" t="s">
        <v>2903</v>
      </c>
      <c r="E105" s="92"/>
      <c r="F105" s="92" t="s">
        <v>165</v>
      </c>
      <c r="G105" s="88">
        <v>8415</v>
      </c>
      <c r="H105" s="88"/>
      <c r="I105" s="88">
        <v>8415</v>
      </c>
      <c r="J105" s="88">
        <v>0</v>
      </c>
      <c r="K105" s="88"/>
      <c r="L105" s="92"/>
      <c r="M105" s="92" t="s">
        <v>166</v>
      </c>
      <c r="O105" s="119">
        <v>20260808</v>
      </c>
      <c r="P105" s="140">
        <v>202608080000002</v>
      </c>
      <c r="Q105" s="120">
        <v>8415</v>
      </c>
      <c r="R105" s="121"/>
      <c r="S105" s="120" t="s">
        <v>167</v>
      </c>
      <c r="T105" s="120" t="s">
        <v>264</v>
      </c>
      <c r="U105" s="120">
        <v>719.3</v>
      </c>
    </row>
    <row r="106" spans="1:21" ht="16.5" hidden="1" customHeight="1" thickBot="1">
      <c r="A106" s="92" t="s">
        <v>162</v>
      </c>
      <c r="B106" s="93">
        <v>46242</v>
      </c>
      <c r="C106" s="92" t="s">
        <v>259</v>
      </c>
      <c r="D106" s="92" t="s">
        <v>260</v>
      </c>
      <c r="E106" s="92"/>
      <c r="F106" s="92" t="s">
        <v>165</v>
      </c>
      <c r="G106" s="88">
        <v>2475</v>
      </c>
      <c r="H106" s="88"/>
      <c r="I106" s="88">
        <v>2475</v>
      </c>
      <c r="J106" s="88">
        <v>0</v>
      </c>
      <c r="K106" s="88"/>
      <c r="L106" s="92"/>
      <c r="M106" s="92" t="s">
        <v>166</v>
      </c>
      <c r="O106" s="122">
        <v>20260808</v>
      </c>
      <c r="P106" s="141">
        <v>202608080000003</v>
      </c>
      <c r="Q106" s="123">
        <v>2475</v>
      </c>
      <c r="R106" s="43"/>
      <c r="S106" s="123" t="s">
        <v>167</v>
      </c>
      <c r="T106" s="123" t="s">
        <v>261</v>
      </c>
      <c r="U106" s="123">
        <v>721.77499999999998</v>
      </c>
    </row>
    <row r="107" spans="1:21" ht="16.5" customHeight="1" thickBot="1">
      <c r="A107" s="92" t="s">
        <v>176</v>
      </c>
      <c r="B107" s="93">
        <v>46242</v>
      </c>
      <c r="C107" s="92" t="s">
        <v>214</v>
      </c>
      <c r="D107" s="92" t="s">
        <v>215</v>
      </c>
      <c r="E107" s="92"/>
      <c r="F107" s="92" t="s">
        <v>179</v>
      </c>
      <c r="G107" s="88">
        <v>6850</v>
      </c>
      <c r="H107" s="88">
        <v>6850</v>
      </c>
      <c r="I107" s="88">
        <v>0</v>
      </c>
      <c r="J107" s="88">
        <v>0</v>
      </c>
      <c r="K107" s="88"/>
      <c r="L107" s="92"/>
      <c r="M107" s="92" t="s">
        <v>175</v>
      </c>
      <c r="N107" t="s">
        <v>4226</v>
      </c>
      <c r="O107" s="124">
        <v>20260808</v>
      </c>
      <c r="P107" s="142">
        <v>202608080000004</v>
      </c>
      <c r="Q107" s="125">
        <v>6850</v>
      </c>
      <c r="R107" s="40"/>
      <c r="S107" s="125" t="s">
        <v>167</v>
      </c>
      <c r="T107" s="125" t="s">
        <v>208</v>
      </c>
      <c r="U107" s="125">
        <v>728.625</v>
      </c>
    </row>
    <row r="108" spans="1:21" ht="16.5" hidden="1" customHeight="1" thickBot="1">
      <c r="A108" s="92" t="s">
        <v>162</v>
      </c>
      <c r="B108" s="93">
        <v>46242</v>
      </c>
      <c r="C108" s="92" t="s">
        <v>1266</v>
      </c>
      <c r="D108" s="92" t="s">
        <v>1267</v>
      </c>
      <c r="E108" s="92"/>
      <c r="F108" s="92" t="s">
        <v>165</v>
      </c>
      <c r="G108" s="88">
        <v>2915</v>
      </c>
      <c r="H108" s="88"/>
      <c r="I108" s="88">
        <v>2915</v>
      </c>
      <c r="J108" s="88">
        <v>0</v>
      </c>
      <c r="K108" s="88"/>
      <c r="L108" s="92"/>
      <c r="M108" s="92" t="s">
        <v>166</v>
      </c>
      <c r="N108"/>
      <c r="O108" s="122">
        <v>20260808</v>
      </c>
      <c r="P108" s="141">
        <v>202608080000005</v>
      </c>
      <c r="Q108" s="123">
        <v>2915</v>
      </c>
      <c r="R108" s="43"/>
      <c r="S108" s="123" t="s">
        <v>167</v>
      </c>
      <c r="T108" s="123" t="s">
        <v>286</v>
      </c>
      <c r="U108" s="123">
        <v>731.54</v>
      </c>
    </row>
    <row r="109" spans="1:21" ht="16.5" hidden="1" customHeight="1" thickBot="1">
      <c r="A109" s="92" t="s">
        <v>162</v>
      </c>
      <c r="B109" s="93">
        <v>46242</v>
      </c>
      <c r="C109" s="92" t="s">
        <v>334</v>
      </c>
      <c r="D109" s="92" t="s">
        <v>335</v>
      </c>
      <c r="E109" s="92"/>
      <c r="F109" s="92" t="s">
        <v>165</v>
      </c>
      <c r="G109" s="88">
        <v>4000</v>
      </c>
      <c r="H109" s="88"/>
      <c r="I109" s="88">
        <v>4000</v>
      </c>
      <c r="J109" s="88">
        <v>0</v>
      </c>
      <c r="K109" s="88"/>
      <c r="L109" s="92"/>
      <c r="M109" s="92" t="s">
        <v>166</v>
      </c>
      <c r="N109"/>
      <c r="O109" s="124">
        <v>20260808</v>
      </c>
      <c r="P109" s="142">
        <v>202608080000006</v>
      </c>
      <c r="Q109" s="125">
        <v>4000</v>
      </c>
      <c r="R109" s="40"/>
      <c r="S109" s="125" t="s">
        <v>167</v>
      </c>
      <c r="T109" s="125" t="s">
        <v>336</v>
      </c>
      <c r="U109" s="125">
        <v>735.54</v>
      </c>
    </row>
    <row r="110" spans="1:21" ht="21.75" hidden="1" customHeight="1" thickBot="1">
      <c r="A110" s="92" t="s">
        <v>180</v>
      </c>
      <c r="B110" s="93">
        <v>46242</v>
      </c>
      <c r="C110" s="92" t="s">
        <v>2843</v>
      </c>
      <c r="D110" s="92" t="s">
        <v>2844</v>
      </c>
      <c r="E110" s="92"/>
      <c r="F110" s="92" t="s">
        <v>165</v>
      </c>
      <c r="G110" s="88">
        <v>493</v>
      </c>
      <c r="H110" s="88">
        <v>493</v>
      </c>
      <c r="I110" s="88">
        <v>0</v>
      </c>
      <c r="J110" s="88">
        <v>0</v>
      </c>
      <c r="K110" s="88"/>
      <c r="L110" s="92"/>
      <c r="M110" s="92" t="s">
        <v>175</v>
      </c>
      <c r="O110" s="122">
        <v>20260808</v>
      </c>
      <c r="P110" s="141">
        <v>202608080000007</v>
      </c>
      <c r="Q110" s="123">
        <v>493</v>
      </c>
      <c r="R110" s="43"/>
      <c r="S110" s="123" t="s">
        <v>359</v>
      </c>
      <c r="T110" s="123" t="s">
        <v>2184</v>
      </c>
      <c r="U110" s="123">
        <v>736.03300000000002</v>
      </c>
    </row>
    <row r="111" spans="1:21" ht="16.5" hidden="1" customHeight="1" thickBot="1">
      <c r="A111" s="92" t="s">
        <v>162</v>
      </c>
      <c r="B111" s="93">
        <v>46242</v>
      </c>
      <c r="C111" s="92" t="s">
        <v>292</v>
      </c>
      <c r="D111" s="92" t="s">
        <v>293</v>
      </c>
      <c r="E111" s="92"/>
      <c r="F111" s="92" t="s">
        <v>165</v>
      </c>
      <c r="G111" s="88">
        <v>2915</v>
      </c>
      <c r="H111" s="88"/>
      <c r="I111" s="88">
        <v>2915</v>
      </c>
      <c r="J111" s="88">
        <v>0</v>
      </c>
      <c r="K111" s="88"/>
      <c r="L111" s="92"/>
      <c r="M111" s="92" t="s">
        <v>166</v>
      </c>
      <c r="N111"/>
      <c r="O111" s="124">
        <v>20260808</v>
      </c>
      <c r="P111" s="142">
        <v>202608080000008</v>
      </c>
      <c r="Q111" s="125">
        <v>2915</v>
      </c>
      <c r="R111" s="40"/>
      <c r="S111" s="125" t="s">
        <v>167</v>
      </c>
      <c r="T111" s="125" t="s">
        <v>2219</v>
      </c>
      <c r="U111" s="125">
        <v>738.94799999999998</v>
      </c>
    </row>
    <row r="112" spans="1:21" ht="16.5" hidden="1" customHeight="1" thickBot="1">
      <c r="A112" s="92" t="s">
        <v>3293</v>
      </c>
      <c r="B112" s="93">
        <v>46242</v>
      </c>
      <c r="C112" s="92" t="s">
        <v>321</v>
      </c>
      <c r="D112" s="92" t="s">
        <v>322</v>
      </c>
      <c r="E112" s="92"/>
      <c r="F112" s="92" t="s">
        <v>165</v>
      </c>
      <c r="G112" s="88">
        <v>3500</v>
      </c>
      <c r="H112" s="88"/>
      <c r="I112" s="88">
        <v>3500</v>
      </c>
      <c r="J112" s="88">
        <v>0</v>
      </c>
      <c r="K112" s="88"/>
      <c r="L112" s="92"/>
      <c r="M112" s="92" t="s">
        <v>175</v>
      </c>
      <c r="N112"/>
      <c r="O112" s="122">
        <v>20260808</v>
      </c>
      <c r="P112" s="141">
        <v>202608080000009</v>
      </c>
      <c r="Q112" s="123">
        <v>3500</v>
      </c>
      <c r="R112" s="43"/>
      <c r="S112" s="123" t="s">
        <v>167</v>
      </c>
      <c r="T112" s="123" t="s">
        <v>323</v>
      </c>
      <c r="U112" s="123">
        <v>742.44799999999998</v>
      </c>
    </row>
    <row r="113" spans="1:21" ht="16.5" hidden="1" customHeight="1" thickBot="1">
      <c r="A113" s="92" t="s">
        <v>3295</v>
      </c>
      <c r="B113" s="93">
        <v>46243</v>
      </c>
      <c r="C113" s="92" t="e">
        <v>#N/A</v>
      </c>
      <c r="D113" s="92"/>
      <c r="E113" s="92"/>
      <c r="F113" s="92" t="s">
        <v>188</v>
      </c>
      <c r="G113" s="88">
        <v>7000</v>
      </c>
      <c r="H113" s="88"/>
      <c r="I113" s="88">
        <v>0</v>
      </c>
      <c r="J113" s="88">
        <v>7000</v>
      </c>
      <c r="K113" s="88"/>
      <c r="L113" s="92"/>
      <c r="M113" s="92" t="s">
        <v>187</v>
      </c>
      <c r="N113"/>
      <c r="O113" s="124">
        <v>20260809</v>
      </c>
      <c r="P113" s="142">
        <v>202608090000001</v>
      </c>
      <c r="Q113" s="125">
        <v>7000</v>
      </c>
      <c r="R113" s="40"/>
      <c r="S113" s="125" t="s">
        <v>167</v>
      </c>
      <c r="T113" s="125" t="s">
        <v>264</v>
      </c>
      <c r="U113" s="125">
        <v>749.44799999999998</v>
      </c>
    </row>
    <row r="114" spans="1:21" ht="16.5" customHeight="1" thickBot="1">
      <c r="A114" s="92" t="s">
        <v>176</v>
      </c>
      <c r="B114" s="93">
        <v>46243</v>
      </c>
      <c r="C114" s="92" t="s">
        <v>214</v>
      </c>
      <c r="D114" s="92" t="s">
        <v>215</v>
      </c>
      <c r="E114" s="92"/>
      <c r="F114" s="92" t="s">
        <v>179</v>
      </c>
      <c r="G114" s="88">
        <v>6850</v>
      </c>
      <c r="H114" s="88">
        <v>6850</v>
      </c>
      <c r="I114" s="88">
        <v>0</v>
      </c>
      <c r="J114" s="88">
        <v>0</v>
      </c>
      <c r="K114" s="88"/>
      <c r="L114" s="92"/>
      <c r="M114" s="92" t="s">
        <v>175</v>
      </c>
      <c r="N114" t="s">
        <v>4231</v>
      </c>
      <c r="O114" s="122">
        <v>20260809</v>
      </c>
      <c r="P114" s="141">
        <v>202608090000002</v>
      </c>
      <c r="Q114" s="123">
        <v>6850</v>
      </c>
      <c r="R114" s="43"/>
      <c r="S114" s="123" t="s">
        <v>167</v>
      </c>
      <c r="T114" s="123" t="s">
        <v>249</v>
      </c>
      <c r="U114" s="123">
        <v>756.298</v>
      </c>
    </row>
    <row r="115" spans="1:21" ht="16.5" customHeight="1" thickBot="1">
      <c r="A115" s="92" t="s">
        <v>176</v>
      </c>
      <c r="B115" s="93">
        <v>46243</v>
      </c>
      <c r="C115" s="92" t="s">
        <v>214</v>
      </c>
      <c r="D115" s="92" t="s">
        <v>215</v>
      </c>
      <c r="E115" s="92"/>
      <c r="F115" s="92" t="s">
        <v>179</v>
      </c>
      <c r="G115" s="88">
        <v>6850</v>
      </c>
      <c r="H115" s="88">
        <v>6850</v>
      </c>
      <c r="I115" s="88">
        <v>0</v>
      </c>
      <c r="J115" s="88">
        <v>0</v>
      </c>
      <c r="K115" s="88"/>
      <c r="L115" s="92"/>
      <c r="M115" s="92" t="s">
        <v>175</v>
      </c>
      <c r="N115" t="s">
        <v>4232</v>
      </c>
      <c r="O115" s="124">
        <v>20260809</v>
      </c>
      <c r="P115" s="142">
        <v>202608090000003</v>
      </c>
      <c r="Q115" s="125">
        <v>6850</v>
      </c>
      <c r="R115" s="40"/>
      <c r="S115" s="125" t="s">
        <v>167</v>
      </c>
      <c r="T115" s="125" t="s">
        <v>208</v>
      </c>
      <c r="U115" s="125">
        <v>763.14800000000002</v>
      </c>
    </row>
    <row r="116" spans="1:21" ht="16.5" hidden="1" customHeight="1" thickBot="1">
      <c r="A116" s="92" t="s">
        <v>162</v>
      </c>
      <c r="B116" s="93">
        <v>46243</v>
      </c>
      <c r="C116" s="92" t="s">
        <v>265</v>
      </c>
      <c r="D116" s="92" t="s">
        <v>266</v>
      </c>
      <c r="E116" s="92"/>
      <c r="F116" s="92" t="s">
        <v>165</v>
      </c>
      <c r="G116" s="88">
        <v>2915</v>
      </c>
      <c r="H116" s="88"/>
      <c r="I116" s="88">
        <v>2915</v>
      </c>
      <c r="J116" s="88">
        <v>0</v>
      </c>
      <c r="K116" s="88"/>
      <c r="L116" s="92"/>
      <c r="M116" s="92" t="s">
        <v>166</v>
      </c>
      <c r="O116" s="122">
        <v>20260809</v>
      </c>
      <c r="P116" s="141">
        <v>202608090000004</v>
      </c>
      <c r="Q116" s="123">
        <v>2915</v>
      </c>
      <c r="R116" s="43"/>
      <c r="S116" s="123" t="s">
        <v>167</v>
      </c>
      <c r="T116" s="123" t="s">
        <v>276</v>
      </c>
      <c r="U116" s="123">
        <v>766.06299999999999</v>
      </c>
    </row>
    <row r="117" spans="1:21" ht="16.5" hidden="1" customHeight="1" thickBot="1">
      <c r="A117" s="92" t="s">
        <v>3293</v>
      </c>
      <c r="B117" s="93">
        <v>46243</v>
      </c>
      <c r="C117" s="92" t="s">
        <v>321</v>
      </c>
      <c r="D117" s="92" t="s">
        <v>322</v>
      </c>
      <c r="E117" s="92"/>
      <c r="F117" s="92" t="s">
        <v>165</v>
      </c>
      <c r="G117" s="88">
        <v>5010</v>
      </c>
      <c r="H117" s="88"/>
      <c r="I117" s="88">
        <v>5010</v>
      </c>
      <c r="J117" s="88">
        <v>0</v>
      </c>
      <c r="K117" s="88"/>
      <c r="L117" s="92"/>
      <c r="M117" s="92" t="s">
        <v>175</v>
      </c>
      <c r="N117"/>
      <c r="O117" s="124">
        <v>20260809</v>
      </c>
      <c r="P117" s="142">
        <v>202608090000005</v>
      </c>
      <c r="Q117" s="125">
        <v>5010</v>
      </c>
      <c r="R117" s="40"/>
      <c r="S117" s="125" t="s">
        <v>184</v>
      </c>
      <c r="T117" s="125" t="s">
        <v>339</v>
      </c>
      <c r="U117" s="125">
        <v>771.07299999999998</v>
      </c>
    </row>
    <row r="118" spans="1:21" ht="16.5" hidden="1" customHeight="1" thickBot="1">
      <c r="A118" s="92" t="s">
        <v>162</v>
      </c>
      <c r="B118" s="93">
        <v>46243</v>
      </c>
      <c r="C118" s="92" t="s">
        <v>459</v>
      </c>
      <c r="D118" s="92" t="s">
        <v>460</v>
      </c>
      <c r="E118" s="92"/>
      <c r="F118" s="92" t="s">
        <v>165</v>
      </c>
      <c r="G118" s="88">
        <v>3850</v>
      </c>
      <c r="H118" s="88"/>
      <c r="I118" s="88">
        <v>3850</v>
      </c>
      <c r="J118" s="88">
        <v>0</v>
      </c>
      <c r="K118" s="88"/>
      <c r="L118" s="92"/>
      <c r="M118" s="92" t="s">
        <v>166</v>
      </c>
      <c r="O118" s="122">
        <v>20260809</v>
      </c>
      <c r="P118" s="141">
        <v>202608090000006</v>
      </c>
      <c r="Q118" s="123">
        <v>3850</v>
      </c>
      <c r="R118" s="43"/>
      <c r="S118" s="123" t="s">
        <v>167</v>
      </c>
      <c r="T118" s="123" t="s">
        <v>461</v>
      </c>
      <c r="U118" s="123">
        <v>774.923</v>
      </c>
    </row>
    <row r="119" spans="1:21" ht="16.5" hidden="1" customHeight="1" thickBot="1">
      <c r="A119" s="92" t="s">
        <v>162</v>
      </c>
      <c r="B119" s="93">
        <v>46243</v>
      </c>
      <c r="C119" s="92" t="s">
        <v>265</v>
      </c>
      <c r="D119" s="92" t="s">
        <v>266</v>
      </c>
      <c r="E119" s="92"/>
      <c r="F119" s="92" t="s">
        <v>165</v>
      </c>
      <c r="G119" s="88">
        <v>2915</v>
      </c>
      <c r="H119" s="88"/>
      <c r="I119" s="88">
        <v>2915</v>
      </c>
      <c r="J119" s="88">
        <v>0</v>
      </c>
      <c r="K119" s="88"/>
      <c r="L119" s="92"/>
      <c r="M119" s="92" t="s">
        <v>166</v>
      </c>
      <c r="N119"/>
      <c r="O119" s="124">
        <v>20260809</v>
      </c>
      <c r="P119" s="142">
        <v>202608090000007</v>
      </c>
      <c r="Q119" s="125">
        <v>2915</v>
      </c>
      <c r="R119" s="40"/>
      <c r="S119" s="125" t="s">
        <v>167</v>
      </c>
      <c r="T119" s="125" t="s">
        <v>277</v>
      </c>
      <c r="U119" s="125">
        <v>777.83799999999997</v>
      </c>
    </row>
    <row r="120" spans="1:21" ht="16.5" hidden="1" customHeight="1" thickBot="1">
      <c r="A120" s="92" t="s">
        <v>162</v>
      </c>
      <c r="B120" s="93">
        <v>46243</v>
      </c>
      <c r="C120" s="92" t="s">
        <v>265</v>
      </c>
      <c r="D120" s="92" t="s">
        <v>266</v>
      </c>
      <c r="E120" s="92"/>
      <c r="F120" s="92" t="s">
        <v>165</v>
      </c>
      <c r="G120" s="88">
        <v>2475</v>
      </c>
      <c r="H120" s="88"/>
      <c r="I120" s="88">
        <v>2475</v>
      </c>
      <c r="J120" s="88">
        <v>0</v>
      </c>
      <c r="K120" s="88"/>
      <c r="L120" s="92"/>
      <c r="M120" s="92" t="s">
        <v>166</v>
      </c>
      <c r="N120"/>
      <c r="O120" s="122">
        <v>20260809</v>
      </c>
      <c r="P120" s="141">
        <v>202608090000008</v>
      </c>
      <c r="Q120" s="123">
        <v>2475</v>
      </c>
      <c r="R120" s="43"/>
      <c r="S120" s="123" t="s">
        <v>167</v>
      </c>
      <c r="T120" s="123" t="s">
        <v>264</v>
      </c>
      <c r="U120" s="123">
        <v>780.31299999999999</v>
      </c>
    </row>
    <row r="121" spans="1:21" ht="16.5" hidden="1" customHeight="1" thickBot="1">
      <c r="A121" s="92" t="s">
        <v>172</v>
      </c>
      <c r="B121" s="93">
        <v>46244</v>
      </c>
      <c r="C121" s="92" t="s">
        <v>2904</v>
      </c>
      <c r="D121" s="92" t="s">
        <v>2905</v>
      </c>
      <c r="E121" s="92"/>
      <c r="F121" s="92" t="s">
        <v>165</v>
      </c>
      <c r="G121" s="88">
        <v>5985</v>
      </c>
      <c r="H121" s="88">
        <v>3000</v>
      </c>
      <c r="I121" s="88">
        <v>2985</v>
      </c>
      <c r="J121" s="88">
        <v>0</v>
      </c>
      <c r="K121" s="88"/>
      <c r="L121" s="92"/>
      <c r="M121" s="92" t="s">
        <v>175</v>
      </c>
      <c r="O121" s="124">
        <v>20260810</v>
      </c>
      <c r="P121" s="142">
        <v>202608100000001</v>
      </c>
      <c r="Q121" s="125">
        <v>5985</v>
      </c>
      <c r="R121" s="40"/>
      <c r="S121" s="125" t="s">
        <v>167</v>
      </c>
      <c r="T121" s="126" t="s">
        <v>2220</v>
      </c>
      <c r="U121" s="125">
        <v>786.298</v>
      </c>
    </row>
    <row r="122" spans="1:21" ht="16.5" customHeight="1" thickBot="1">
      <c r="A122" s="92" t="s">
        <v>180</v>
      </c>
      <c r="B122" s="93">
        <v>46244</v>
      </c>
      <c r="C122" s="92" t="s">
        <v>2906</v>
      </c>
      <c r="D122" s="92" t="s">
        <v>2907</v>
      </c>
      <c r="E122" s="92"/>
      <c r="F122" s="92" t="s">
        <v>179</v>
      </c>
      <c r="G122" s="88">
        <v>3297</v>
      </c>
      <c r="H122" s="88">
        <v>3297</v>
      </c>
      <c r="I122" s="88">
        <v>0</v>
      </c>
      <c r="J122" s="88">
        <v>0</v>
      </c>
      <c r="K122" s="88"/>
      <c r="L122" s="92"/>
      <c r="M122" s="92" t="s">
        <v>175</v>
      </c>
      <c r="N122" t="s">
        <v>4114</v>
      </c>
      <c r="O122" s="122">
        <v>20260810</v>
      </c>
      <c r="P122" s="141">
        <v>202608100000002</v>
      </c>
      <c r="Q122" s="123">
        <v>3297</v>
      </c>
      <c r="R122" s="43"/>
      <c r="S122" s="123" t="s">
        <v>167</v>
      </c>
      <c r="T122" s="127" t="s">
        <v>2221</v>
      </c>
      <c r="U122" s="123">
        <v>789.59500000000003</v>
      </c>
    </row>
    <row r="123" spans="1:21" ht="16.5" hidden="1" customHeight="1" thickBot="1">
      <c r="A123" s="92" t="s">
        <v>180</v>
      </c>
      <c r="B123" s="93">
        <v>46244</v>
      </c>
      <c r="C123" s="92" t="s">
        <v>2908</v>
      </c>
      <c r="D123" s="92" t="s">
        <v>2909</v>
      </c>
      <c r="E123" s="92"/>
      <c r="F123" s="92" t="s">
        <v>165</v>
      </c>
      <c r="G123" s="88">
        <v>6597</v>
      </c>
      <c r="H123" s="88">
        <v>4000</v>
      </c>
      <c r="I123" s="88">
        <v>2597</v>
      </c>
      <c r="J123" s="88">
        <v>0</v>
      </c>
      <c r="K123" s="88"/>
      <c r="L123" s="92"/>
      <c r="M123" s="92" t="s">
        <v>175</v>
      </c>
      <c r="N123"/>
      <c r="O123" s="124">
        <v>20260810</v>
      </c>
      <c r="P123" s="142">
        <v>202608100000003</v>
      </c>
      <c r="Q123" s="125">
        <v>6597</v>
      </c>
      <c r="R123" s="40"/>
      <c r="S123" s="125" t="s">
        <v>167</v>
      </c>
      <c r="T123" s="126" t="s">
        <v>2222</v>
      </c>
      <c r="U123" s="125">
        <v>796.19200000000001</v>
      </c>
    </row>
    <row r="124" spans="1:21" ht="16.5" customHeight="1" thickBot="1">
      <c r="A124" s="92" t="s">
        <v>172</v>
      </c>
      <c r="B124" s="93">
        <v>46244</v>
      </c>
      <c r="C124" s="92" t="s">
        <v>2910</v>
      </c>
      <c r="D124" s="92" t="s">
        <v>2911</v>
      </c>
      <c r="E124" s="92"/>
      <c r="F124" s="92" t="s">
        <v>179</v>
      </c>
      <c r="G124" s="88">
        <v>3297</v>
      </c>
      <c r="H124" s="88">
        <v>3297</v>
      </c>
      <c r="I124" s="88">
        <v>0</v>
      </c>
      <c r="J124" s="88">
        <v>0</v>
      </c>
      <c r="K124" s="88"/>
      <c r="L124" s="92"/>
      <c r="M124" s="92" t="s">
        <v>175</v>
      </c>
      <c r="N124" t="s">
        <v>4170</v>
      </c>
      <c r="O124" s="122">
        <v>20260810</v>
      </c>
      <c r="P124" s="141">
        <v>202608100000004</v>
      </c>
      <c r="Q124" s="123">
        <v>3297</v>
      </c>
      <c r="R124" s="43"/>
      <c r="S124" s="123" t="s">
        <v>167</v>
      </c>
      <c r="T124" s="127" t="s">
        <v>2223</v>
      </c>
      <c r="U124" s="123">
        <v>799.48900000000003</v>
      </c>
    </row>
    <row r="125" spans="1:21" ht="16.5" hidden="1" customHeight="1" thickBot="1">
      <c r="A125" s="92" t="s">
        <v>176</v>
      </c>
      <c r="B125" s="93">
        <v>46244</v>
      </c>
      <c r="C125" s="92" t="s">
        <v>2912</v>
      </c>
      <c r="D125" s="92" t="s">
        <v>2913</v>
      </c>
      <c r="E125" s="92"/>
      <c r="F125" s="92" t="s">
        <v>165</v>
      </c>
      <c r="G125" s="88">
        <v>7090</v>
      </c>
      <c r="H125" s="88">
        <v>4000</v>
      </c>
      <c r="I125" s="88">
        <v>3090</v>
      </c>
      <c r="J125" s="88">
        <v>0</v>
      </c>
      <c r="K125" s="88"/>
      <c r="L125" s="92"/>
      <c r="M125" s="92" t="s">
        <v>175</v>
      </c>
      <c r="N125"/>
      <c r="O125" s="124">
        <v>20260810</v>
      </c>
      <c r="P125" s="142">
        <v>202608100000005</v>
      </c>
      <c r="Q125" s="125">
        <v>7090</v>
      </c>
      <c r="R125" s="40"/>
      <c r="S125" s="125" t="s">
        <v>167</v>
      </c>
      <c r="T125" s="126" t="s">
        <v>2224</v>
      </c>
      <c r="U125" s="125">
        <v>806.57899999999995</v>
      </c>
    </row>
    <row r="126" spans="1:21" ht="16.5" hidden="1" customHeight="1" thickBot="1">
      <c r="A126" s="92" t="s">
        <v>180</v>
      </c>
      <c r="B126" s="93">
        <v>46244</v>
      </c>
      <c r="C126" s="92" t="s">
        <v>2091</v>
      </c>
      <c r="D126" s="92" t="s">
        <v>2092</v>
      </c>
      <c r="E126" s="92"/>
      <c r="F126" s="92" t="s">
        <v>165</v>
      </c>
      <c r="G126" s="88">
        <v>5492</v>
      </c>
      <c r="H126" s="88">
        <v>3000</v>
      </c>
      <c r="I126" s="88">
        <v>2492</v>
      </c>
      <c r="J126" s="88">
        <v>0</v>
      </c>
      <c r="K126" s="88"/>
      <c r="L126" s="92"/>
      <c r="M126" s="92" t="s">
        <v>175</v>
      </c>
      <c r="N126"/>
      <c r="O126" s="122">
        <v>20260810</v>
      </c>
      <c r="P126" s="141">
        <v>202608100000006</v>
      </c>
      <c r="Q126" s="123">
        <v>5492</v>
      </c>
      <c r="R126" s="43"/>
      <c r="S126" s="123" t="s">
        <v>167</v>
      </c>
      <c r="T126" s="123" t="s">
        <v>2225</v>
      </c>
      <c r="U126" s="123">
        <v>812.07100000000003</v>
      </c>
    </row>
    <row r="127" spans="1:21" ht="16.5" customHeight="1" thickBot="1">
      <c r="A127" s="92" t="s">
        <v>180</v>
      </c>
      <c r="B127" s="93">
        <v>46244</v>
      </c>
      <c r="C127" s="92" t="s">
        <v>2873</v>
      </c>
      <c r="D127" s="92" t="s">
        <v>2874</v>
      </c>
      <c r="E127" s="92"/>
      <c r="F127" s="92" t="s">
        <v>179</v>
      </c>
      <c r="G127" s="88">
        <v>3297</v>
      </c>
      <c r="H127" s="88">
        <v>3297</v>
      </c>
      <c r="I127" s="88">
        <v>0</v>
      </c>
      <c r="J127" s="88">
        <v>0</v>
      </c>
      <c r="K127" s="88"/>
      <c r="L127" s="92"/>
      <c r="M127" s="92" t="s">
        <v>175</v>
      </c>
      <c r="N127" t="s">
        <v>4134</v>
      </c>
      <c r="O127" s="124">
        <v>20260810</v>
      </c>
      <c r="P127" s="142">
        <v>202608100000007</v>
      </c>
      <c r="Q127" s="125">
        <v>3297</v>
      </c>
      <c r="R127" s="40"/>
      <c r="S127" s="125" t="s">
        <v>167</v>
      </c>
      <c r="T127" s="126" t="s">
        <v>2226</v>
      </c>
      <c r="U127" s="125">
        <v>815.36800000000005</v>
      </c>
    </row>
    <row r="128" spans="1:21" ht="16.5" customHeight="1" thickBot="1">
      <c r="A128" s="92" t="s">
        <v>162</v>
      </c>
      <c r="B128" s="93">
        <v>46244</v>
      </c>
      <c r="C128" s="92" t="e">
        <v>#N/A</v>
      </c>
      <c r="D128" s="92"/>
      <c r="E128" s="92"/>
      <c r="F128" s="92" t="s">
        <v>179</v>
      </c>
      <c r="G128" s="88">
        <v>1797</v>
      </c>
      <c r="H128" s="88">
        <v>1797</v>
      </c>
      <c r="I128" s="88">
        <v>0</v>
      </c>
      <c r="J128" s="88">
        <v>0</v>
      </c>
      <c r="K128" s="88"/>
      <c r="L128" s="92"/>
      <c r="M128" s="92" t="s">
        <v>166</v>
      </c>
      <c r="N128" t="s">
        <v>4090</v>
      </c>
      <c r="O128" s="122">
        <v>20260810</v>
      </c>
      <c r="P128" s="141">
        <v>202608100000008</v>
      </c>
      <c r="Q128" s="123">
        <v>1797</v>
      </c>
      <c r="R128" s="43"/>
      <c r="S128" s="123" t="s">
        <v>167</v>
      </c>
      <c r="T128" s="127" t="s">
        <v>2227</v>
      </c>
      <c r="U128" s="123">
        <v>817.16499999999996</v>
      </c>
    </row>
    <row r="129" spans="1:21" ht="16.5" customHeight="1" thickBot="1">
      <c r="A129" s="92" t="s">
        <v>180</v>
      </c>
      <c r="B129" s="93">
        <v>46244</v>
      </c>
      <c r="C129" s="92" t="s">
        <v>2855</v>
      </c>
      <c r="D129" s="92" t="s">
        <v>2856</v>
      </c>
      <c r="E129" s="92"/>
      <c r="F129" s="92" t="s">
        <v>179</v>
      </c>
      <c r="G129" s="88">
        <v>3297</v>
      </c>
      <c r="H129" s="88">
        <v>3297</v>
      </c>
      <c r="I129" s="88">
        <v>0</v>
      </c>
      <c r="J129" s="88">
        <v>0</v>
      </c>
      <c r="K129" s="88"/>
      <c r="L129" s="92"/>
      <c r="M129" s="92" t="s">
        <v>175</v>
      </c>
      <c r="N129" t="s">
        <v>4159</v>
      </c>
      <c r="O129" s="124">
        <v>20260810</v>
      </c>
      <c r="P129" s="142">
        <v>202608100000009</v>
      </c>
      <c r="Q129" s="125">
        <v>3297</v>
      </c>
      <c r="R129" s="40"/>
      <c r="S129" s="125" t="s">
        <v>167</v>
      </c>
      <c r="T129" s="126" t="s">
        <v>2228</v>
      </c>
      <c r="U129" s="125">
        <v>820.46199999999999</v>
      </c>
    </row>
    <row r="130" spans="1:21" ht="32.25" customHeight="1" thickBot="1">
      <c r="A130" s="92" t="s">
        <v>162</v>
      </c>
      <c r="B130" s="93">
        <v>46244</v>
      </c>
      <c r="C130" s="92" t="e">
        <v>#N/A</v>
      </c>
      <c r="D130" s="92"/>
      <c r="E130" s="92"/>
      <c r="F130" s="92" t="s">
        <v>179</v>
      </c>
      <c r="G130" s="88">
        <v>1797</v>
      </c>
      <c r="H130" s="88">
        <v>1797</v>
      </c>
      <c r="I130" s="88">
        <v>0</v>
      </c>
      <c r="J130" s="88">
        <v>0</v>
      </c>
      <c r="K130" s="88"/>
      <c r="L130" s="92"/>
      <c r="M130" s="92" t="s">
        <v>166</v>
      </c>
      <c r="N130" t="s">
        <v>4107</v>
      </c>
      <c r="O130" s="122">
        <v>20260810</v>
      </c>
      <c r="P130" s="141">
        <v>202608100000010</v>
      </c>
      <c r="Q130" s="123">
        <v>1797</v>
      </c>
      <c r="R130" s="43"/>
      <c r="S130" s="123" t="s">
        <v>167</v>
      </c>
      <c r="T130" s="127" t="s">
        <v>2229</v>
      </c>
      <c r="U130" s="123">
        <v>822.25900000000001</v>
      </c>
    </row>
    <row r="131" spans="1:21" ht="16.5" customHeight="1" thickBot="1">
      <c r="A131" s="92" t="s">
        <v>180</v>
      </c>
      <c r="B131" s="93">
        <v>46244</v>
      </c>
      <c r="C131" s="92" t="s">
        <v>2914</v>
      </c>
      <c r="D131" s="92" t="s">
        <v>2915</v>
      </c>
      <c r="E131" s="92"/>
      <c r="F131" s="92" t="s">
        <v>179</v>
      </c>
      <c r="G131" s="88">
        <v>3297</v>
      </c>
      <c r="H131" s="88">
        <v>3297</v>
      </c>
      <c r="I131" s="88">
        <v>0</v>
      </c>
      <c r="J131" s="88">
        <v>0</v>
      </c>
      <c r="K131" s="88"/>
      <c r="L131" s="92"/>
      <c r="M131" s="92" t="s">
        <v>175</v>
      </c>
      <c r="N131" t="s">
        <v>4230</v>
      </c>
      <c r="O131" s="124">
        <v>20260810</v>
      </c>
      <c r="P131" s="142">
        <v>202608100000011</v>
      </c>
      <c r="Q131" s="125">
        <v>3297</v>
      </c>
      <c r="R131" s="40"/>
      <c r="S131" s="125" t="s">
        <v>167</v>
      </c>
      <c r="T131" s="126" t="s">
        <v>2230</v>
      </c>
      <c r="U131" s="125">
        <v>825.55600000000004</v>
      </c>
    </row>
    <row r="132" spans="1:21" ht="16.5" hidden="1" customHeight="1" thickBot="1">
      <c r="A132" s="92" t="s">
        <v>172</v>
      </c>
      <c r="B132" s="93">
        <v>46244</v>
      </c>
      <c r="C132" s="92" t="s">
        <v>2916</v>
      </c>
      <c r="D132" s="92" t="s">
        <v>2917</v>
      </c>
      <c r="E132" s="92"/>
      <c r="F132" s="92" t="s">
        <v>165</v>
      </c>
      <c r="G132" s="88">
        <v>5252</v>
      </c>
      <c r="H132" s="88">
        <v>3000</v>
      </c>
      <c r="I132" s="88">
        <v>2252</v>
      </c>
      <c r="J132" s="88">
        <v>0</v>
      </c>
      <c r="K132" s="88"/>
      <c r="L132" s="92"/>
      <c r="M132" s="92" t="s">
        <v>175</v>
      </c>
      <c r="N132"/>
      <c r="O132" s="122">
        <v>20260810</v>
      </c>
      <c r="P132" s="141">
        <v>202608100000012</v>
      </c>
      <c r="Q132" s="123">
        <v>5252</v>
      </c>
      <c r="R132" s="43"/>
      <c r="S132" s="123" t="s">
        <v>167</v>
      </c>
      <c r="T132" s="127" t="s">
        <v>2231</v>
      </c>
      <c r="U132" s="123">
        <v>830.80799999999999</v>
      </c>
    </row>
    <row r="133" spans="1:21" ht="16.5" customHeight="1" thickBot="1">
      <c r="A133" s="92" t="s">
        <v>172</v>
      </c>
      <c r="B133" s="93">
        <v>46244</v>
      </c>
      <c r="C133" s="92" t="s">
        <v>2918</v>
      </c>
      <c r="D133" s="92" t="s">
        <v>2919</v>
      </c>
      <c r="E133" s="92"/>
      <c r="F133" s="92" t="s">
        <v>179</v>
      </c>
      <c r="G133" s="88">
        <v>4290</v>
      </c>
      <c r="H133" s="88">
        <v>4000</v>
      </c>
      <c r="I133" s="88">
        <v>290</v>
      </c>
      <c r="J133" s="88">
        <v>0</v>
      </c>
      <c r="K133" s="88"/>
      <c r="L133" s="92"/>
      <c r="M133" s="92" t="s">
        <v>175</v>
      </c>
      <c r="N133" t="s">
        <v>4165</v>
      </c>
      <c r="O133" s="124">
        <v>20260810</v>
      </c>
      <c r="P133" s="142">
        <v>202608100000013</v>
      </c>
      <c r="Q133" s="125">
        <v>4290</v>
      </c>
      <c r="R133" s="40"/>
      <c r="S133" s="125" t="s">
        <v>167</v>
      </c>
      <c r="T133" s="126" t="s">
        <v>2232</v>
      </c>
      <c r="U133" s="125">
        <v>835.09799999999996</v>
      </c>
    </row>
    <row r="134" spans="1:21" ht="16.5" customHeight="1" thickBot="1">
      <c r="A134" s="92" t="s">
        <v>180</v>
      </c>
      <c r="B134" s="93">
        <v>46244</v>
      </c>
      <c r="C134" s="92" t="s">
        <v>2065</v>
      </c>
      <c r="D134" s="92" t="s">
        <v>2066</v>
      </c>
      <c r="E134" s="92"/>
      <c r="F134" s="92" t="s">
        <v>179</v>
      </c>
      <c r="G134" s="88">
        <v>2797</v>
      </c>
      <c r="H134" s="88">
        <v>2797</v>
      </c>
      <c r="I134" s="88">
        <v>0</v>
      </c>
      <c r="J134" s="88">
        <v>0</v>
      </c>
      <c r="K134" s="88"/>
      <c r="L134" s="92"/>
      <c r="M134" s="92" t="s">
        <v>175</v>
      </c>
      <c r="N134" t="s">
        <v>4144</v>
      </c>
      <c r="O134" s="122">
        <v>20260810</v>
      </c>
      <c r="P134" s="141">
        <v>202608100000014</v>
      </c>
      <c r="Q134" s="123">
        <v>2797</v>
      </c>
      <c r="R134" s="43"/>
      <c r="S134" s="123" t="s">
        <v>167</v>
      </c>
      <c r="T134" s="127" t="s">
        <v>2233</v>
      </c>
      <c r="U134" s="123">
        <v>837.89499999999998</v>
      </c>
    </row>
    <row r="135" spans="1:21" ht="16.5" customHeight="1" thickBot="1">
      <c r="A135" s="92" t="s">
        <v>162</v>
      </c>
      <c r="B135" s="93">
        <v>46244</v>
      </c>
      <c r="C135" s="92" t="e">
        <v>#N/A</v>
      </c>
      <c r="D135" s="92"/>
      <c r="E135" s="92"/>
      <c r="F135" s="92" t="s">
        <v>179</v>
      </c>
      <c r="G135" s="88">
        <v>1797</v>
      </c>
      <c r="H135" s="88">
        <v>1797</v>
      </c>
      <c r="I135" s="88">
        <v>0</v>
      </c>
      <c r="J135" s="88">
        <v>0</v>
      </c>
      <c r="K135" s="88"/>
      <c r="L135" s="92"/>
      <c r="M135" s="92" t="s">
        <v>166</v>
      </c>
      <c r="N135" t="s">
        <v>4081</v>
      </c>
      <c r="O135" s="124">
        <v>20260810</v>
      </c>
      <c r="P135" s="142">
        <v>202608100000015</v>
      </c>
      <c r="Q135" s="125">
        <v>1797</v>
      </c>
      <c r="R135" s="40"/>
      <c r="S135" s="125" t="s">
        <v>167</v>
      </c>
      <c r="T135" s="126" t="s">
        <v>2234</v>
      </c>
      <c r="U135" s="125">
        <v>839.69200000000001</v>
      </c>
    </row>
    <row r="136" spans="1:21" ht="16.5" customHeight="1" thickBot="1">
      <c r="A136" s="92" t="s">
        <v>180</v>
      </c>
      <c r="B136" s="93">
        <v>46244</v>
      </c>
      <c r="C136" s="92" t="s">
        <v>2920</v>
      </c>
      <c r="D136" s="92" t="s">
        <v>2921</v>
      </c>
      <c r="E136" s="92"/>
      <c r="F136" s="92" t="s">
        <v>179</v>
      </c>
      <c r="G136" s="88">
        <v>3292</v>
      </c>
      <c r="H136" s="88">
        <v>3000</v>
      </c>
      <c r="I136" s="88">
        <v>292</v>
      </c>
      <c r="J136" s="88">
        <v>0</v>
      </c>
      <c r="K136" s="88"/>
      <c r="L136" s="92"/>
      <c r="M136" s="92" t="s">
        <v>175</v>
      </c>
      <c r="N136" t="s">
        <v>4142</v>
      </c>
      <c r="O136" s="122">
        <v>20260810</v>
      </c>
      <c r="P136" s="141">
        <v>202608100000016</v>
      </c>
      <c r="Q136" s="123">
        <v>3292</v>
      </c>
      <c r="R136" s="43"/>
      <c r="S136" s="123" t="s">
        <v>167</v>
      </c>
      <c r="T136" s="127" t="s">
        <v>2235</v>
      </c>
      <c r="U136" s="123">
        <v>842.98400000000004</v>
      </c>
    </row>
    <row r="137" spans="1:21" ht="16.5" customHeight="1" thickBot="1">
      <c r="A137" s="92" t="s">
        <v>162</v>
      </c>
      <c r="B137" s="93">
        <v>46244</v>
      </c>
      <c r="C137" s="92" t="e">
        <v>#N/A</v>
      </c>
      <c r="D137" s="92"/>
      <c r="E137" s="92"/>
      <c r="F137" s="92" t="s">
        <v>179</v>
      </c>
      <c r="G137" s="88">
        <v>1797</v>
      </c>
      <c r="H137" s="88">
        <v>1797</v>
      </c>
      <c r="I137" s="88">
        <v>0</v>
      </c>
      <c r="J137" s="88">
        <v>0</v>
      </c>
      <c r="K137" s="88"/>
      <c r="L137" s="92"/>
      <c r="M137" s="92" t="s">
        <v>166</v>
      </c>
      <c r="N137" t="s">
        <v>4108</v>
      </c>
      <c r="O137" s="124">
        <v>20260810</v>
      </c>
      <c r="P137" s="142">
        <v>202608100000017</v>
      </c>
      <c r="Q137" s="125">
        <v>1797</v>
      </c>
      <c r="R137" s="40"/>
      <c r="S137" s="125" t="s">
        <v>167</v>
      </c>
      <c r="T137" s="126" t="s">
        <v>2236</v>
      </c>
      <c r="U137" s="125">
        <v>844.78099999999995</v>
      </c>
    </row>
    <row r="138" spans="1:21" ht="16.5" customHeight="1" thickBot="1">
      <c r="A138" s="92" t="s">
        <v>180</v>
      </c>
      <c r="B138" s="93">
        <v>46244</v>
      </c>
      <c r="C138" s="92" t="s">
        <v>2922</v>
      </c>
      <c r="D138" s="92" t="s">
        <v>2923</v>
      </c>
      <c r="E138" s="92"/>
      <c r="F138" s="92" t="s">
        <v>179</v>
      </c>
      <c r="G138" s="88">
        <v>3297</v>
      </c>
      <c r="H138" s="88">
        <v>3297</v>
      </c>
      <c r="I138" s="88">
        <v>0</v>
      </c>
      <c r="J138" s="88">
        <v>0</v>
      </c>
      <c r="K138" s="88"/>
      <c r="L138" s="92"/>
      <c r="M138" s="92" t="s">
        <v>175</v>
      </c>
      <c r="N138" t="s">
        <v>4158</v>
      </c>
      <c r="O138" s="122">
        <v>20260810</v>
      </c>
      <c r="P138" s="141">
        <v>202608100000018</v>
      </c>
      <c r="Q138" s="123">
        <v>3297</v>
      </c>
      <c r="R138" s="43"/>
      <c r="S138" s="123" t="s">
        <v>167</v>
      </c>
      <c r="T138" s="127" t="s">
        <v>2237</v>
      </c>
      <c r="U138" s="123">
        <v>848.07799999999997</v>
      </c>
    </row>
    <row r="139" spans="1:21" ht="16.5" hidden="1" customHeight="1" thickBot="1">
      <c r="A139" s="92" t="s">
        <v>172</v>
      </c>
      <c r="B139" s="93">
        <v>46244</v>
      </c>
      <c r="C139" s="92" t="s">
        <v>2924</v>
      </c>
      <c r="D139" s="92" t="s">
        <v>2925</v>
      </c>
      <c r="E139" s="92"/>
      <c r="F139" s="92" t="s">
        <v>165</v>
      </c>
      <c r="G139" s="88">
        <v>5215</v>
      </c>
      <c r="H139" s="88">
        <v>3000</v>
      </c>
      <c r="I139" s="88">
        <v>2215</v>
      </c>
      <c r="J139" s="88">
        <v>0</v>
      </c>
      <c r="K139" s="88"/>
      <c r="L139" s="92"/>
      <c r="M139" s="92" t="s">
        <v>175</v>
      </c>
      <c r="N139"/>
      <c r="O139" s="124">
        <v>20260810</v>
      </c>
      <c r="P139" s="142">
        <v>202608100000019</v>
      </c>
      <c r="Q139" s="125">
        <v>5215</v>
      </c>
      <c r="R139" s="40"/>
      <c r="S139" s="125" t="s">
        <v>167</v>
      </c>
      <c r="T139" s="126" t="s">
        <v>2238</v>
      </c>
      <c r="U139" s="125">
        <v>853.29300000000001</v>
      </c>
    </row>
    <row r="140" spans="1:21" ht="16.5" hidden="1" customHeight="1" thickBot="1">
      <c r="A140" s="92" t="s">
        <v>172</v>
      </c>
      <c r="B140" s="93">
        <v>46244</v>
      </c>
      <c r="C140" s="92" t="s">
        <v>2926</v>
      </c>
      <c r="D140" s="92" t="s">
        <v>2927</v>
      </c>
      <c r="E140" s="92"/>
      <c r="F140" s="92" t="s">
        <v>165</v>
      </c>
      <c r="G140" s="88">
        <v>4290</v>
      </c>
      <c r="H140" s="88">
        <v>3000</v>
      </c>
      <c r="I140" s="88">
        <v>1290</v>
      </c>
      <c r="J140" s="88">
        <v>0</v>
      </c>
      <c r="K140" s="88"/>
      <c r="L140" s="92"/>
      <c r="M140" s="92" t="s">
        <v>175</v>
      </c>
      <c r="N140"/>
      <c r="O140" s="122">
        <v>20260810</v>
      </c>
      <c r="P140" s="141">
        <v>202608100000020</v>
      </c>
      <c r="Q140" s="123">
        <v>4290</v>
      </c>
      <c r="R140" s="43"/>
      <c r="S140" s="123" t="s">
        <v>167</v>
      </c>
      <c r="T140" s="127" t="s">
        <v>2239</v>
      </c>
      <c r="U140" s="123">
        <v>857.58299999999997</v>
      </c>
    </row>
    <row r="141" spans="1:21" ht="16.5" customHeight="1" thickBot="1">
      <c r="A141" s="92" t="s">
        <v>176</v>
      </c>
      <c r="B141" s="93">
        <v>46244</v>
      </c>
      <c r="C141" s="92" t="s">
        <v>2928</v>
      </c>
      <c r="D141" s="92" t="s">
        <v>2929</v>
      </c>
      <c r="E141" s="92"/>
      <c r="F141" s="92" t="s">
        <v>179</v>
      </c>
      <c r="G141" s="88">
        <v>4290</v>
      </c>
      <c r="H141" s="88">
        <v>4000</v>
      </c>
      <c r="I141" s="88">
        <v>290</v>
      </c>
      <c r="J141" s="88">
        <v>0</v>
      </c>
      <c r="K141" s="88"/>
      <c r="L141" s="92"/>
      <c r="M141" s="92" t="s">
        <v>175</v>
      </c>
      <c r="N141" t="s">
        <v>4179</v>
      </c>
      <c r="O141" s="124">
        <v>20260810</v>
      </c>
      <c r="P141" s="142">
        <v>202608100000021</v>
      </c>
      <c r="Q141" s="125">
        <v>4290</v>
      </c>
      <c r="R141" s="40"/>
      <c r="S141" s="125" t="s">
        <v>167</v>
      </c>
      <c r="T141" s="126" t="s">
        <v>2240</v>
      </c>
      <c r="U141" s="125">
        <v>861.87300000000005</v>
      </c>
    </row>
    <row r="142" spans="1:21" ht="16.5" hidden="1" customHeight="1" thickBot="1">
      <c r="A142" s="92" t="s">
        <v>172</v>
      </c>
      <c r="B142" s="93">
        <v>46244</v>
      </c>
      <c r="C142" s="92" t="s">
        <v>2930</v>
      </c>
      <c r="D142" s="92" t="s">
        <v>2931</v>
      </c>
      <c r="E142" s="92"/>
      <c r="F142" s="92" t="s">
        <v>165</v>
      </c>
      <c r="G142" s="88">
        <v>5252</v>
      </c>
      <c r="H142" s="88">
        <v>3000</v>
      </c>
      <c r="I142" s="88">
        <v>2252</v>
      </c>
      <c r="J142" s="88">
        <v>0</v>
      </c>
      <c r="K142" s="88"/>
      <c r="L142" s="92"/>
      <c r="M142" s="92" t="s">
        <v>175</v>
      </c>
      <c r="N142"/>
      <c r="O142" s="122">
        <v>20260810</v>
      </c>
      <c r="P142" s="141">
        <v>202608100000022</v>
      </c>
      <c r="Q142" s="123">
        <v>5252</v>
      </c>
      <c r="R142" s="43"/>
      <c r="S142" s="123" t="s">
        <v>167</v>
      </c>
      <c r="T142" s="127" t="s">
        <v>2241</v>
      </c>
      <c r="U142" s="123">
        <v>867.125</v>
      </c>
    </row>
    <row r="143" spans="1:21" ht="16.5" customHeight="1" thickBot="1">
      <c r="A143" s="92" t="s">
        <v>172</v>
      </c>
      <c r="B143" s="93">
        <v>46244</v>
      </c>
      <c r="C143" s="92" t="s">
        <v>2932</v>
      </c>
      <c r="D143" s="92" t="s">
        <v>2933</v>
      </c>
      <c r="E143" s="92"/>
      <c r="F143" s="92" t="s">
        <v>179</v>
      </c>
      <c r="G143" s="88">
        <v>4290</v>
      </c>
      <c r="H143" s="88">
        <v>4000</v>
      </c>
      <c r="I143" s="88">
        <v>290</v>
      </c>
      <c r="J143" s="88">
        <v>0</v>
      </c>
      <c r="K143" s="88"/>
      <c r="L143" s="92"/>
      <c r="M143" s="92" t="s">
        <v>175</v>
      </c>
      <c r="N143" t="s">
        <v>4236</v>
      </c>
      <c r="O143" s="124">
        <v>20260810</v>
      </c>
      <c r="P143" s="142">
        <v>202608100000023</v>
      </c>
      <c r="Q143" s="125">
        <v>4290</v>
      </c>
      <c r="R143" s="40"/>
      <c r="S143" s="125" t="s">
        <v>167</v>
      </c>
      <c r="T143" s="126" t="s">
        <v>2242</v>
      </c>
      <c r="U143" s="125">
        <v>871.41499999999996</v>
      </c>
    </row>
    <row r="144" spans="1:21" ht="16.5" hidden="1" customHeight="1" thickBot="1">
      <c r="A144" s="92" t="s">
        <v>162</v>
      </c>
      <c r="B144" s="93">
        <v>46244</v>
      </c>
      <c r="C144" s="92" t="s">
        <v>324</v>
      </c>
      <c r="D144" s="92" t="s">
        <v>325</v>
      </c>
      <c r="E144" s="92"/>
      <c r="F144" s="92" t="s">
        <v>165</v>
      </c>
      <c r="G144" s="88">
        <v>2475</v>
      </c>
      <c r="H144" s="88"/>
      <c r="I144" s="88">
        <v>2475</v>
      </c>
      <c r="J144" s="88">
        <v>0</v>
      </c>
      <c r="K144" s="88"/>
      <c r="L144" s="92"/>
      <c r="M144" s="92" t="s">
        <v>166</v>
      </c>
      <c r="O144" s="122">
        <v>20260810</v>
      </c>
      <c r="P144" s="141">
        <v>202608100000024</v>
      </c>
      <c r="Q144" s="123">
        <v>2475</v>
      </c>
      <c r="R144" s="43"/>
      <c r="S144" s="123" t="s">
        <v>167</v>
      </c>
      <c r="T144" s="123" t="s">
        <v>330</v>
      </c>
      <c r="U144" s="123">
        <v>873.89</v>
      </c>
    </row>
    <row r="145" spans="1:21" ht="16.5" hidden="1" customHeight="1" thickBot="1">
      <c r="A145" s="92" t="s">
        <v>180</v>
      </c>
      <c r="B145" s="93">
        <v>46244</v>
      </c>
      <c r="C145" s="92" t="s">
        <v>441</v>
      </c>
      <c r="D145" s="92" t="s">
        <v>442</v>
      </c>
      <c r="E145" s="92"/>
      <c r="F145" s="92" t="s">
        <v>165</v>
      </c>
      <c r="G145" s="88">
        <v>3850</v>
      </c>
      <c r="H145" s="88"/>
      <c r="I145" s="88">
        <v>3850</v>
      </c>
      <c r="J145" s="88">
        <v>0</v>
      </c>
      <c r="K145" s="88"/>
      <c r="L145" s="92"/>
      <c r="M145" s="92" t="s">
        <v>175</v>
      </c>
      <c r="O145" s="124">
        <v>20260810</v>
      </c>
      <c r="P145" s="142">
        <v>202608100000025</v>
      </c>
      <c r="Q145" s="125">
        <v>3850</v>
      </c>
      <c r="R145" s="40"/>
      <c r="S145" s="125" t="s">
        <v>167</v>
      </c>
      <c r="T145" s="125" t="s">
        <v>2243</v>
      </c>
      <c r="U145" s="125">
        <v>877.74</v>
      </c>
    </row>
    <row r="146" spans="1:21" ht="16.5" hidden="1" customHeight="1" thickBot="1">
      <c r="A146" s="92" t="s">
        <v>172</v>
      </c>
      <c r="B146" s="93">
        <v>46244</v>
      </c>
      <c r="C146" s="92" t="s">
        <v>2934</v>
      </c>
      <c r="D146" s="92" t="s">
        <v>2935</v>
      </c>
      <c r="E146" s="92"/>
      <c r="F146" s="92" t="s">
        <v>165</v>
      </c>
      <c r="G146" s="88">
        <v>6000</v>
      </c>
      <c r="H146" s="88">
        <v>4000</v>
      </c>
      <c r="I146" s="88">
        <v>2000</v>
      </c>
      <c r="J146" s="88">
        <v>0</v>
      </c>
      <c r="K146" s="88"/>
      <c r="L146" s="92"/>
      <c r="M146" s="92" t="s">
        <v>175</v>
      </c>
      <c r="O146" s="23">
        <v>20260810</v>
      </c>
      <c r="P146" s="31">
        <v>202608100000026</v>
      </c>
      <c r="Q146" s="24">
        <v>6000</v>
      </c>
      <c r="R146" s="25"/>
      <c r="S146" s="24" t="s">
        <v>167</v>
      </c>
      <c r="T146" s="24" t="s">
        <v>2244</v>
      </c>
      <c r="U146" s="24">
        <v>883.74</v>
      </c>
    </row>
    <row r="147" spans="1:21" ht="21.75" customHeight="1" thickBot="1">
      <c r="A147" s="92" t="s">
        <v>176</v>
      </c>
      <c r="B147" s="93">
        <v>46244</v>
      </c>
      <c r="C147" s="92" t="s">
        <v>214</v>
      </c>
      <c r="D147" s="92" t="s">
        <v>215</v>
      </c>
      <c r="E147" s="92"/>
      <c r="F147" s="92" t="s">
        <v>179</v>
      </c>
      <c r="G147" s="88">
        <v>6850</v>
      </c>
      <c r="H147" s="88">
        <v>6850</v>
      </c>
      <c r="I147" s="88">
        <v>0</v>
      </c>
      <c r="J147" s="88">
        <v>0</v>
      </c>
      <c r="K147" s="88"/>
      <c r="L147" s="92"/>
      <c r="M147" s="92" t="s">
        <v>175</v>
      </c>
      <c r="N147" t="s">
        <v>4233</v>
      </c>
      <c r="O147" s="26">
        <v>20260810</v>
      </c>
      <c r="P147" s="32">
        <v>202608100000027</v>
      </c>
      <c r="Q147" s="27">
        <v>6850</v>
      </c>
      <c r="R147" s="28"/>
      <c r="S147" s="27" t="s">
        <v>167</v>
      </c>
      <c r="T147" s="27" t="s">
        <v>286</v>
      </c>
      <c r="U147" s="27">
        <v>890.59</v>
      </c>
    </row>
    <row r="148" spans="1:21" ht="16.5" hidden="1" customHeight="1" thickBot="1">
      <c r="A148" s="92" t="s">
        <v>162</v>
      </c>
      <c r="B148" s="93">
        <v>46244</v>
      </c>
      <c r="C148" s="92" t="s">
        <v>388</v>
      </c>
      <c r="D148" s="92" t="s">
        <v>389</v>
      </c>
      <c r="E148" s="92"/>
      <c r="F148" s="92" t="s">
        <v>165</v>
      </c>
      <c r="G148" s="88">
        <v>3850</v>
      </c>
      <c r="H148" s="88"/>
      <c r="I148" s="88">
        <v>3850</v>
      </c>
      <c r="J148" s="88">
        <v>0</v>
      </c>
      <c r="K148" s="88"/>
      <c r="L148" s="92"/>
      <c r="M148" s="92" t="s">
        <v>166</v>
      </c>
      <c r="O148" s="20">
        <v>20260810</v>
      </c>
      <c r="P148" s="30">
        <v>202608100000028</v>
      </c>
      <c r="Q148" s="21">
        <v>3850</v>
      </c>
      <c r="R148" s="22"/>
      <c r="S148" s="21" t="s">
        <v>167</v>
      </c>
      <c r="T148" s="21" t="s">
        <v>208</v>
      </c>
      <c r="U148" s="21">
        <v>894.44</v>
      </c>
    </row>
    <row r="149" spans="1:21" ht="16.5" hidden="1" customHeight="1" thickBot="1">
      <c r="A149" s="92" t="s">
        <v>172</v>
      </c>
      <c r="B149" s="93">
        <v>46244</v>
      </c>
      <c r="C149" s="92" t="s">
        <v>2936</v>
      </c>
      <c r="D149" s="92" t="s">
        <v>2937</v>
      </c>
      <c r="E149" s="92"/>
      <c r="F149" s="92" t="s">
        <v>165</v>
      </c>
      <c r="G149" s="88">
        <v>4960</v>
      </c>
      <c r="H149" s="88">
        <v>3000</v>
      </c>
      <c r="I149" s="88">
        <v>1960</v>
      </c>
      <c r="J149" s="88">
        <v>0</v>
      </c>
      <c r="K149" s="88"/>
      <c r="L149" s="92"/>
      <c r="M149" s="92" t="s">
        <v>175</v>
      </c>
      <c r="N149"/>
      <c r="O149" s="23">
        <v>20260810</v>
      </c>
      <c r="P149" s="31">
        <v>202608100000029</v>
      </c>
      <c r="Q149" s="24">
        <v>4960</v>
      </c>
      <c r="R149" s="25"/>
      <c r="S149" s="24" t="s">
        <v>167</v>
      </c>
      <c r="T149" s="24" t="s">
        <v>2245</v>
      </c>
      <c r="U149" s="24">
        <v>899.4</v>
      </c>
    </row>
    <row r="150" spans="1:21" ht="16.5" hidden="1" customHeight="1" thickBot="1">
      <c r="A150" s="92" t="s">
        <v>162</v>
      </c>
      <c r="B150" s="93">
        <v>46244</v>
      </c>
      <c r="C150" s="92" t="s">
        <v>355</v>
      </c>
      <c r="D150" s="92" t="s">
        <v>356</v>
      </c>
      <c r="E150" s="92"/>
      <c r="F150" s="92" t="s">
        <v>165</v>
      </c>
      <c r="G150" s="88">
        <v>2915</v>
      </c>
      <c r="H150" s="88"/>
      <c r="I150" s="88">
        <v>2915</v>
      </c>
      <c r="J150" s="88">
        <v>0</v>
      </c>
      <c r="K150" s="88"/>
      <c r="L150" s="92"/>
      <c r="M150" s="92" t="s">
        <v>166</v>
      </c>
      <c r="N150"/>
      <c r="O150" s="26">
        <v>20260810</v>
      </c>
      <c r="P150" s="32">
        <v>202608100000030</v>
      </c>
      <c r="Q150" s="27">
        <v>2915</v>
      </c>
      <c r="R150" s="28"/>
      <c r="S150" s="27" t="s">
        <v>167</v>
      </c>
      <c r="T150" s="27" t="s">
        <v>357</v>
      </c>
      <c r="U150" s="27">
        <v>902.31500000000005</v>
      </c>
    </row>
    <row r="151" spans="1:21" ht="16.5" hidden="1" customHeight="1" thickBot="1">
      <c r="A151" s="92" t="s">
        <v>3293</v>
      </c>
      <c r="B151" s="93">
        <v>46244</v>
      </c>
      <c r="C151" s="92" t="s">
        <v>321</v>
      </c>
      <c r="D151" s="92" t="s">
        <v>322</v>
      </c>
      <c r="E151" s="92"/>
      <c r="F151" s="92" t="s">
        <v>165</v>
      </c>
      <c r="G151" s="88">
        <v>5830</v>
      </c>
      <c r="H151" s="88"/>
      <c r="I151" s="88">
        <v>5830</v>
      </c>
      <c r="J151" s="88">
        <v>0</v>
      </c>
      <c r="K151" s="88"/>
      <c r="L151" s="92"/>
      <c r="M151" s="92" t="s">
        <v>175</v>
      </c>
      <c r="N151"/>
      <c r="O151" s="23">
        <v>20260810</v>
      </c>
      <c r="P151" s="31">
        <v>202608100000031</v>
      </c>
      <c r="Q151" s="24">
        <v>5830</v>
      </c>
      <c r="R151" s="25"/>
      <c r="S151" s="24" t="s">
        <v>184</v>
      </c>
      <c r="T151" s="24" t="s">
        <v>2246</v>
      </c>
      <c r="U151" s="24">
        <v>908.14499999999998</v>
      </c>
    </row>
    <row r="152" spans="1:21" ht="21.75" customHeight="1" thickBot="1">
      <c r="A152" s="92" t="s">
        <v>176</v>
      </c>
      <c r="B152" s="93">
        <v>46245</v>
      </c>
      <c r="C152" s="92" t="s">
        <v>214</v>
      </c>
      <c r="D152" s="92" t="s">
        <v>215</v>
      </c>
      <c r="E152" s="92"/>
      <c r="F152" s="92" t="s">
        <v>179</v>
      </c>
      <c r="G152" s="88">
        <v>8000</v>
      </c>
      <c r="H152" s="88">
        <v>8000</v>
      </c>
      <c r="I152" s="88">
        <v>0</v>
      </c>
      <c r="J152" s="88">
        <v>0</v>
      </c>
      <c r="K152" s="88"/>
      <c r="L152" s="92"/>
      <c r="M152" s="92" t="s">
        <v>175</v>
      </c>
      <c r="N152" t="s">
        <v>4234</v>
      </c>
      <c r="O152" s="26">
        <v>20260811</v>
      </c>
      <c r="P152" s="32">
        <v>202608110000001</v>
      </c>
      <c r="Q152" s="27">
        <v>8000</v>
      </c>
      <c r="R152" s="28"/>
      <c r="S152" s="27" t="s">
        <v>167</v>
      </c>
      <c r="T152" s="27" t="s">
        <v>2247</v>
      </c>
      <c r="U152" s="27">
        <v>916.14499999999998</v>
      </c>
    </row>
    <row r="153" spans="1:21" ht="16.5" customHeight="1" thickBot="1">
      <c r="A153" s="92" t="s">
        <v>180</v>
      </c>
      <c r="B153" s="93">
        <v>46245</v>
      </c>
      <c r="C153" s="92" t="s">
        <v>2938</v>
      </c>
      <c r="D153" s="92" t="s">
        <v>2939</v>
      </c>
      <c r="E153" s="92"/>
      <c r="F153" s="92" t="s">
        <v>179</v>
      </c>
      <c r="G153" s="88">
        <v>500</v>
      </c>
      <c r="H153" s="88">
        <v>500</v>
      </c>
      <c r="I153" s="88">
        <v>0</v>
      </c>
      <c r="J153" s="88">
        <v>0</v>
      </c>
      <c r="K153" s="88"/>
      <c r="L153" s="92"/>
      <c r="M153" s="92" t="s">
        <v>175</v>
      </c>
      <c r="N153" t="s">
        <v>4142</v>
      </c>
      <c r="O153" s="23">
        <v>20260811</v>
      </c>
      <c r="P153" s="31">
        <v>202608110000002</v>
      </c>
      <c r="Q153" s="24">
        <v>500</v>
      </c>
      <c r="R153" s="25"/>
      <c r="S153" s="24" t="s">
        <v>167</v>
      </c>
      <c r="T153" s="24" t="s">
        <v>2248</v>
      </c>
      <c r="U153" s="24">
        <v>916.64499999999998</v>
      </c>
    </row>
    <row r="154" spans="1:21" ht="16.5" customHeight="1" thickBot="1">
      <c r="A154" s="92" t="s">
        <v>176</v>
      </c>
      <c r="B154" s="93">
        <v>46245</v>
      </c>
      <c r="C154" s="92" t="s">
        <v>386</v>
      </c>
      <c r="D154" s="92" t="s">
        <v>387</v>
      </c>
      <c r="E154" s="92"/>
      <c r="F154" s="92" t="s">
        <v>179</v>
      </c>
      <c r="G154" s="88">
        <v>6850</v>
      </c>
      <c r="H154" s="88">
        <v>6850</v>
      </c>
      <c r="I154" s="88">
        <v>0</v>
      </c>
      <c r="J154" s="88">
        <v>0</v>
      </c>
      <c r="K154" s="88"/>
      <c r="L154" s="92"/>
      <c r="M154" s="92" t="s">
        <v>175</v>
      </c>
      <c r="N154" t="s">
        <v>4131</v>
      </c>
      <c r="O154" s="23">
        <v>20260811</v>
      </c>
      <c r="P154" s="31">
        <v>202608110000003</v>
      </c>
      <c r="Q154" s="24">
        <v>6850</v>
      </c>
      <c r="R154" s="25"/>
      <c r="S154" s="24" t="s">
        <v>167</v>
      </c>
      <c r="T154" s="24" t="s">
        <v>208</v>
      </c>
      <c r="U154" s="24">
        <v>923.495</v>
      </c>
    </row>
    <row r="155" spans="1:21" ht="16.5" customHeight="1" thickBot="1">
      <c r="A155" s="92" t="s">
        <v>176</v>
      </c>
      <c r="B155" s="93">
        <v>46245</v>
      </c>
      <c r="C155" s="92" t="s">
        <v>214</v>
      </c>
      <c r="D155" s="92" t="s">
        <v>215</v>
      </c>
      <c r="E155" s="92"/>
      <c r="F155" s="92" t="s">
        <v>179</v>
      </c>
      <c r="G155" s="88">
        <v>6850</v>
      </c>
      <c r="H155" s="88">
        <v>6850</v>
      </c>
      <c r="I155" s="88">
        <v>0</v>
      </c>
      <c r="J155" s="88">
        <v>0</v>
      </c>
      <c r="K155" s="88"/>
      <c r="L155" s="92"/>
      <c r="M155" s="92" t="s">
        <v>175</v>
      </c>
      <c r="N155" t="s">
        <v>4235</v>
      </c>
      <c r="O155" s="26">
        <v>20260811</v>
      </c>
      <c r="P155" s="32">
        <v>202608110000004</v>
      </c>
      <c r="Q155" s="27">
        <v>6850</v>
      </c>
      <c r="R155" s="28"/>
      <c r="S155" s="27" t="s">
        <v>167</v>
      </c>
      <c r="T155" s="27" t="s">
        <v>323</v>
      </c>
      <c r="U155" s="27">
        <v>930.34500000000003</v>
      </c>
    </row>
    <row r="156" spans="1:21" ht="16.5" customHeight="1" thickBot="1">
      <c r="A156" s="92" t="s">
        <v>176</v>
      </c>
      <c r="B156" s="93">
        <v>46245</v>
      </c>
      <c r="C156" s="92" t="s">
        <v>214</v>
      </c>
      <c r="D156" s="92" t="s">
        <v>215</v>
      </c>
      <c r="E156" s="92"/>
      <c r="F156" s="92" t="s">
        <v>179</v>
      </c>
      <c r="G156" s="88">
        <v>6850</v>
      </c>
      <c r="H156" s="88">
        <v>6850</v>
      </c>
      <c r="I156" s="88">
        <v>0</v>
      </c>
      <c r="J156" s="88">
        <v>0</v>
      </c>
      <c r="K156" s="88"/>
      <c r="L156" s="92"/>
      <c r="M156" s="92" t="s">
        <v>175</v>
      </c>
      <c r="N156" t="s">
        <v>4239</v>
      </c>
      <c r="O156" s="20">
        <v>20260811</v>
      </c>
      <c r="P156" s="30">
        <v>202608110000005</v>
      </c>
      <c r="Q156" s="21">
        <v>6850</v>
      </c>
      <c r="R156" s="22"/>
      <c r="S156" s="21" t="s">
        <v>167</v>
      </c>
      <c r="T156" s="21" t="s">
        <v>2249</v>
      </c>
      <c r="U156" s="21">
        <v>937.19500000000005</v>
      </c>
    </row>
    <row r="157" spans="1:21" ht="16.5" customHeight="1" thickBot="1">
      <c r="A157" s="92" t="s">
        <v>176</v>
      </c>
      <c r="B157" s="93">
        <v>46245</v>
      </c>
      <c r="C157" s="92" t="s">
        <v>214</v>
      </c>
      <c r="D157" s="92" t="s">
        <v>215</v>
      </c>
      <c r="E157" s="92"/>
      <c r="F157" s="92" t="s">
        <v>179</v>
      </c>
      <c r="G157" s="88">
        <v>6850</v>
      </c>
      <c r="H157" s="88">
        <v>6850</v>
      </c>
      <c r="I157" s="88">
        <v>0</v>
      </c>
      <c r="J157" s="88">
        <v>0</v>
      </c>
      <c r="K157" s="88"/>
      <c r="L157" s="92"/>
      <c r="M157" s="92" t="s">
        <v>175</v>
      </c>
      <c r="N157" t="s">
        <v>4240</v>
      </c>
      <c r="O157" s="26">
        <v>20260811</v>
      </c>
      <c r="P157" s="32">
        <v>202608110000006</v>
      </c>
      <c r="Q157" s="27">
        <v>6850</v>
      </c>
      <c r="R157" s="28"/>
      <c r="S157" s="27" t="s">
        <v>167</v>
      </c>
      <c r="T157" s="27" t="s">
        <v>205</v>
      </c>
      <c r="U157" s="27">
        <v>944.04499999999996</v>
      </c>
    </row>
    <row r="158" spans="1:21" ht="16.5" customHeight="1" thickBot="1">
      <c r="A158" s="92" t="s">
        <v>162</v>
      </c>
      <c r="B158" s="93">
        <v>46246</v>
      </c>
      <c r="C158" s="92" t="e">
        <v>#N/A</v>
      </c>
      <c r="D158" s="92"/>
      <c r="E158" s="92"/>
      <c r="F158" s="92" t="s">
        <v>179</v>
      </c>
      <c r="G158" s="88">
        <v>2000</v>
      </c>
      <c r="H158" s="88">
        <v>2000</v>
      </c>
      <c r="I158" s="88">
        <v>0</v>
      </c>
      <c r="J158" s="88">
        <v>0</v>
      </c>
      <c r="K158" s="88"/>
      <c r="L158" s="92"/>
      <c r="M158" s="92" t="s">
        <v>166</v>
      </c>
      <c r="N158" t="s">
        <v>826</v>
      </c>
      <c r="O158" s="23">
        <v>20260812</v>
      </c>
      <c r="P158" s="31">
        <v>202608120000001</v>
      </c>
      <c r="Q158" s="24">
        <v>2000</v>
      </c>
      <c r="R158" s="25"/>
      <c r="S158" s="24" t="s">
        <v>167</v>
      </c>
      <c r="T158" s="24" t="s">
        <v>825</v>
      </c>
      <c r="U158" s="24">
        <v>946.04499999999996</v>
      </c>
    </row>
    <row r="159" spans="1:21" ht="16.5" customHeight="1" thickBot="1">
      <c r="A159" s="92" t="s">
        <v>180</v>
      </c>
      <c r="B159" s="93">
        <v>46246</v>
      </c>
      <c r="C159" s="92" t="s">
        <v>2940</v>
      </c>
      <c r="D159" s="92" t="s">
        <v>2941</v>
      </c>
      <c r="E159" s="92"/>
      <c r="F159" s="92" t="s">
        <v>179</v>
      </c>
      <c r="G159" s="88">
        <v>3297</v>
      </c>
      <c r="H159" s="88">
        <v>3297</v>
      </c>
      <c r="I159" s="88">
        <v>0</v>
      </c>
      <c r="J159" s="88">
        <v>0</v>
      </c>
      <c r="K159" s="88"/>
      <c r="L159" s="92"/>
      <c r="M159" s="92" t="s">
        <v>175</v>
      </c>
      <c r="N159" t="s">
        <v>4121</v>
      </c>
      <c r="O159" s="26">
        <v>20260812</v>
      </c>
      <c r="P159" s="32">
        <v>202608120000002</v>
      </c>
      <c r="Q159" s="27">
        <v>3297</v>
      </c>
      <c r="R159" s="28"/>
      <c r="S159" s="27" t="s">
        <v>167</v>
      </c>
      <c r="T159" s="27" t="s">
        <v>2250</v>
      </c>
      <c r="U159" s="27">
        <v>949.34199999999998</v>
      </c>
    </row>
    <row r="160" spans="1:21" ht="21.75" hidden="1" customHeight="1" thickBot="1">
      <c r="A160" s="92" t="s">
        <v>172</v>
      </c>
      <c r="B160" s="93">
        <v>46246</v>
      </c>
      <c r="C160" s="92" t="s">
        <v>2942</v>
      </c>
      <c r="D160" s="92" t="s">
        <v>2943</v>
      </c>
      <c r="E160" s="92"/>
      <c r="F160" s="92" t="s">
        <v>165</v>
      </c>
      <c r="G160" s="88">
        <v>5250</v>
      </c>
      <c r="H160" s="88">
        <v>3000</v>
      </c>
      <c r="I160" s="88">
        <v>2250</v>
      </c>
      <c r="J160" s="88">
        <v>0</v>
      </c>
      <c r="K160" s="88"/>
      <c r="L160" s="92"/>
      <c r="M160" s="92" t="s">
        <v>175</v>
      </c>
      <c r="O160" s="23">
        <v>20260812</v>
      </c>
      <c r="P160" s="31">
        <v>202608120000003</v>
      </c>
      <c r="Q160" s="24">
        <v>5250</v>
      </c>
      <c r="R160" s="25"/>
      <c r="S160" s="24" t="s">
        <v>167</v>
      </c>
      <c r="T160" s="24" t="s">
        <v>2251</v>
      </c>
      <c r="U160" s="24">
        <v>954.59199999999998</v>
      </c>
    </row>
    <row r="161" spans="1:21" ht="16.5" hidden="1" customHeight="1" thickBot="1">
      <c r="A161" s="92" t="s">
        <v>172</v>
      </c>
      <c r="B161" s="93">
        <v>46246</v>
      </c>
      <c r="C161" s="92" t="s">
        <v>2944</v>
      </c>
      <c r="D161" s="92" t="s">
        <v>691</v>
      </c>
      <c r="E161" s="92"/>
      <c r="F161" s="92" t="s">
        <v>165</v>
      </c>
      <c r="G161" s="88">
        <v>3797</v>
      </c>
      <c r="H161" s="88">
        <v>3797</v>
      </c>
      <c r="I161" s="88">
        <v>0</v>
      </c>
      <c r="J161" s="88">
        <v>0</v>
      </c>
      <c r="K161" s="88"/>
      <c r="L161" s="92"/>
      <c r="M161" s="92" t="s">
        <v>175</v>
      </c>
      <c r="O161" s="26">
        <v>20260812</v>
      </c>
      <c r="P161" s="32">
        <v>202608120000004</v>
      </c>
      <c r="Q161" s="27">
        <v>3797</v>
      </c>
      <c r="R161" s="28"/>
      <c r="S161" s="27" t="s">
        <v>167</v>
      </c>
      <c r="T161" s="27" t="s">
        <v>2252</v>
      </c>
      <c r="U161" s="27">
        <v>958.38900000000001</v>
      </c>
    </row>
    <row r="162" spans="1:21" ht="16.5" hidden="1" customHeight="1" thickBot="1">
      <c r="A162" s="92" t="s">
        <v>180</v>
      </c>
      <c r="B162" s="93">
        <v>46246</v>
      </c>
      <c r="C162" s="92" t="s">
        <v>2945</v>
      </c>
      <c r="D162" s="92" t="s">
        <v>2946</v>
      </c>
      <c r="E162" s="92"/>
      <c r="F162" s="92" t="s">
        <v>165</v>
      </c>
      <c r="G162" s="88">
        <v>6292</v>
      </c>
      <c r="H162" s="88">
        <v>4000</v>
      </c>
      <c r="I162" s="88">
        <v>2292</v>
      </c>
      <c r="J162" s="88">
        <v>0</v>
      </c>
      <c r="K162" s="88"/>
      <c r="L162" s="92"/>
      <c r="M162" s="92" t="s">
        <v>175</v>
      </c>
      <c r="N162"/>
      <c r="O162" s="23">
        <v>20260812</v>
      </c>
      <c r="P162" s="31">
        <v>202608120000005</v>
      </c>
      <c r="Q162" s="24">
        <v>6292</v>
      </c>
      <c r="R162" s="25"/>
      <c r="S162" s="24" t="s">
        <v>167</v>
      </c>
      <c r="T162" s="24" t="s">
        <v>2253</v>
      </c>
      <c r="U162" s="24">
        <v>964.68100000000004</v>
      </c>
    </row>
    <row r="163" spans="1:21" ht="16.5" hidden="1" customHeight="1" thickBot="1">
      <c r="A163" s="92" t="s">
        <v>172</v>
      </c>
      <c r="B163" s="93">
        <v>46246</v>
      </c>
      <c r="C163" s="92" t="s">
        <v>2947</v>
      </c>
      <c r="D163" s="92" t="s">
        <v>2948</v>
      </c>
      <c r="E163" s="92"/>
      <c r="F163" s="92" t="s">
        <v>165</v>
      </c>
      <c r="G163" s="88">
        <v>5985</v>
      </c>
      <c r="H163" s="88">
        <v>3000</v>
      </c>
      <c r="I163" s="88">
        <v>2985</v>
      </c>
      <c r="J163" s="88">
        <v>0</v>
      </c>
      <c r="K163" s="88"/>
      <c r="L163" s="92"/>
      <c r="M163" s="92" t="s">
        <v>175</v>
      </c>
      <c r="N163"/>
      <c r="O163" s="26">
        <v>20260812</v>
      </c>
      <c r="P163" s="32">
        <v>202608120000006</v>
      </c>
      <c r="Q163" s="27">
        <v>5985</v>
      </c>
      <c r="R163" s="28"/>
      <c r="S163" s="27" t="s">
        <v>167</v>
      </c>
      <c r="T163" s="27" t="s">
        <v>2254</v>
      </c>
      <c r="U163" s="27">
        <v>970.66600000000005</v>
      </c>
    </row>
    <row r="164" spans="1:21" ht="16.5" customHeight="1" thickBot="1">
      <c r="A164" s="92" t="s">
        <v>3294</v>
      </c>
      <c r="B164" s="93">
        <v>46246</v>
      </c>
      <c r="C164" s="92" t="s">
        <v>2949</v>
      </c>
      <c r="D164" s="92" t="s">
        <v>2950</v>
      </c>
      <c r="E164" s="92"/>
      <c r="F164" s="92" t="s">
        <v>179</v>
      </c>
      <c r="G164" s="88">
        <v>4290</v>
      </c>
      <c r="H164" s="88">
        <v>4000</v>
      </c>
      <c r="I164" s="88">
        <v>290</v>
      </c>
      <c r="J164" s="88">
        <v>0</v>
      </c>
      <c r="K164" s="88"/>
      <c r="L164" s="92"/>
      <c r="M164" s="92" t="s">
        <v>175</v>
      </c>
      <c r="N164" t="s">
        <v>4174</v>
      </c>
      <c r="O164" s="23">
        <v>20260812</v>
      </c>
      <c r="P164" s="31">
        <v>202608120000007</v>
      </c>
      <c r="Q164" s="24">
        <v>4290</v>
      </c>
      <c r="R164" s="25"/>
      <c r="S164" s="24" t="s">
        <v>167</v>
      </c>
      <c r="T164" s="24" t="s">
        <v>2255</v>
      </c>
      <c r="U164" s="24">
        <v>974.95600000000002</v>
      </c>
    </row>
    <row r="165" spans="1:21" ht="16.5" hidden="1" customHeight="1" thickBot="1">
      <c r="A165" s="92" t="s">
        <v>3294</v>
      </c>
      <c r="B165" s="93">
        <v>46246</v>
      </c>
      <c r="C165" s="92" t="s">
        <v>2951</v>
      </c>
      <c r="D165" s="92" t="s">
        <v>2952</v>
      </c>
      <c r="E165" s="92"/>
      <c r="F165" s="92" t="s">
        <v>165</v>
      </c>
      <c r="G165" s="88">
        <v>5215</v>
      </c>
      <c r="H165" s="88">
        <v>3000</v>
      </c>
      <c r="I165" s="88">
        <v>2215</v>
      </c>
      <c r="J165" s="88">
        <v>0</v>
      </c>
      <c r="K165" s="88"/>
      <c r="L165" s="92"/>
      <c r="M165" s="92" t="s">
        <v>175</v>
      </c>
      <c r="N165"/>
      <c r="O165" s="26">
        <v>20260812</v>
      </c>
      <c r="P165" s="32">
        <v>202608120000008</v>
      </c>
      <c r="Q165" s="27">
        <v>5215</v>
      </c>
      <c r="R165" s="28"/>
      <c r="S165" s="27" t="s">
        <v>167</v>
      </c>
      <c r="T165" s="27" t="s">
        <v>2256</v>
      </c>
      <c r="U165" s="27">
        <v>980.17100000000005</v>
      </c>
    </row>
    <row r="166" spans="1:21" ht="16.5" hidden="1" customHeight="1" thickBot="1">
      <c r="A166" s="92" t="s">
        <v>180</v>
      </c>
      <c r="B166" s="93">
        <v>46246</v>
      </c>
      <c r="C166" s="92" t="s">
        <v>2953</v>
      </c>
      <c r="D166" s="92" t="s">
        <v>2954</v>
      </c>
      <c r="E166" s="92"/>
      <c r="F166" s="92" t="s">
        <v>165</v>
      </c>
      <c r="G166" s="88">
        <v>4757</v>
      </c>
      <c r="H166" s="88">
        <v>3000</v>
      </c>
      <c r="I166" s="88">
        <v>1757</v>
      </c>
      <c r="J166" s="88">
        <v>0</v>
      </c>
      <c r="K166" s="88"/>
      <c r="L166" s="92"/>
      <c r="M166" s="92" t="s">
        <v>175</v>
      </c>
      <c r="N166"/>
      <c r="O166" s="23">
        <v>20260812</v>
      </c>
      <c r="P166" s="31">
        <v>202608120000009</v>
      </c>
      <c r="Q166" s="24">
        <v>4757</v>
      </c>
      <c r="R166" s="25"/>
      <c r="S166" s="24" t="s">
        <v>167</v>
      </c>
      <c r="T166" s="24" t="s">
        <v>2257</v>
      </c>
      <c r="U166" s="24">
        <v>984.928</v>
      </c>
    </row>
    <row r="167" spans="1:21" ht="21.75" hidden="1" customHeight="1" thickBot="1">
      <c r="A167" s="92" t="s">
        <v>3294</v>
      </c>
      <c r="B167" s="93">
        <v>46246</v>
      </c>
      <c r="C167" s="92" t="s">
        <v>2955</v>
      </c>
      <c r="D167" s="92" t="s">
        <v>2956</v>
      </c>
      <c r="E167" s="92"/>
      <c r="F167" s="92" t="s">
        <v>165</v>
      </c>
      <c r="G167" s="88">
        <v>6290</v>
      </c>
      <c r="H167" s="88">
        <v>4000</v>
      </c>
      <c r="I167" s="88">
        <v>2290</v>
      </c>
      <c r="J167" s="88">
        <v>0</v>
      </c>
      <c r="K167" s="88"/>
      <c r="L167" s="92"/>
      <c r="M167" s="92" t="s">
        <v>175</v>
      </c>
      <c r="O167" s="26">
        <v>20260812</v>
      </c>
      <c r="P167" s="32">
        <v>202608120000010</v>
      </c>
      <c r="Q167" s="27">
        <v>6290</v>
      </c>
      <c r="R167" s="28"/>
      <c r="S167" s="27" t="s">
        <v>167</v>
      </c>
      <c r="T167" s="27" t="s">
        <v>2258</v>
      </c>
      <c r="U167" s="27">
        <v>991.21799999999996</v>
      </c>
    </row>
    <row r="168" spans="1:21" ht="16.5" customHeight="1" thickBot="1">
      <c r="A168" s="92" t="s">
        <v>180</v>
      </c>
      <c r="B168" s="93">
        <v>46246</v>
      </c>
      <c r="C168" s="92" t="s">
        <v>2957</v>
      </c>
      <c r="D168" s="92" t="s">
        <v>2958</v>
      </c>
      <c r="E168" s="92"/>
      <c r="F168" s="92" t="s">
        <v>179</v>
      </c>
      <c r="G168" s="88">
        <v>3797</v>
      </c>
      <c r="H168" s="88">
        <v>3797</v>
      </c>
      <c r="I168" s="88">
        <v>0</v>
      </c>
      <c r="J168" s="88">
        <v>0</v>
      </c>
      <c r="K168" s="88"/>
      <c r="L168" s="92"/>
      <c r="M168" s="92" t="s">
        <v>175</v>
      </c>
      <c r="N168" t="s">
        <v>4181</v>
      </c>
      <c r="O168" s="23">
        <v>20260812</v>
      </c>
      <c r="P168" s="31">
        <v>202608120000011</v>
      </c>
      <c r="Q168" s="24">
        <v>3797</v>
      </c>
      <c r="R168" s="25"/>
      <c r="S168" s="24" t="s">
        <v>167</v>
      </c>
      <c r="T168" s="24" t="s">
        <v>2259</v>
      </c>
      <c r="U168" s="24">
        <v>995.01499999999999</v>
      </c>
    </row>
    <row r="169" spans="1:21" ht="16.5" customHeight="1" thickBot="1">
      <c r="A169" s="92" t="s">
        <v>180</v>
      </c>
      <c r="B169" s="93">
        <v>46246</v>
      </c>
      <c r="C169" s="92" t="s">
        <v>2959</v>
      </c>
      <c r="D169" s="92" t="s">
        <v>2960</v>
      </c>
      <c r="E169" s="92"/>
      <c r="F169" s="92" t="s">
        <v>179</v>
      </c>
      <c r="G169" s="88">
        <v>3297</v>
      </c>
      <c r="H169" s="88">
        <v>3297</v>
      </c>
      <c r="I169" s="88">
        <v>0</v>
      </c>
      <c r="J169" s="88">
        <v>0</v>
      </c>
      <c r="K169" s="88"/>
      <c r="L169" s="92"/>
      <c r="M169" s="92" t="s">
        <v>175</v>
      </c>
      <c r="N169" t="s">
        <v>4151</v>
      </c>
      <c r="O169" s="26">
        <v>20260812</v>
      </c>
      <c r="P169" s="32">
        <v>202608120000012</v>
      </c>
      <c r="Q169" s="27">
        <v>3297</v>
      </c>
      <c r="R169" s="28"/>
      <c r="S169" s="27" t="s">
        <v>167</v>
      </c>
      <c r="T169" s="27" t="s">
        <v>2260</v>
      </c>
      <c r="U169" s="27">
        <v>998.31200000000001</v>
      </c>
    </row>
    <row r="170" spans="1:21" ht="16.5" customHeight="1" thickBot="1">
      <c r="A170" s="92" t="s">
        <v>180</v>
      </c>
      <c r="B170" s="93">
        <v>46246</v>
      </c>
      <c r="C170" s="92" t="s">
        <v>2961</v>
      </c>
      <c r="D170" s="92" t="s">
        <v>2962</v>
      </c>
      <c r="E170" s="92"/>
      <c r="F170" s="92" t="s">
        <v>179</v>
      </c>
      <c r="G170" s="88">
        <v>4290</v>
      </c>
      <c r="H170" s="88">
        <v>4000</v>
      </c>
      <c r="I170" s="88">
        <v>290</v>
      </c>
      <c r="J170" s="88">
        <v>0</v>
      </c>
      <c r="K170" s="88"/>
      <c r="L170" s="92"/>
      <c r="M170" s="92" t="s">
        <v>175</v>
      </c>
      <c r="N170" t="s">
        <v>4143</v>
      </c>
      <c r="O170" s="23">
        <v>20260812</v>
      </c>
      <c r="P170" s="31">
        <v>202608120000013</v>
      </c>
      <c r="Q170" s="24">
        <v>4290</v>
      </c>
      <c r="R170" s="25"/>
      <c r="S170" s="24" t="s">
        <v>167</v>
      </c>
      <c r="T170" s="24" t="s">
        <v>2261</v>
      </c>
      <c r="U170" s="24" t="s">
        <v>2262</v>
      </c>
    </row>
    <row r="171" spans="1:21" ht="16.5" customHeight="1" thickBot="1">
      <c r="A171" s="92" t="s">
        <v>172</v>
      </c>
      <c r="B171" s="93">
        <v>46246</v>
      </c>
      <c r="C171" s="92" t="s">
        <v>2963</v>
      </c>
      <c r="D171" s="92" t="s">
        <v>2964</v>
      </c>
      <c r="E171" s="92"/>
      <c r="F171" s="92" t="s">
        <v>179</v>
      </c>
      <c r="G171" s="88">
        <v>500</v>
      </c>
      <c r="H171" s="88">
        <v>500</v>
      </c>
      <c r="I171" s="88">
        <v>0</v>
      </c>
      <c r="J171" s="88">
        <v>0</v>
      </c>
      <c r="K171" s="88"/>
      <c r="L171" s="92"/>
      <c r="M171" s="92" t="s">
        <v>175</v>
      </c>
      <c r="N171" t="s">
        <v>4167</v>
      </c>
      <c r="O171" s="26">
        <v>20260812</v>
      </c>
      <c r="P171" s="32">
        <v>202608120000014</v>
      </c>
      <c r="Q171" s="27">
        <v>500</v>
      </c>
      <c r="R171" s="28"/>
      <c r="S171" s="27" t="s">
        <v>184</v>
      </c>
      <c r="T171" s="27" t="s">
        <v>2263</v>
      </c>
      <c r="U171" s="27" t="s">
        <v>2264</v>
      </c>
    </row>
    <row r="172" spans="1:21" ht="16.5" hidden="1" customHeight="1" thickBot="1">
      <c r="A172" s="92" t="s">
        <v>162</v>
      </c>
      <c r="B172" s="93">
        <v>46246</v>
      </c>
      <c r="C172" s="92" t="s">
        <v>2965</v>
      </c>
      <c r="D172" s="92" t="s">
        <v>2966</v>
      </c>
      <c r="E172" s="92"/>
      <c r="F172" s="92" t="s">
        <v>165</v>
      </c>
      <c r="G172" s="88">
        <v>11550</v>
      </c>
      <c r="H172" s="88"/>
      <c r="I172" s="88">
        <v>11550</v>
      </c>
      <c r="J172" s="88">
        <v>0</v>
      </c>
      <c r="K172" s="88"/>
      <c r="L172" s="92"/>
      <c r="M172" s="92" t="s">
        <v>166</v>
      </c>
      <c r="N172"/>
      <c r="O172" s="23">
        <v>20260812</v>
      </c>
      <c r="P172" s="31">
        <v>202608120000015</v>
      </c>
      <c r="Q172" s="24">
        <v>11550</v>
      </c>
      <c r="R172" s="25"/>
      <c r="S172" s="24" t="s">
        <v>167</v>
      </c>
      <c r="T172" s="24" t="s">
        <v>2265</v>
      </c>
      <c r="U172" s="24" t="s">
        <v>2266</v>
      </c>
    </row>
    <row r="173" spans="1:21" ht="16.5" customHeight="1" thickBot="1">
      <c r="A173" s="92" t="s">
        <v>172</v>
      </c>
      <c r="B173" s="93">
        <v>46246</v>
      </c>
      <c r="C173" s="92" t="s">
        <v>2967</v>
      </c>
      <c r="D173" s="92" t="s">
        <v>2968</v>
      </c>
      <c r="E173" s="92"/>
      <c r="F173" s="92" t="s">
        <v>179</v>
      </c>
      <c r="G173" s="88">
        <v>4000</v>
      </c>
      <c r="H173" s="88">
        <v>4000</v>
      </c>
      <c r="I173" s="88">
        <v>0</v>
      </c>
      <c r="J173" s="88">
        <v>0</v>
      </c>
      <c r="K173" s="88"/>
      <c r="L173" s="92"/>
      <c r="M173" s="92" t="s">
        <v>175</v>
      </c>
      <c r="N173" t="s">
        <v>4197</v>
      </c>
      <c r="O173" s="20">
        <v>20260812</v>
      </c>
      <c r="P173" s="30">
        <v>202608120000016</v>
      </c>
      <c r="Q173" s="21">
        <v>4000</v>
      </c>
      <c r="R173" s="22"/>
      <c r="S173" s="21" t="s">
        <v>167</v>
      </c>
      <c r="T173" s="21" t="s">
        <v>2267</v>
      </c>
      <c r="U173" s="21" t="s">
        <v>2268</v>
      </c>
    </row>
    <row r="174" spans="1:21" ht="16.5" hidden="1" customHeight="1" thickBot="1">
      <c r="A174" s="92" t="s">
        <v>172</v>
      </c>
      <c r="B174" s="93">
        <v>46246</v>
      </c>
      <c r="C174" s="92" t="s">
        <v>222</v>
      </c>
      <c r="D174" s="92" t="s">
        <v>2895</v>
      </c>
      <c r="E174" s="92"/>
      <c r="F174" s="92" t="s">
        <v>165</v>
      </c>
      <c r="G174" s="88">
        <v>493</v>
      </c>
      <c r="H174" s="88"/>
      <c r="I174" s="88">
        <v>493</v>
      </c>
      <c r="J174" s="88">
        <v>0</v>
      </c>
      <c r="K174" s="88"/>
      <c r="L174" s="92"/>
      <c r="M174" s="92" t="s">
        <v>175</v>
      </c>
      <c r="N174"/>
      <c r="O174" s="23">
        <v>20260812</v>
      </c>
      <c r="P174" s="31">
        <v>202608120000017</v>
      </c>
      <c r="Q174" s="24">
        <v>493</v>
      </c>
      <c r="R174" s="25"/>
      <c r="S174" s="24" t="s">
        <v>167</v>
      </c>
      <c r="T174" s="24" t="s">
        <v>689</v>
      </c>
      <c r="U174" s="24" t="s">
        <v>2269</v>
      </c>
    </row>
    <row r="175" spans="1:21" ht="16.5" hidden="1" customHeight="1" thickBot="1">
      <c r="A175" s="92" t="s">
        <v>162</v>
      </c>
      <c r="B175" s="93">
        <v>46246</v>
      </c>
      <c r="C175" s="92" t="s">
        <v>2969</v>
      </c>
      <c r="D175" s="92" t="s">
        <v>2970</v>
      </c>
      <c r="E175" s="92"/>
      <c r="F175" s="92" t="s">
        <v>165</v>
      </c>
      <c r="G175" s="88">
        <v>7700</v>
      </c>
      <c r="H175" s="88"/>
      <c r="I175" s="88">
        <v>7700</v>
      </c>
      <c r="J175" s="88">
        <v>0</v>
      </c>
      <c r="K175" s="88"/>
      <c r="L175" s="92"/>
      <c r="M175" s="92" t="s">
        <v>166</v>
      </c>
      <c r="N175"/>
      <c r="O175" s="26">
        <v>20260812</v>
      </c>
      <c r="P175" s="32">
        <v>202608120000018</v>
      </c>
      <c r="Q175" s="27">
        <v>7700</v>
      </c>
      <c r="R175" s="28"/>
      <c r="S175" s="27" t="s">
        <v>167</v>
      </c>
      <c r="T175" s="27" t="s">
        <v>208</v>
      </c>
      <c r="U175" s="27" t="s">
        <v>2270</v>
      </c>
    </row>
    <row r="176" spans="1:21" ht="16.5" customHeight="1" thickBot="1">
      <c r="A176" s="92" t="s">
        <v>180</v>
      </c>
      <c r="B176" s="93">
        <v>46247</v>
      </c>
      <c r="C176" s="92" t="s">
        <v>2900</v>
      </c>
      <c r="D176" s="92" t="s">
        <v>2901</v>
      </c>
      <c r="E176" s="92"/>
      <c r="F176" s="92" t="s">
        <v>179</v>
      </c>
      <c r="G176" s="88">
        <v>3297</v>
      </c>
      <c r="H176" s="88">
        <v>3297</v>
      </c>
      <c r="I176" s="88">
        <v>0</v>
      </c>
      <c r="J176" s="88">
        <v>0</v>
      </c>
      <c r="K176" s="88"/>
      <c r="L176" s="92"/>
      <c r="M176" s="92" t="s">
        <v>175</v>
      </c>
      <c r="N176" t="s">
        <v>4183</v>
      </c>
      <c r="O176" s="23">
        <v>20260813</v>
      </c>
      <c r="P176" s="31">
        <v>202608130000001</v>
      </c>
      <c r="Q176" s="24">
        <v>3297</v>
      </c>
      <c r="R176" s="25"/>
      <c r="S176" s="24" t="s">
        <v>167</v>
      </c>
      <c r="T176" s="24" t="s">
        <v>2271</v>
      </c>
      <c r="U176" s="24" t="s">
        <v>2272</v>
      </c>
    </row>
    <row r="177" spans="1:21" ht="16.5" hidden="1" customHeight="1" thickBot="1">
      <c r="A177" s="92" t="s">
        <v>172</v>
      </c>
      <c r="B177" s="93">
        <v>46247</v>
      </c>
      <c r="C177" s="92" t="s">
        <v>2971</v>
      </c>
      <c r="D177" s="92" t="s">
        <v>2972</v>
      </c>
      <c r="E177" s="92"/>
      <c r="F177" s="92" t="s">
        <v>165</v>
      </c>
      <c r="G177" s="88">
        <v>5987</v>
      </c>
      <c r="H177" s="88">
        <v>3000</v>
      </c>
      <c r="I177" s="88">
        <v>2987</v>
      </c>
      <c r="J177" s="88">
        <v>0</v>
      </c>
      <c r="K177" s="88"/>
      <c r="L177" s="92"/>
      <c r="M177" s="92" t="s">
        <v>175</v>
      </c>
      <c r="O177" s="26">
        <v>20260813</v>
      </c>
      <c r="P177" s="32">
        <v>202608130000002</v>
      </c>
      <c r="Q177" s="27">
        <v>5987</v>
      </c>
      <c r="R177" s="28"/>
      <c r="S177" s="27" t="s">
        <v>167</v>
      </c>
      <c r="T177" s="27" t="s">
        <v>2273</v>
      </c>
      <c r="U177" s="27" t="s">
        <v>2274</v>
      </c>
    </row>
    <row r="178" spans="1:21" ht="16.5" hidden="1" customHeight="1" thickBot="1">
      <c r="A178" s="92" t="s">
        <v>180</v>
      </c>
      <c r="B178" s="93">
        <v>46247</v>
      </c>
      <c r="C178" s="92" t="s">
        <v>2973</v>
      </c>
      <c r="D178" s="92" t="s">
        <v>2974</v>
      </c>
      <c r="E178" s="92"/>
      <c r="F178" s="92" t="s">
        <v>165</v>
      </c>
      <c r="G178" s="88">
        <v>5217</v>
      </c>
      <c r="H178" s="88">
        <v>3000</v>
      </c>
      <c r="I178" s="88">
        <v>2217</v>
      </c>
      <c r="J178" s="88">
        <v>0</v>
      </c>
      <c r="K178" s="88"/>
      <c r="L178" s="92"/>
      <c r="M178" s="92" t="s">
        <v>175</v>
      </c>
      <c r="N178"/>
      <c r="O178" s="23">
        <v>20260813</v>
      </c>
      <c r="P178" s="31">
        <v>202608130000003</v>
      </c>
      <c r="Q178" s="24">
        <v>5217</v>
      </c>
      <c r="R178" s="25"/>
      <c r="S178" s="24" t="s">
        <v>167</v>
      </c>
      <c r="T178" s="24" t="s">
        <v>2275</v>
      </c>
      <c r="U178" s="24" t="s">
        <v>2276</v>
      </c>
    </row>
    <row r="179" spans="1:21" ht="16.5" customHeight="1" thickBot="1">
      <c r="A179" s="92" t="s">
        <v>180</v>
      </c>
      <c r="B179" s="93">
        <v>46247</v>
      </c>
      <c r="C179" s="92" t="s">
        <v>2975</v>
      </c>
      <c r="D179" s="92" t="s">
        <v>2976</v>
      </c>
      <c r="E179" s="92"/>
      <c r="F179" s="92" t="s">
        <v>179</v>
      </c>
      <c r="G179" s="88">
        <v>3297</v>
      </c>
      <c r="H179" s="88">
        <v>3297</v>
      </c>
      <c r="I179" s="88">
        <v>0</v>
      </c>
      <c r="J179" s="88">
        <v>0</v>
      </c>
      <c r="K179" s="88"/>
      <c r="L179" s="92"/>
      <c r="M179" s="92" t="s">
        <v>175</v>
      </c>
      <c r="N179" t="s">
        <v>1113</v>
      </c>
      <c r="O179" s="26">
        <v>20260813</v>
      </c>
      <c r="P179" s="32">
        <v>202608130000004</v>
      </c>
      <c r="Q179" s="27">
        <v>3297</v>
      </c>
      <c r="R179" s="28"/>
      <c r="S179" s="27" t="s">
        <v>167</v>
      </c>
      <c r="T179" s="27" t="s">
        <v>2277</v>
      </c>
      <c r="U179" s="27" t="s">
        <v>2278</v>
      </c>
    </row>
    <row r="180" spans="1:21" ht="16.5" customHeight="1" thickBot="1">
      <c r="A180" s="92" t="s">
        <v>172</v>
      </c>
      <c r="B180" s="93">
        <v>46247</v>
      </c>
      <c r="C180" s="92" t="s">
        <v>2977</v>
      </c>
      <c r="D180" s="92" t="s">
        <v>2978</v>
      </c>
      <c r="E180" s="92"/>
      <c r="F180" s="92" t="s">
        <v>179</v>
      </c>
      <c r="G180" s="88">
        <v>3797</v>
      </c>
      <c r="H180" s="88">
        <v>3797</v>
      </c>
      <c r="I180" s="88">
        <v>0</v>
      </c>
      <c r="J180" s="88">
        <v>0</v>
      </c>
      <c r="K180" s="88"/>
      <c r="L180" s="92"/>
      <c r="M180" s="92" t="s">
        <v>175</v>
      </c>
      <c r="N180" t="s">
        <v>4184</v>
      </c>
      <c r="O180" s="23">
        <v>20260813</v>
      </c>
      <c r="P180" s="31">
        <v>202608130000005</v>
      </c>
      <c r="Q180" s="24">
        <v>3797</v>
      </c>
      <c r="R180" s="25"/>
      <c r="S180" s="24" t="s">
        <v>167</v>
      </c>
      <c r="T180" s="24" t="s">
        <v>2279</v>
      </c>
      <c r="U180" s="24" t="s">
        <v>2280</v>
      </c>
    </row>
    <row r="181" spans="1:21" ht="16.5" customHeight="1" thickBot="1">
      <c r="A181" s="92" t="s">
        <v>180</v>
      </c>
      <c r="B181" s="93">
        <v>46247</v>
      </c>
      <c r="C181" s="92" t="s">
        <v>2979</v>
      </c>
      <c r="D181" s="92" t="s">
        <v>2980</v>
      </c>
      <c r="E181" s="92"/>
      <c r="F181" s="92" t="s">
        <v>179</v>
      </c>
      <c r="G181" s="88">
        <v>3790</v>
      </c>
      <c r="H181" s="88">
        <v>3790</v>
      </c>
      <c r="I181" s="88">
        <v>0</v>
      </c>
      <c r="J181" s="88">
        <v>0</v>
      </c>
      <c r="K181" s="88"/>
      <c r="L181" s="92"/>
      <c r="M181" s="92" t="s">
        <v>175</v>
      </c>
      <c r="N181" t="s">
        <v>4173</v>
      </c>
      <c r="O181" s="26">
        <v>20260813</v>
      </c>
      <c r="P181" s="32">
        <v>202608130000006</v>
      </c>
      <c r="Q181" s="27">
        <v>3790</v>
      </c>
      <c r="R181" s="28"/>
      <c r="S181" s="27" t="s">
        <v>167</v>
      </c>
      <c r="T181" s="27" t="s">
        <v>2281</v>
      </c>
      <c r="U181" s="27" t="s">
        <v>2282</v>
      </c>
    </row>
    <row r="182" spans="1:21" ht="16.5" hidden="1" customHeight="1" thickBot="1">
      <c r="A182" s="92" t="s">
        <v>180</v>
      </c>
      <c r="B182" s="93">
        <v>46247</v>
      </c>
      <c r="C182" s="92" t="s">
        <v>2981</v>
      </c>
      <c r="D182" s="92" t="s">
        <v>2982</v>
      </c>
      <c r="E182" s="92"/>
      <c r="F182" s="92" t="s">
        <v>165</v>
      </c>
      <c r="G182" s="88">
        <v>3292</v>
      </c>
      <c r="H182" s="88">
        <v>3292</v>
      </c>
      <c r="I182" s="88">
        <v>0</v>
      </c>
      <c r="J182" s="88">
        <v>0</v>
      </c>
      <c r="K182" s="88"/>
      <c r="L182" s="92"/>
      <c r="M182" s="92" t="s">
        <v>175</v>
      </c>
      <c r="N182"/>
      <c r="O182" s="23">
        <v>20260813</v>
      </c>
      <c r="P182" s="31">
        <v>202608130000007</v>
      </c>
      <c r="Q182" s="24">
        <v>3292</v>
      </c>
      <c r="R182" s="25"/>
      <c r="S182" s="24" t="s">
        <v>167</v>
      </c>
      <c r="T182" s="24" t="s">
        <v>2283</v>
      </c>
      <c r="U182" s="24" t="s">
        <v>2284</v>
      </c>
    </row>
    <row r="183" spans="1:21" ht="16.5" hidden="1" customHeight="1" thickBot="1">
      <c r="A183" s="92" t="s">
        <v>172</v>
      </c>
      <c r="B183" s="93">
        <v>46247</v>
      </c>
      <c r="C183" s="92" t="s">
        <v>2983</v>
      </c>
      <c r="D183" s="92" t="s">
        <v>2984</v>
      </c>
      <c r="E183" s="92"/>
      <c r="F183" s="92" t="s">
        <v>165</v>
      </c>
      <c r="G183" s="88">
        <v>7200</v>
      </c>
      <c r="H183" s="88">
        <v>3000</v>
      </c>
      <c r="I183" s="88">
        <v>4200</v>
      </c>
      <c r="J183" s="88">
        <v>0</v>
      </c>
      <c r="K183" s="88"/>
      <c r="L183" s="92"/>
      <c r="M183" s="92" t="s">
        <v>175</v>
      </c>
      <c r="N183"/>
      <c r="O183" s="23">
        <v>20260813</v>
      </c>
      <c r="P183" s="31">
        <v>202608130000008</v>
      </c>
      <c r="Q183" s="24">
        <v>7200</v>
      </c>
      <c r="R183" s="25"/>
      <c r="S183" s="24" t="s">
        <v>359</v>
      </c>
      <c r="T183" s="24" t="s">
        <v>2285</v>
      </c>
      <c r="U183" s="24" t="s">
        <v>2286</v>
      </c>
    </row>
    <row r="184" spans="1:21" ht="16.5" customHeight="1" thickBot="1">
      <c r="A184" s="92" t="s">
        <v>172</v>
      </c>
      <c r="B184" s="93">
        <v>46247</v>
      </c>
      <c r="C184" s="92" t="s">
        <v>2985</v>
      </c>
      <c r="D184" s="92" t="s">
        <v>2986</v>
      </c>
      <c r="E184" s="92"/>
      <c r="F184" s="92" t="s">
        <v>179</v>
      </c>
      <c r="G184" s="88">
        <v>4000</v>
      </c>
      <c r="H184" s="88">
        <v>4000</v>
      </c>
      <c r="I184" s="88">
        <v>0</v>
      </c>
      <c r="J184" s="88">
        <v>0</v>
      </c>
      <c r="K184" s="88"/>
      <c r="L184" s="92"/>
      <c r="M184" s="92" t="s">
        <v>175</v>
      </c>
      <c r="N184" t="s">
        <v>4194</v>
      </c>
      <c r="O184" s="23">
        <v>20260813</v>
      </c>
      <c r="P184" s="31">
        <v>202608130000009</v>
      </c>
      <c r="Q184" s="24">
        <v>4000</v>
      </c>
      <c r="R184" s="25"/>
      <c r="S184" s="24" t="s">
        <v>167</v>
      </c>
      <c r="T184" s="24" t="s">
        <v>2287</v>
      </c>
      <c r="U184" s="24" t="s">
        <v>2288</v>
      </c>
    </row>
    <row r="185" spans="1:21" ht="16.5" hidden="1" customHeight="1" thickBot="1">
      <c r="A185" s="92" t="s">
        <v>162</v>
      </c>
      <c r="B185" s="93">
        <v>46247</v>
      </c>
      <c r="C185" s="92" t="s">
        <v>2987</v>
      </c>
      <c r="D185" s="92" t="s">
        <v>2988</v>
      </c>
      <c r="E185" s="92"/>
      <c r="F185" s="92" t="s">
        <v>165</v>
      </c>
      <c r="G185" s="88">
        <v>7700</v>
      </c>
      <c r="H185" s="88"/>
      <c r="I185" s="88">
        <v>7700</v>
      </c>
      <c r="J185" s="88">
        <v>0</v>
      </c>
      <c r="K185" s="88"/>
      <c r="L185" s="92"/>
      <c r="M185" s="92" t="s">
        <v>166</v>
      </c>
      <c r="N185"/>
      <c r="O185" s="23">
        <v>20260813</v>
      </c>
      <c r="P185" s="31">
        <v>202608130000010</v>
      </c>
      <c r="Q185" s="24">
        <v>7700</v>
      </c>
      <c r="R185" s="25"/>
      <c r="S185" s="24" t="s">
        <v>167</v>
      </c>
      <c r="T185" s="24" t="s">
        <v>2289</v>
      </c>
      <c r="U185" s="24" t="s">
        <v>2290</v>
      </c>
    </row>
    <row r="186" spans="1:21" ht="16.5" customHeight="1" thickBot="1">
      <c r="A186" s="92" t="s">
        <v>176</v>
      </c>
      <c r="B186" s="93">
        <v>46247</v>
      </c>
      <c r="C186" s="92" t="s">
        <v>214</v>
      </c>
      <c r="D186" s="92" t="s">
        <v>215</v>
      </c>
      <c r="E186" s="92"/>
      <c r="F186" s="92" t="s">
        <v>179</v>
      </c>
      <c r="G186" s="88">
        <v>6850</v>
      </c>
      <c r="H186" s="88">
        <v>6850</v>
      </c>
      <c r="I186" s="88">
        <v>0</v>
      </c>
      <c r="J186" s="88">
        <v>0</v>
      </c>
      <c r="K186" s="88"/>
      <c r="L186" s="92"/>
      <c r="M186" s="92" t="s">
        <v>175</v>
      </c>
      <c r="N186" t="s">
        <v>4241</v>
      </c>
      <c r="O186" s="23">
        <v>20260813</v>
      </c>
      <c r="P186" s="31">
        <v>202608130000011</v>
      </c>
      <c r="Q186" s="24">
        <v>6850</v>
      </c>
      <c r="R186" s="25"/>
      <c r="S186" s="24" t="s">
        <v>167</v>
      </c>
      <c r="T186" s="24" t="s">
        <v>323</v>
      </c>
      <c r="U186" s="24" t="s">
        <v>2291</v>
      </c>
    </row>
    <row r="187" spans="1:21" ht="16.5" hidden="1" customHeight="1" thickBot="1">
      <c r="A187" s="92" t="s">
        <v>176</v>
      </c>
      <c r="B187" s="93">
        <v>46248</v>
      </c>
      <c r="C187" s="92" t="s">
        <v>2989</v>
      </c>
      <c r="D187" s="92" t="s">
        <v>2990</v>
      </c>
      <c r="E187" s="92"/>
      <c r="F187" s="92" t="s">
        <v>165</v>
      </c>
      <c r="G187" s="88">
        <v>6270</v>
      </c>
      <c r="H187" s="88">
        <v>4000</v>
      </c>
      <c r="I187" s="88">
        <v>2270</v>
      </c>
      <c r="J187" s="88">
        <v>0</v>
      </c>
      <c r="K187" s="88"/>
      <c r="L187" s="92"/>
      <c r="M187" s="92" t="s">
        <v>175</v>
      </c>
      <c r="N187"/>
      <c r="O187" s="20">
        <v>20260814</v>
      </c>
      <c r="P187" s="30">
        <v>202608140000001</v>
      </c>
      <c r="Q187" s="21">
        <v>6270</v>
      </c>
      <c r="R187" s="22"/>
      <c r="S187" s="21" t="s">
        <v>167</v>
      </c>
      <c r="T187" s="21" t="s">
        <v>2292</v>
      </c>
      <c r="U187" s="21" t="s">
        <v>2293</v>
      </c>
    </row>
    <row r="188" spans="1:21" ht="16.5" hidden="1" customHeight="1" thickBot="1">
      <c r="A188" s="92" t="s">
        <v>176</v>
      </c>
      <c r="B188" s="93">
        <v>46248</v>
      </c>
      <c r="C188" s="92" t="s">
        <v>2991</v>
      </c>
      <c r="D188" s="92" t="s">
        <v>2992</v>
      </c>
      <c r="E188" s="92"/>
      <c r="F188" s="92" t="s">
        <v>165</v>
      </c>
      <c r="G188" s="88">
        <v>5215</v>
      </c>
      <c r="H188" s="88">
        <v>3000</v>
      </c>
      <c r="I188" s="88">
        <v>2215</v>
      </c>
      <c r="J188" s="88">
        <v>0</v>
      </c>
      <c r="K188" s="88"/>
      <c r="L188" s="92"/>
      <c r="M188" s="92" t="s">
        <v>175</v>
      </c>
      <c r="N188"/>
      <c r="O188" s="23">
        <v>20260814</v>
      </c>
      <c r="P188" s="31">
        <v>202608140000002</v>
      </c>
      <c r="Q188" s="24">
        <v>5215</v>
      </c>
      <c r="R188" s="25"/>
      <c r="S188" s="24" t="s">
        <v>167</v>
      </c>
      <c r="T188" s="24" t="s">
        <v>2294</v>
      </c>
      <c r="U188" s="24" t="s">
        <v>2295</v>
      </c>
    </row>
    <row r="189" spans="1:21" ht="16.5" customHeight="1" thickBot="1">
      <c r="A189" s="92" t="s">
        <v>172</v>
      </c>
      <c r="B189" s="93">
        <v>46248</v>
      </c>
      <c r="C189" s="92" t="s">
        <v>2993</v>
      </c>
      <c r="D189" s="92" t="s">
        <v>2994</v>
      </c>
      <c r="E189" s="92"/>
      <c r="F189" s="92" t="s">
        <v>179</v>
      </c>
      <c r="G189" s="88">
        <v>3290</v>
      </c>
      <c r="H189" s="88">
        <v>3000</v>
      </c>
      <c r="I189" s="88">
        <v>290</v>
      </c>
      <c r="J189" s="88">
        <v>0</v>
      </c>
      <c r="K189" s="88"/>
      <c r="L189" s="92"/>
      <c r="M189" s="92" t="s">
        <v>175</v>
      </c>
      <c r="N189" t="s">
        <v>4156</v>
      </c>
      <c r="O189" s="23">
        <v>20260814</v>
      </c>
      <c r="P189" s="31">
        <v>202608140000003</v>
      </c>
      <c r="Q189" s="24">
        <v>3290</v>
      </c>
      <c r="R189" s="25"/>
      <c r="S189" s="24" t="s">
        <v>167</v>
      </c>
      <c r="T189" s="24" t="s">
        <v>2296</v>
      </c>
      <c r="U189" s="24" t="s">
        <v>2297</v>
      </c>
    </row>
    <row r="190" spans="1:21" ht="16.5" hidden="1" customHeight="1" thickBot="1">
      <c r="A190" s="92" t="s">
        <v>172</v>
      </c>
      <c r="B190" s="93">
        <v>46248</v>
      </c>
      <c r="C190" s="92" t="s">
        <v>2995</v>
      </c>
      <c r="D190" s="92" t="s">
        <v>2996</v>
      </c>
      <c r="E190" s="92"/>
      <c r="F190" s="92" t="s">
        <v>165</v>
      </c>
      <c r="G190" s="88">
        <v>5985</v>
      </c>
      <c r="H190" s="88">
        <v>3000</v>
      </c>
      <c r="I190" s="88">
        <v>2985</v>
      </c>
      <c r="J190" s="88">
        <v>0</v>
      </c>
      <c r="K190" s="88"/>
      <c r="L190" s="92"/>
      <c r="M190" s="92" t="s">
        <v>175</v>
      </c>
      <c r="N190"/>
      <c r="O190" s="23">
        <v>20260814</v>
      </c>
      <c r="P190" s="31">
        <v>202608140000004</v>
      </c>
      <c r="Q190" s="24">
        <v>5985</v>
      </c>
      <c r="R190" s="25"/>
      <c r="S190" s="24" t="s">
        <v>167</v>
      </c>
      <c r="T190" s="24" t="s">
        <v>2298</v>
      </c>
      <c r="U190" s="24" t="s">
        <v>2299</v>
      </c>
    </row>
    <row r="191" spans="1:21" ht="21.75" hidden="1" customHeight="1" thickBot="1">
      <c r="A191" s="92" t="s">
        <v>172</v>
      </c>
      <c r="B191" s="93">
        <v>46248</v>
      </c>
      <c r="C191" s="92" t="s">
        <v>2997</v>
      </c>
      <c r="D191" s="92" t="s">
        <v>2998</v>
      </c>
      <c r="E191" s="92"/>
      <c r="F191" s="92" t="s">
        <v>165</v>
      </c>
      <c r="G191" s="88">
        <v>5215</v>
      </c>
      <c r="H191" s="88">
        <v>3000</v>
      </c>
      <c r="I191" s="88">
        <v>2215</v>
      </c>
      <c r="J191" s="88">
        <v>0</v>
      </c>
      <c r="K191" s="88"/>
      <c r="L191" s="92"/>
      <c r="M191" s="92" t="s">
        <v>175</v>
      </c>
      <c r="O191" s="23">
        <v>20260814</v>
      </c>
      <c r="P191" s="31">
        <v>202608140000005</v>
      </c>
      <c r="Q191" s="24">
        <v>5215</v>
      </c>
      <c r="R191" s="25"/>
      <c r="S191" s="24" t="s">
        <v>167</v>
      </c>
      <c r="T191" s="24" t="s">
        <v>2300</v>
      </c>
      <c r="U191" s="24" t="s">
        <v>2301</v>
      </c>
    </row>
    <row r="192" spans="1:21" ht="16.5" customHeight="1" thickBot="1">
      <c r="A192" s="92" t="s">
        <v>172</v>
      </c>
      <c r="B192" s="93">
        <v>46248</v>
      </c>
      <c r="C192" s="92" t="s">
        <v>2999</v>
      </c>
      <c r="D192" s="92" t="s">
        <v>3000</v>
      </c>
      <c r="E192" s="92"/>
      <c r="F192" s="92" t="s">
        <v>179</v>
      </c>
      <c r="G192" s="88">
        <v>4290</v>
      </c>
      <c r="H192" s="88">
        <v>4000</v>
      </c>
      <c r="I192" s="88">
        <v>290</v>
      </c>
      <c r="J192" s="88">
        <v>0</v>
      </c>
      <c r="K192" s="88"/>
      <c r="L192" s="92"/>
      <c r="M192" s="92" t="s">
        <v>175</v>
      </c>
      <c r="N192" t="s">
        <v>4187</v>
      </c>
      <c r="O192" s="23">
        <v>20260814</v>
      </c>
      <c r="P192" s="31">
        <v>202608140000006</v>
      </c>
      <c r="Q192" s="24">
        <v>4290</v>
      </c>
      <c r="R192" s="25"/>
      <c r="S192" s="24" t="s">
        <v>167</v>
      </c>
      <c r="T192" s="24" t="s">
        <v>2302</v>
      </c>
      <c r="U192" s="24" t="s">
        <v>2303</v>
      </c>
    </row>
    <row r="193" spans="1:21" ht="16.5" hidden="1" customHeight="1" thickBot="1">
      <c r="A193" s="92" t="s">
        <v>180</v>
      </c>
      <c r="B193" s="93">
        <v>46248</v>
      </c>
      <c r="C193" s="92" t="s">
        <v>3001</v>
      </c>
      <c r="D193" s="92" t="s">
        <v>3002</v>
      </c>
      <c r="E193" s="92"/>
      <c r="F193" s="92" t="s">
        <v>165</v>
      </c>
      <c r="G193" s="88">
        <v>4692</v>
      </c>
      <c r="H193" s="88">
        <v>3000</v>
      </c>
      <c r="I193" s="88">
        <v>1692</v>
      </c>
      <c r="J193" s="88">
        <v>0</v>
      </c>
      <c r="K193" s="88"/>
      <c r="L193" s="92"/>
      <c r="M193" s="92" t="s">
        <v>175</v>
      </c>
      <c r="N193"/>
      <c r="O193" s="23">
        <v>20260814</v>
      </c>
      <c r="P193" s="31">
        <v>202608140000007</v>
      </c>
      <c r="Q193" s="24">
        <v>4692</v>
      </c>
      <c r="R193" s="25"/>
      <c r="S193" s="24" t="s">
        <v>167</v>
      </c>
      <c r="T193" s="24" t="s">
        <v>2304</v>
      </c>
      <c r="U193" s="24" t="s">
        <v>2305</v>
      </c>
    </row>
    <row r="194" spans="1:21" ht="16.5" hidden="1" customHeight="1" thickBot="1">
      <c r="A194" s="92" t="s">
        <v>180</v>
      </c>
      <c r="B194" s="93">
        <v>46248</v>
      </c>
      <c r="C194" s="92" t="s">
        <v>3003</v>
      </c>
      <c r="D194" s="92" t="s">
        <v>3004</v>
      </c>
      <c r="E194" s="92"/>
      <c r="F194" s="92" t="s">
        <v>165</v>
      </c>
      <c r="G194" s="88">
        <v>5217</v>
      </c>
      <c r="H194" s="88">
        <v>3000</v>
      </c>
      <c r="I194" s="88">
        <v>2217</v>
      </c>
      <c r="J194" s="88">
        <v>0</v>
      </c>
      <c r="K194" s="88"/>
      <c r="L194" s="92"/>
      <c r="M194" s="92" t="s">
        <v>175</v>
      </c>
      <c r="N194"/>
      <c r="O194" s="23">
        <v>20260814</v>
      </c>
      <c r="P194" s="31">
        <v>202608140000008</v>
      </c>
      <c r="Q194" s="24">
        <v>5217</v>
      </c>
      <c r="R194" s="25"/>
      <c r="S194" s="24" t="s">
        <v>167</v>
      </c>
      <c r="T194" s="24" t="s">
        <v>2306</v>
      </c>
      <c r="U194" s="24" t="s">
        <v>2307</v>
      </c>
    </row>
    <row r="195" spans="1:21" ht="16.5" customHeight="1" thickBot="1">
      <c r="A195" s="92" t="s">
        <v>172</v>
      </c>
      <c r="B195" s="93">
        <v>46248</v>
      </c>
      <c r="C195" s="92" t="s">
        <v>3005</v>
      </c>
      <c r="D195" s="92" t="s">
        <v>3006</v>
      </c>
      <c r="E195" s="92"/>
      <c r="F195" s="92" t="s">
        <v>179</v>
      </c>
      <c r="G195" s="88">
        <v>4290</v>
      </c>
      <c r="H195" s="88">
        <v>4000</v>
      </c>
      <c r="I195" s="88">
        <v>290</v>
      </c>
      <c r="J195" s="88">
        <v>0</v>
      </c>
      <c r="K195" s="88"/>
      <c r="L195" s="92"/>
      <c r="M195" s="92" t="s">
        <v>175</v>
      </c>
      <c r="N195" t="s">
        <v>4188</v>
      </c>
      <c r="O195" s="23">
        <v>20260814</v>
      </c>
      <c r="P195" s="31">
        <v>202608140000009</v>
      </c>
      <c r="Q195" s="24">
        <v>4290</v>
      </c>
      <c r="R195" s="25"/>
      <c r="S195" s="24" t="s">
        <v>167</v>
      </c>
      <c r="T195" s="24" t="s">
        <v>2308</v>
      </c>
      <c r="U195" s="24" t="s">
        <v>2309</v>
      </c>
    </row>
    <row r="196" spans="1:21" ht="16.5" hidden="1" customHeight="1" thickBot="1">
      <c r="A196" s="92" t="s">
        <v>172</v>
      </c>
      <c r="B196" s="93">
        <v>46248</v>
      </c>
      <c r="C196" s="92" t="s">
        <v>3007</v>
      </c>
      <c r="D196" s="92" t="s">
        <v>3008</v>
      </c>
      <c r="E196" s="92"/>
      <c r="F196" s="92" t="s">
        <v>165</v>
      </c>
      <c r="G196" s="88">
        <v>5985</v>
      </c>
      <c r="H196" s="88">
        <v>3000</v>
      </c>
      <c r="I196" s="88">
        <v>2985</v>
      </c>
      <c r="J196" s="88">
        <v>0</v>
      </c>
      <c r="K196" s="88"/>
      <c r="L196" s="92"/>
      <c r="M196" s="92" t="s">
        <v>175</v>
      </c>
      <c r="O196" s="23">
        <v>20260814</v>
      </c>
      <c r="P196" s="31">
        <v>202608140000010</v>
      </c>
      <c r="Q196" s="24">
        <v>5985</v>
      </c>
      <c r="R196" s="25"/>
      <c r="S196" s="24" t="s">
        <v>167</v>
      </c>
      <c r="T196" s="24" t="s">
        <v>2310</v>
      </c>
      <c r="U196" s="24" t="s">
        <v>2311</v>
      </c>
    </row>
    <row r="197" spans="1:21" ht="16.5" hidden="1" customHeight="1" thickBot="1">
      <c r="A197" s="92" t="s">
        <v>162</v>
      </c>
      <c r="B197" s="93">
        <v>46248</v>
      </c>
      <c r="C197" s="92" t="s">
        <v>262</v>
      </c>
      <c r="D197" s="92" t="s">
        <v>263</v>
      </c>
      <c r="E197" s="92"/>
      <c r="F197" s="92" t="s">
        <v>165</v>
      </c>
      <c r="G197" s="88">
        <v>2600</v>
      </c>
      <c r="H197" s="88"/>
      <c r="I197" s="88">
        <v>2600</v>
      </c>
      <c r="J197" s="88">
        <v>0</v>
      </c>
      <c r="K197" s="88"/>
      <c r="L197" s="92"/>
      <c r="M197" s="92" t="s">
        <v>166</v>
      </c>
      <c r="N197"/>
      <c r="O197" s="23">
        <v>20260814</v>
      </c>
      <c r="P197" s="31">
        <v>202608140000011</v>
      </c>
      <c r="Q197" s="24">
        <v>2600</v>
      </c>
      <c r="R197" s="25"/>
      <c r="S197" s="24" t="s">
        <v>167</v>
      </c>
      <c r="T197" s="24" t="s">
        <v>264</v>
      </c>
      <c r="U197" s="24" t="s">
        <v>2312</v>
      </c>
    </row>
    <row r="198" spans="1:21" ht="16.5" hidden="1" customHeight="1" thickBot="1">
      <c r="A198" s="92" t="s">
        <v>172</v>
      </c>
      <c r="B198" s="93">
        <v>46248</v>
      </c>
      <c r="C198" s="92" t="s">
        <v>3009</v>
      </c>
      <c r="D198" s="92" t="s">
        <v>3010</v>
      </c>
      <c r="E198" s="92"/>
      <c r="F198" s="92" t="s">
        <v>165</v>
      </c>
      <c r="G198" s="88">
        <v>10000</v>
      </c>
      <c r="H198" s="88">
        <v>4000</v>
      </c>
      <c r="I198" s="88">
        <v>6000</v>
      </c>
      <c r="J198" s="88">
        <v>0</v>
      </c>
      <c r="K198" s="88"/>
      <c r="L198" s="92"/>
      <c r="M198" s="92" t="s">
        <v>175</v>
      </c>
      <c r="N198"/>
      <c r="O198" s="23">
        <v>20260814</v>
      </c>
      <c r="P198" s="31">
        <v>202608140000012</v>
      </c>
      <c r="Q198" s="24">
        <v>10000</v>
      </c>
      <c r="R198" s="25"/>
      <c r="S198" s="24" t="s">
        <v>167</v>
      </c>
      <c r="T198" s="24" t="s">
        <v>2313</v>
      </c>
      <c r="U198" s="24" t="s">
        <v>2314</v>
      </c>
    </row>
    <row r="199" spans="1:21" ht="16.5" hidden="1" customHeight="1" thickBot="1">
      <c r="A199" s="92" t="s">
        <v>162</v>
      </c>
      <c r="B199" s="93">
        <v>46248</v>
      </c>
      <c r="C199" s="92" t="s">
        <v>494</v>
      </c>
      <c r="D199" s="92" t="s">
        <v>495</v>
      </c>
      <c r="E199" s="92"/>
      <c r="F199" s="92" t="s">
        <v>165</v>
      </c>
      <c r="G199" s="88">
        <v>3850</v>
      </c>
      <c r="H199" s="88"/>
      <c r="I199" s="88">
        <v>3850</v>
      </c>
      <c r="J199" s="88">
        <v>0</v>
      </c>
      <c r="K199" s="88"/>
      <c r="L199" s="92"/>
      <c r="M199" s="92" t="s">
        <v>166</v>
      </c>
      <c r="N199"/>
      <c r="O199" s="23">
        <v>20260814</v>
      </c>
      <c r="P199" s="31">
        <v>202608140000013</v>
      </c>
      <c r="Q199" s="24">
        <v>3850</v>
      </c>
      <c r="R199" s="25"/>
      <c r="S199" s="24" t="s">
        <v>167</v>
      </c>
      <c r="T199" s="24" t="s">
        <v>417</v>
      </c>
      <c r="U199" s="24" t="s">
        <v>2315</v>
      </c>
    </row>
    <row r="200" spans="1:21" ht="16.5" hidden="1" customHeight="1" thickBot="1">
      <c r="A200" s="92" t="s">
        <v>162</v>
      </c>
      <c r="B200" s="93">
        <v>46248</v>
      </c>
      <c r="C200" s="92" t="s">
        <v>315</v>
      </c>
      <c r="D200" s="92" t="s">
        <v>316</v>
      </c>
      <c r="E200" s="92"/>
      <c r="F200" s="92" t="s">
        <v>165</v>
      </c>
      <c r="G200" s="88">
        <v>653</v>
      </c>
      <c r="H200" s="88"/>
      <c r="I200" s="88">
        <v>653</v>
      </c>
      <c r="J200" s="88">
        <v>0</v>
      </c>
      <c r="K200" s="88"/>
      <c r="L200" s="92"/>
      <c r="M200" s="92" t="s">
        <v>166</v>
      </c>
      <c r="N200"/>
      <c r="O200" s="128">
        <v>20260814</v>
      </c>
      <c r="P200" s="143">
        <v>202608140000014</v>
      </c>
      <c r="Q200" s="129">
        <v>653</v>
      </c>
      <c r="R200" s="28"/>
      <c r="S200" s="129" t="s">
        <v>167</v>
      </c>
      <c r="T200" s="129" t="s">
        <v>317</v>
      </c>
      <c r="U200" s="129" t="s">
        <v>2316</v>
      </c>
    </row>
    <row r="201" spans="1:21" ht="16.5" hidden="1" customHeight="1" thickBot="1">
      <c r="A201" s="92" t="s">
        <v>162</v>
      </c>
      <c r="B201" s="93">
        <v>46248</v>
      </c>
      <c r="C201" s="92" t="s">
        <v>408</v>
      </c>
      <c r="D201" s="92" t="s">
        <v>409</v>
      </c>
      <c r="E201" s="92"/>
      <c r="F201" s="92" t="s">
        <v>165</v>
      </c>
      <c r="G201" s="88">
        <v>3850</v>
      </c>
      <c r="H201" s="88"/>
      <c r="I201" s="88">
        <v>3850</v>
      </c>
      <c r="J201" s="88">
        <v>0</v>
      </c>
      <c r="K201" s="88"/>
      <c r="L201" s="92"/>
      <c r="M201" s="92" t="s">
        <v>166</v>
      </c>
      <c r="O201" s="130">
        <v>20260814</v>
      </c>
      <c r="P201" s="144">
        <v>202608140000015</v>
      </c>
      <c r="Q201" s="131">
        <v>3850</v>
      </c>
      <c r="R201" s="25"/>
      <c r="S201" s="131" t="s">
        <v>167</v>
      </c>
      <c r="T201" s="131" t="s">
        <v>190</v>
      </c>
      <c r="U201" s="131" t="s">
        <v>2317</v>
      </c>
    </row>
    <row r="202" spans="1:21" ht="16.5" hidden="1" customHeight="1" thickBot="1">
      <c r="A202" s="92" t="s">
        <v>162</v>
      </c>
      <c r="B202" s="93">
        <v>46248</v>
      </c>
      <c r="C202" s="92" t="s">
        <v>3011</v>
      </c>
      <c r="D202" s="92" t="s">
        <v>3012</v>
      </c>
      <c r="E202" s="92"/>
      <c r="F202" s="92" t="s">
        <v>165</v>
      </c>
      <c r="G202" s="88">
        <v>2800</v>
      </c>
      <c r="H202" s="88"/>
      <c r="I202" s="88">
        <v>2800</v>
      </c>
      <c r="J202" s="88">
        <v>0</v>
      </c>
      <c r="K202" s="88"/>
      <c r="L202" s="92"/>
      <c r="M202" s="92" t="s">
        <v>166</v>
      </c>
      <c r="N202"/>
      <c r="O202" s="128">
        <v>20260814</v>
      </c>
      <c r="P202" s="143">
        <v>202608140000016</v>
      </c>
      <c r="Q202" s="129">
        <v>2800</v>
      </c>
      <c r="R202" s="28"/>
      <c r="S202" s="129" t="s">
        <v>167</v>
      </c>
      <c r="T202" s="129" t="s">
        <v>407</v>
      </c>
      <c r="U202" s="129" t="s">
        <v>2318</v>
      </c>
    </row>
    <row r="203" spans="1:21" ht="16.5" hidden="1" customHeight="1" thickBot="1">
      <c r="A203" s="92" t="s">
        <v>162</v>
      </c>
      <c r="B203" s="93">
        <v>46249</v>
      </c>
      <c r="C203" s="92" t="s">
        <v>422</v>
      </c>
      <c r="D203" s="92" t="s">
        <v>423</v>
      </c>
      <c r="E203" s="92"/>
      <c r="F203" s="92" t="s">
        <v>165</v>
      </c>
      <c r="G203" s="88">
        <v>3850</v>
      </c>
      <c r="H203" s="88"/>
      <c r="I203" s="88">
        <v>3850</v>
      </c>
      <c r="J203" s="88">
        <v>0</v>
      </c>
      <c r="K203" s="88"/>
      <c r="L203" s="92"/>
      <c r="M203" s="92" t="s">
        <v>166</v>
      </c>
      <c r="N203"/>
      <c r="O203" s="130">
        <v>20260815</v>
      </c>
      <c r="P203" s="144">
        <v>202608150000001</v>
      </c>
      <c r="Q203" s="131">
        <v>3850</v>
      </c>
      <c r="R203" s="25"/>
      <c r="S203" s="131" t="s">
        <v>167</v>
      </c>
      <c r="T203" s="131" t="s">
        <v>424</v>
      </c>
      <c r="U203" s="131" t="s">
        <v>2319</v>
      </c>
    </row>
    <row r="204" spans="1:21" ht="16.5" customHeight="1" thickBot="1">
      <c r="A204" s="92" t="s">
        <v>162</v>
      </c>
      <c r="B204" s="93">
        <v>46249</v>
      </c>
      <c r="C204" s="92" t="e">
        <v>#N/A</v>
      </c>
      <c r="D204" s="92"/>
      <c r="E204" s="92"/>
      <c r="F204" s="92" t="s">
        <v>179</v>
      </c>
      <c r="G204" s="88">
        <v>2000</v>
      </c>
      <c r="H204" s="88">
        <v>2000</v>
      </c>
      <c r="I204" s="88">
        <v>0</v>
      </c>
      <c r="J204" s="88">
        <v>0</v>
      </c>
      <c r="K204" s="88"/>
      <c r="L204" s="92"/>
      <c r="M204" s="92" t="s">
        <v>166</v>
      </c>
      <c r="N204" t="s">
        <v>745</v>
      </c>
      <c r="O204" s="128">
        <v>20260815</v>
      </c>
      <c r="P204" s="143">
        <v>202608150000002</v>
      </c>
      <c r="Q204" s="129">
        <v>2000</v>
      </c>
      <c r="R204" s="28"/>
      <c r="S204" s="129" t="s">
        <v>167</v>
      </c>
      <c r="T204" s="129" t="s">
        <v>2320</v>
      </c>
      <c r="U204" s="129" t="s">
        <v>2321</v>
      </c>
    </row>
    <row r="205" spans="1:21" ht="16.5" hidden="1" customHeight="1" thickBot="1">
      <c r="A205" s="92" t="s">
        <v>162</v>
      </c>
      <c r="B205" s="93">
        <v>46249</v>
      </c>
      <c r="C205" s="92" t="s">
        <v>420</v>
      </c>
      <c r="D205" s="92" t="s">
        <v>421</v>
      </c>
      <c r="E205" s="92"/>
      <c r="F205" s="92" t="s">
        <v>165</v>
      </c>
      <c r="G205" s="88">
        <v>3850</v>
      </c>
      <c r="H205" s="88"/>
      <c r="I205" s="88">
        <v>3850</v>
      </c>
      <c r="J205" s="88">
        <v>0</v>
      </c>
      <c r="K205" s="88"/>
      <c r="L205" s="92"/>
      <c r="M205" s="92" t="s">
        <v>166</v>
      </c>
      <c r="N205"/>
      <c r="O205" s="130">
        <v>20260815</v>
      </c>
      <c r="P205" s="144">
        <v>202608150000003</v>
      </c>
      <c r="Q205" s="131">
        <v>3850</v>
      </c>
      <c r="R205" s="25"/>
      <c r="S205" s="131" t="s">
        <v>167</v>
      </c>
      <c r="T205" s="131" t="s">
        <v>397</v>
      </c>
      <c r="U205" s="131" t="s">
        <v>2322</v>
      </c>
    </row>
    <row r="206" spans="1:21" ht="16.5" hidden="1" customHeight="1" thickBot="1">
      <c r="A206" s="92" t="s">
        <v>162</v>
      </c>
      <c r="B206" s="93">
        <v>46249</v>
      </c>
      <c r="C206" s="92" t="s">
        <v>418</v>
      </c>
      <c r="D206" s="92" t="s">
        <v>419</v>
      </c>
      <c r="E206" s="92"/>
      <c r="F206" s="92" t="s">
        <v>165</v>
      </c>
      <c r="G206" s="88">
        <v>2396</v>
      </c>
      <c r="H206" s="88"/>
      <c r="I206" s="88">
        <v>2396</v>
      </c>
      <c r="J206" s="88">
        <v>0</v>
      </c>
      <c r="K206" s="88"/>
      <c r="L206" s="92"/>
      <c r="M206" s="92" t="s">
        <v>166</v>
      </c>
      <c r="N206"/>
      <c r="O206" s="128">
        <v>20260815</v>
      </c>
      <c r="P206" s="143">
        <v>202608150000004</v>
      </c>
      <c r="Q206" s="129">
        <v>2396</v>
      </c>
      <c r="R206" s="28"/>
      <c r="S206" s="129" t="s">
        <v>167</v>
      </c>
      <c r="T206" s="129" t="s">
        <v>208</v>
      </c>
      <c r="U206" s="129" t="s">
        <v>2323</v>
      </c>
    </row>
    <row r="207" spans="1:21" ht="16.5" hidden="1" customHeight="1" thickBot="1">
      <c r="A207" s="92" t="s">
        <v>162</v>
      </c>
      <c r="B207" s="93">
        <v>46249</v>
      </c>
      <c r="C207" s="92" t="s">
        <v>545</v>
      </c>
      <c r="D207" s="92" t="s">
        <v>546</v>
      </c>
      <c r="E207" s="92"/>
      <c r="F207" s="92" t="s">
        <v>165</v>
      </c>
      <c r="G207" s="88">
        <v>3850</v>
      </c>
      <c r="H207" s="88"/>
      <c r="I207" s="88">
        <v>3850</v>
      </c>
      <c r="J207" s="88">
        <v>0</v>
      </c>
      <c r="K207" s="88"/>
      <c r="L207" s="92"/>
      <c r="M207" s="92" t="s">
        <v>166</v>
      </c>
      <c r="O207" s="130">
        <v>20260815</v>
      </c>
      <c r="P207" s="144">
        <v>202608150000005</v>
      </c>
      <c r="Q207" s="131">
        <v>3850</v>
      </c>
      <c r="R207" s="25"/>
      <c r="S207" s="131" t="s">
        <v>167</v>
      </c>
      <c r="T207" s="131" t="s">
        <v>193</v>
      </c>
      <c r="U207" s="131" t="s">
        <v>2324</v>
      </c>
    </row>
    <row r="208" spans="1:21" ht="16.5" hidden="1" customHeight="1" thickBot="1">
      <c r="A208" s="92" t="s">
        <v>162</v>
      </c>
      <c r="B208" s="93">
        <v>46249</v>
      </c>
      <c r="C208" s="92" t="s">
        <v>413</v>
      </c>
      <c r="D208" s="92" t="s">
        <v>414</v>
      </c>
      <c r="E208" s="92"/>
      <c r="F208" s="92" t="s">
        <v>165</v>
      </c>
      <c r="G208" s="88">
        <v>3850</v>
      </c>
      <c r="H208" s="88"/>
      <c r="I208" s="88">
        <v>3850</v>
      </c>
      <c r="J208" s="88">
        <v>0</v>
      </c>
      <c r="K208" s="88"/>
      <c r="L208" s="92"/>
      <c r="M208" s="92" t="s">
        <v>166</v>
      </c>
      <c r="N208"/>
      <c r="O208" s="128">
        <v>20260815</v>
      </c>
      <c r="P208" s="143">
        <v>202608150000006</v>
      </c>
      <c r="Q208" s="129">
        <v>3850</v>
      </c>
      <c r="R208" s="28"/>
      <c r="S208" s="129" t="s">
        <v>167</v>
      </c>
      <c r="T208" s="129" t="s">
        <v>536</v>
      </c>
      <c r="U208" s="129" t="s">
        <v>2325</v>
      </c>
    </row>
    <row r="209" spans="1:21" ht="16.5" hidden="1" customHeight="1" thickBot="1">
      <c r="A209" s="92" t="s">
        <v>162</v>
      </c>
      <c r="B209" s="93">
        <v>46249</v>
      </c>
      <c r="C209" s="92" t="s">
        <v>553</v>
      </c>
      <c r="D209" s="92" t="s">
        <v>554</v>
      </c>
      <c r="E209" s="92"/>
      <c r="F209" s="92" t="s">
        <v>165</v>
      </c>
      <c r="G209" s="88">
        <v>11550</v>
      </c>
      <c r="H209" s="88"/>
      <c r="I209" s="88">
        <v>11550</v>
      </c>
      <c r="J209" s="88">
        <v>0</v>
      </c>
      <c r="K209" s="88"/>
      <c r="L209" s="92"/>
      <c r="M209" s="92" t="s">
        <v>166</v>
      </c>
      <c r="N209"/>
      <c r="O209" s="130">
        <v>20260815</v>
      </c>
      <c r="P209" s="144">
        <v>202608150000007</v>
      </c>
      <c r="Q209" s="131">
        <v>11550</v>
      </c>
      <c r="R209" s="25"/>
      <c r="S209" s="131" t="s">
        <v>167</v>
      </c>
      <c r="T209" s="131" t="s">
        <v>264</v>
      </c>
      <c r="U209" s="131" t="s">
        <v>2326</v>
      </c>
    </row>
    <row r="210" spans="1:21" ht="16.5" customHeight="1" thickBot="1">
      <c r="A210" s="92" t="s">
        <v>162</v>
      </c>
      <c r="B210" s="93">
        <v>46249</v>
      </c>
      <c r="C210" s="92" t="e">
        <v>#N/A</v>
      </c>
      <c r="D210" s="92"/>
      <c r="E210" s="92"/>
      <c r="F210" s="92" t="s">
        <v>179</v>
      </c>
      <c r="G210" s="88">
        <v>2000</v>
      </c>
      <c r="H210" s="88">
        <v>2000</v>
      </c>
      <c r="I210" s="88">
        <v>0</v>
      </c>
      <c r="J210" s="88">
        <v>0</v>
      </c>
      <c r="K210" s="88"/>
      <c r="L210" s="92"/>
      <c r="M210" s="92" t="s">
        <v>166</v>
      </c>
      <c r="N210" t="s">
        <v>4122</v>
      </c>
      <c r="O210" s="128">
        <v>20260815</v>
      </c>
      <c r="P210" s="143">
        <v>202608150000008</v>
      </c>
      <c r="Q210" s="129">
        <v>2000</v>
      </c>
      <c r="R210" s="28"/>
      <c r="S210" s="129" t="s">
        <v>167</v>
      </c>
      <c r="T210" s="129" t="s">
        <v>2327</v>
      </c>
      <c r="U210" s="129" t="s">
        <v>2328</v>
      </c>
    </row>
    <row r="211" spans="1:21" ht="16.5" hidden="1" customHeight="1" thickBot="1">
      <c r="A211" s="92" t="s">
        <v>162</v>
      </c>
      <c r="B211" s="93">
        <v>46249</v>
      </c>
      <c r="C211" s="92" t="s">
        <v>395</v>
      </c>
      <c r="D211" s="92" t="s">
        <v>396</v>
      </c>
      <c r="E211" s="92"/>
      <c r="F211" s="92" t="s">
        <v>165</v>
      </c>
      <c r="G211" s="88">
        <v>3850</v>
      </c>
      <c r="H211" s="88"/>
      <c r="I211" s="88">
        <v>3850</v>
      </c>
      <c r="J211" s="88">
        <v>0</v>
      </c>
      <c r="K211" s="88"/>
      <c r="L211" s="92"/>
      <c r="M211" s="92" t="s">
        <v>166</v>
      </c>
      <c r="N211"/>
      <c r="O211" s="130">
        <v>20260815</v>
      </c>
      <c r="P211" s="144">
        <v>202608150000009</v>
      </c>
      <c r="Q211" s="131">
        <v>3850</v>
      </c>
      <c r="R211" s="25"/>
      <c r="S211" s="131" t="s">
        <v>167</v>
      </c>
      <c r="T211" s="131" t="s">
        <v>393</v>
      </c>
      <c r="U211" s="131" t="s">
        <v>2329</v>
      </c>
    </row>
    <row r="212" spans="1:21" ht="16.5" hidden="1" customHeight="1" thickBot="1">
      <c r="A212" s="92" t="s">
        <v>162</v>
      </c>
      <c r="B212" s="93">
        <v>46249</v>
      </c>
      <c r="C212" s="92" t="s">
        <v>457</v>
      </c>
      <c r="D212" s="92" t="s">
        <v>458</v>
      </c>
      <c r="E212" s="92"/>
      <c r="F212" s="92" t="s">
        <v>165</v>
      </c>
      <c r="G212" s="88">
        <v>1513</v>
      </c>
      <c r="H212" s="88"/>
      <c r="I212" s="88">
        <v>1513</v>
      </c>
      <c r="J212" s="88">
        <v>0</v>
      </c>
      <c r="K212" s="88"/>
      <c r="L212" s="92"/>
      <c r="M212" s="92" t="s">
        <v>166</v>
      </c>
      <c r="N212"/>
      <c r="O212" s="128">
        <v>20260815</v>
      </c>
      <c r="P212" s="143">
        <v>202608150000010</v>
      </c>
      <c r="Q212" s="129">
        <v>1513</v>
      </c>
      <c r="R212" s="28"/>
      <c r="S212" s="129" t="s">
        <v>167</v>
      </c>
      <c r="T212" s="129" t="s">
        <v>286</v>
      </c>
      <c r="U212" s="129" t="s">
        <v>2330</v>
      </c>
    </row>
    <row r="213" spans="1:21" ht="16.5" hidden="1" customHeight="1" thickBot="1">
      <c r="A213" s="92" t="s">
        <v>162</v>
      </c>
      <c r="B213" s="93">
        <v>46249</v>
      </c>
      <c r="C213" s="92" t="s">
        <v>420</v>
      </c>
      <c r="D213" s="92" t="s">
        <v>421</v>
      </c>
      <c r="E213" s="92"/>
      <c r="F213" s="92" t="s">
        <v>165</v>
      </c>
      <c r="G213" s="88">
        <v>3850</v>
      </c>
      <c r="H213" s="88"/>
      <c r="I213" s="88">
        <v>3850</v>
      </c>
      <c r="J213" s="88">
        <v>0</v>
      </c>
      <c r="K213" s="88"/>
      <c r="L213" s="92"/>
      <c r="M213" s="92" t="s">
        <v>166</v>
      </c>
      <c r="N213"/>
      <c r="O213" s="130">
        <v>20260815</v>
      </c>
      <c r="P213" s="144">
        <v>202608150000011</v>
      </c>
      <c r="Q213" s="131">
        <v>3850</v>
      </c>
      <c r="R213" s="25"/>
      <c r="S213" s="131" t="s">
        <v>167</v>
      </c>
      <c r="T213" s="131" t="s">
        <v>417</v>
      </c>
      <c r="U213" s="131" t="s">
        <v>2331</v>
      </c>
    </row>
    <row r="214" spans="1:21" ht="16.5" hidden="1" customHeight="1" thickBot="1">
      <c r="A214" s="92" t="s">
        <v>162</v>
      </c>
      <c r="B214" s="93">
        <v>46249</v>
      </c>
      <c r="C214" s="92" t="s">
        <v>1629</v>
      </c>
      <c r="D214" s="92" t="s">
        <v>1630</v>
      </c>
      <c r="E214" s="92"/>
      <c r="F214" s="92" t="s">
        <v>165</v>
      </c>
      <c r="G214" s="88">
        <v>3850</v>
      </c>
      <c r="H214" s="88"/>
      <c r="I214" s="88">
        <v>3850</v>
      </c>
      <c r="J214" s="88">
        <v>0</v>
      </c>
      <c r="K214" s="88"/>
      <c r="L214" s="92"/>
      <c r="M214" s="92" t="s">
        <v>166</v>
      </c>
      <c r="N214"/>
      <c r="O214" s="128">
        <v>20260815</v>
      </c>
      <c r="P214" s="143">
        <v>202608150000012</v>
      </c>
      <c r="Q214" s="129">
        <v>3850</v>
      </c>
      <c r="R214" s="28"/>
      <c r="S214" s="129" t="s">
        <v>167</v>
      </c>
      <c r="T214" s="129" t="s">
        <v>208</v>
      </c>
      <c r="U214" s="129" t="s">
        <v>2332</v>
      </c>
    </row>
    <row r="215" spans="1:21" ht="16.5" hidden="1" customHeight="1" thickBot="1">
      <c r="A215" s="92" t="s">
        <v>162</v>
      </c>
      <c r="B215" s="93">
        <v>46250</v>
      </c>
      <c r="C215" s="92" t="s">
        <v>598</v>
      </c>
      <c r="D215" s="92" t="s">
        <v>599</v>
      </c>
      <c r="E215" s="92"/>
      <c r="F215" s="92" t="s">
        <v>165</v>
      </c>
      <c r="G215" s="88">
        <v>3850</v>
      </c>
      <c r="H215" s="88"/>
      <c r="I215" s="88">
        <v>3850</v>
      </c>
      <c r="J215" s="88">
        <v>0</v>
      </c>
      <c r="K215" s="88"/>
      <c r="L215" s="92"/>
      <c r="M215" s="92" t="s">
        <v>166</v>
      </c>
      <c r="N215"/>
      <c r="O215" s="130">
        <v>20260816</v>
      </c>
      <c r="P215" s="144">
        <v>202608160000001</v>
      </c>
      <c r="Q215" s="131">
        <v>3850</v>
      </c>
      <c r="R215" s="25"/>
      <c r="S215" s="131" t="s">
        <v>167</v>
      </c>
      <c r="T215" s="131" t="s">
        <v>600</v>
      </c>
      <c r="U215" s="131" t="s">
        <v>2333</v>
      </c>
    </row>
    <row r="216" spans="1:21" ht="16.5" hidden="1" customHeight="1" thickBot="1">
      <c r="A216" s="92" t="s">
        <v>162</v>
      </c>
      <c r="B216" s="93">
        <v>46250</v>
      </c>
      <c r="C216" s="92" t="s">
        <v>601</v>
      </c>
      <c r="D216" s="92" t="s">
        <v>602</v>
      </c>
      <c r="E216" s="92"/>
      <c r="F216" s="92" t="s">
        <v>165</v>
      </c>
      <c r="G216" s="88">
        <v>3850</v>
      </c>
      <c r="H216" s="88"/>
      <c r="I216" s="88">
        <v>3850</v>
      </c>
      <c r="J216" s="88">
        <v>0</v>
      </c>
      <c r="K216" s="88"/>
      <c r="L216" s="92"/>
      <c r="M216" s="92" t="s">
        <v>166</v>
      </c>
      <c r="O216" s="128">
        <v>20260816</v>
      </c>
      <c r="P216" s="143">
        <v>202608160000002</v>
      </c>
      <c r="Q216" s="129">
        <v>3850</v>
      </c>
      <c r="R216" s="28"/>
      <c r="S216" s="129" t="s">
        <v>167</v>
      </c>
      <c r="T216" s="129" t="s">
        <v>603</v>
      </c>
      <c r="U216" s="129" t="s">
        <v>2334</v>
      </c>
    </row>
    <row r="217" spans="1:21" ht="16.5" hidden="1" customHeight="1" thickBot="1">
      <c r="A217" s="92" t="s">
        <v>162</v>
      </c>
      <c r="B217" s="93">
        <v>46250</v>
      </c>
      <c r="C217" s="92" t="s">
        <v>404</v>
      </c>
      <c r="D217" s="92" t="s">
        <v>405</v>
      </c>
      <c r="E217" s="92"/>
      <c r="F217" s="92" t="s">
        <v>165</v>
      </c>
      <c r="G217" s="88">
        <v>3850</v>
      </c>
      <c r="H217" s="88"/>
      <c r="I217" s="88">
        <v>3850</v>
      </c>
      <c r="J217" s="88">
        <v>0</v>
      </c>
      <c r="K217" s="88"/>
      <c r="L217" s="92"/>
      <c r="M217" s="92" t="s">
        <v>166</v>
      </c>
      <c r="N217"/>
      <c r="O217" s="130">
        <v>20260816</v>
      </c>
      <c r="P217" s="144">
        <v>202608160000003</v>
      </c>
      <c r="Q217" s="131">
        <v>3850</v>
      </c>
      <c r="R217" s="25"/>
      <c r="S217" s="131" t="s">
        <v>167</v>
      </c>
      <c r="T217" s="131" t="s">
        <v>406</v>
      </c>
      <c r="U217" s="131" t="s">
        <v>2335</v>
      </c>
    </row>
    <row r="218" spans="1:21" ht="16.5" hidden="1" customHeight="1" thickBot="1">
      <c r="A218" s="92" t="s">
        <v>162</v>
      </c>
      <c r="B218" s="93">
        <v>46250</v>
      </c>
      <c r="C218" s="92" t="s">
        <v>468</v>
      </c>
      <c r="D218" s="92" t="s">
        <v>469</v>
      </c>
      <c r="E218" s="92"/>
      <c r="F218" s="92" t="s">
        <v>165</v>
      </c>
      <c r="G218" s="88">
        <v>8400</v>
      </c>
      <c r="H218" s="88"/>
      <c r="I218" s="88">
        <v>8400</v>
      </c>
      <c r="J218" s="88">
        <v>0</v>
      </c>
      <c r="K218" s="88"/>
      <c r="L218" s="92"/>
      <c r="M218" s="92" t="s">
        <v>166</v>
      </c>
      <c r="N218"/>
      <c r="O218" s="128">
        <v>20260816</v>
      </c>
      <c r="P218" s="143">
        <v>202608160000004</v>
      </c>
      <c r="Q218" s="129">
        <v>8400</v>
      </c>
      <c r="R218" s="28"/>
      <c r="S218" s="129" t="s">
        <v>167</v>
      </c>
      <c r="T218" s="129" t="s">
        <v>467</v>
      </c>
      <c r="U218" s="129" t="s">
        <v>2336</v>
      </c>
    </row>
    <row r="219" spans="1:21" ht="16.5" hidden="1" customHeight="1" thickBot="1">
      <c r="A219" s="92" t="s">
        <v>162</v>
      </c>
      <c r="B219" s="93">
        <v>46250</v>
      </c>
      <c r="C219" s="92" t="s">
        <v>351</v>
      </c>
      <c r="D219" s="92" t="s">
        <v>352</v>
      </c>
      <c r="E219" s="92"/>
      <c r="F219" s="92" t="s">
        <v>165</v>
      </c>
      <c r="G219" s="88">
        <v>3850</v>
      </c>
      <c r="H219" s="88"/>
      <c r="I219" s="88">
        <v>3850</v>
      </c>
      <c r="J219" s="88">
        <v>0</v>
      </c>
      <c r="K219" s="88"/>
      <c r="L219" s="92"/>
      <c r="M219" s="92" t="s">
        <v>166</v>
      </c>
      <c r="N219"/>
      <c r="O219" s="130">
        <v>20260816</v>
      </c>
      <c r="P219" s="144">
        <v>202608160000005</v>
      </c>
      <c r="Q219" s="131">
        <v>3850</v>
      </c>
      <c r="R219" s="25"/>
      <c r="S219" s="131" t="s">
        <v>167</v>
      </c>
      <c r="T219" s="131" t="s">
        <v>353</v>
      </c>
      <c r="U219" s="131" t="s">
        <v>2337</v>
      </c>
    </row>
    <row r="220" spans="1:21" ht="16.5" hidden="1" customHeight="1" thickBot="1">
      <c r="A220" s="92" t="s">
        <v>172</v>
      </c>
      <c r="B220" s="93">
        <v>46250</v>
      </c>
      <c r="C220" s="92" t="s">
        <v>3013</v>
      </c>
      <c r="D220" s="92" t="s">
        <v>3014</v>
      </c>
      <c r="E220" s="92"/>
      <c r="F220" s="92" t="s">
        <v>165</v>
      </c>
      <c r="G220" s="88">
        <v>3850</v>
      </c>
      <c r="H220" s="88"/>
      <c r="I220" s="88">
        <v>3850</v>
      </c>
      <c r="J220" s="88">
        <v>0</v>
      </c>
      <c r="K220" s="88"/>
      <c r="L220" s="92"/>
      <c r="M220" s="92" t="s">
        <v>175</v>
      </c>
      <c r="N220"/>
      <c r="O220" s="128">
        <v>20260816</v>
      </c>
      <c r="P220" s="143">
        <v>202608160000006</v>
      </c>
      <c r="Q220" s="129">
        <v>3850</v>
      </c>
      <c r="R220" s="28"/>
      <c r="S220" s="129" t="s">
        <v>167</v>
      </c>
      <c r="T220" s="129" t="s">
        <v>208</v>
      </c>
      <c r="U220" s="129" t="s">
        <v>2338</v>
      </c>
    </row>
    <row r="221" spans="1:21" ht="16.5" hidden="1" customHeight="1" thickBot="1">
      <c r="A221" s="92" t="s">
        <v>162</v>
      </c>
      <c r="B221" s="93">
        <v>46250</v>
      </c>
      <c r="C221" s="92" t="s">
        <v>462</v>
      </c>
      <c r="D221" s="92" t="s">
        <v>463</v>
      </c>
      <c r="E221" s="92"/>
      <c r="F221" s="92" t="s">
        <v>165</v>
      </c>
      <c r="G221" s="88">
        <v>3850</v>
      </c>
      <c r="H221" s="88"/>
      <c r="I221" s="88">
        <v>3850</v>
      </c>
      <c r="J221" s="88">
        <v>0</v>
      </c>
      <c r="K221" s="88"/>
      <c r="L221" s="92"/>
      <c r="M221" s="92" t="s">
        <v>166</v>
      </c>
      <c r="N221"/>
      <c r="O221" s="130">
        <v>20260816</v>
      </c>
      <c r="P221" s="144">
        <v>202608160000007</v>
      </c>
      <c r="Q221" s="131">
        <v>3850</v>
      </c>
      <c r="R221" s="25"/>
      <c r="S221" s="131" t="s">
        <v>167</v>
      </c>
      <c r="T221" s="131" t="s">
        <v>464</v>
      </c>
      <c r="U221" s="131" t="s">
        <v>2339</v>
      </c>
    </row>
    <row r="222" spans="1:21" ht="16.5" hidden="1" customHeight="1" thickBot="1">
      <c r="A222" s="92" t="s">
        <v>162</v>
      </c>
      <c r="B222" s="93">
        <v>46250</v>
      </c>
      <c r="C222" s="92" t="s">
        <v>351</v>
      </c>
      <c r="D222" s="92" t="s">
        <v>352</v>
      </c>
      <c r="E222" s="92"/>
      <c r="F222" s="92" t="s">
        <v>165</v>
      </c>
      <c r="G222" s="88">
        <v>3850</v>
      </c>
      <c r="H222" s="88"/>
      <c r="I222" s="88">
        <v>3850</v>
      </c>
      <c r="J222" s="88">
        <v>0</v>
      </c>
      <c r="K222" s="88"/>
      <c r="L222" s="92"/>
      <c r="M222" s="92" t="s">
        <v>166</v>
      </c>
      <c r="O222" s="128">
        <v>20260816</v>
      </c>
      <c r="P222" s="143">
        <v>202608160000008</v>
      </c>
      <c r="Q222" s="129">
        <v>3850</v>
      </c>
      <c r="R222" s="28"/>
      <c r="S222" s="129" t="s">
        <v>167</v>
      </c>
      <c r="T222" s="129" t="s">
        <v>205</v>
      </c>
      <c r="U222" s="129" t="s">
        <v>2340</v>
      </c>
    </row>
    <row r="223" spans="1:21" ht="16.5" customHeight="1" thickBot="1">
      <c r="A223" s="92" t="s">
        <v>162</v>
      </c>
      <c r="B223" s="93">
        <v>46250</v>
      </c>
      <c r="C223" s="92" t="e">
        <v>#N/A</v>
      </c>
      <c r="D223" s="92"/>
      <c r="E223" s="92"/>
      <c r="F223" s="92" t="s">
        <v>179</v>
      </c>
      <c r="G223" s="88">
        <v>2000</v>
      </c>
      <c r="H223" s="88">
        <v>2000</v>
      </c>
      <c r="I223" s="88">
        <v>0</v>
      </c>
      <c r="J223" s="88">
        <v>0</v>
      </c>
      <c r="K223" s="88"/>
      <c r="L223" s="92"/>
      <c r="M223" s="92" t="s">
        <v>166</v>
      </c>
      <c r="N223" t="s">
        <v>4085</v>
      </c>
      <c r="O223" s="130">
        <v>20260816</v>
      </c>
      <c r="P223" s="144">
        <v>202608160000009</v>
      </c>
      <c r="Q223" s="131">
        <v>2000</v>
      </c>
      <c r="R223" s="25"/>
      <c r="S223" s="131" t="s">
        <v>167</v>
      </c>
      <c r="T223" s="131" t="s">
        <v>2341</v>
      </c>
      <c r="U223" s="131" t="s">
        <v>2342</v>
      </c>
    </row>
    <row r="224" spans="1:21" ht="16.5" hidden="1" customHeight="1" thickBot="1">
      <c r="A224" s="92" t="s">
        <v>162</v>
      </c>
      <c r="B224" s="93">
        <v>46250</v>
      </c>
      <c r="C224" s="92" t="s">
        <v>551</v>
      </c>
      <c r="D224" s="92" t="s">
        <v>552</v>
      </c>
      <c r="E224" s="92"/>
      <c r="F224" s="92" t="s">
        <v>165</v>
      </c>
      <c r="G224" s="88">
        <v>3850</v>
      </c>
      <c r="H224" s="88"/>
      <c r="I224" s="88">
        <v>3850</v>
      </c>
      <c r="J224" s="88">
        <v>0</v>
      </c>
      <c r="K224" s="88"/>
      <c r="L224" s="92"/>
      <c r="M224" s="92" t="s">
        <v>166</v>
      </c>
      <c r="N224"/>
      <c r="O224" s="128">
        <v>20260816</v>
      </c>
      <c r="P224" s="143">
        <v>202608160000010</v>
      </c>
      <c r="Q224" s="129">
        <v>3850</v>
      </c>
      <c r="R224" s="28"/>
      <c r="S224" s="129" t="s">
        <v>167</v>
      </c>
      <c r="T224" s="129" t="s">
        <v>208</v>
      </c>
      <c r="U224" s="129" t="s">
        <v>2343</v>
      </c>
    </row>
    <row r="225" spans="1:21" ht="16.5" customHeight="1" thickBot="1">
      <c r="A225" s="92" t="s">
        <v>176</v>
      </c>
      <c r="B225" s="93">
        <v>46250</v>
      </c>
      <c r="C225" s="92" t="s">
        <v>214</v>
      </c>
      <c r="D225" s="92" t="s">
        <v>215</v>
      </c>
      <c r="E225" s="92"/>
      <c r="F225" s="92" t="s">
        <v>179</v>
      </c>
      <c r="G225" s="88">
        <v>6850</v>
      </c>
      <c r="H225" s="88">
        <v>6850</v>
      </c>
      <c r="I225" s="88">
        <v>0</v>
      </c>
      <c r="J225" s="88">
        <v>0</v>
      </c>
      <c r="K225" s="88"/>
      <c r="L225" s="92"/>
      <c r="M225" s="92" t="s">
        <v>175</v>
      </c>
      <c r="N225" t="s">
        <v>4242</v>
      </c>
      <c r="O225" s="130">
        <v>20260816</v>
      </c>
      <c r="P225" s="144">
        <v>202608160000011</v>
      </c>
      <c r="Q225" s="131">
        <v>6850</v>
      </c>
      <c r="R225" s="25"/>
      <c r="S225" s="131" t="s">
        <v>167</v>
      </c>
      <c r="T225" s="131" t="s">
        <v>393</v>
      </c>
      <c r="U225" s="131" t="s">
        <v>2344</v>
      </c>
    </row>
    <row r="226" spans="1:21" ht="16.5" customHeight="1" thickBot="1">
      <c r="A226" s="92" t="s">
        <v>176</v>
      </c>
      <c r="B226" s="93">
        <v>46250</v>
      </c>
      <c r="C226" s="92" t="s">
        <v>214</v>
      </c>
      <c r="D226" s="92" t="s">
        <v>215</v>
      </c>
      <c r="E226" s="92"/>
      <c r="F226" s="92" t="s">
        <v>179</v>
      </c>
      <c r="G226" s="88">
        <v>6850</v>
      </c>
      <c r="H226" s="88">
        <v>6850</v>
      </c>
      <c r="I226" s="88">
        <v>0</v>
      </c>
      <c r="J226" s="88">
        <v>0</v>
      </c>
      <c r="K226" s="88"/>
      <c r="L226" s="92"/>
      <c r="M226" s="92" t="s">
        <v>175</v>
      </c>
      <c r="N226" t="s">
        <v>4247</v>
      </c>
      <c r="O226" s="128">
        <v>20260816</v>
      </c>
      <c r="P226" s="143">
        <v>202608160000012</v>
      </c>
      <c r="Q226" s="129">
        <v>6850</v>
      </c>
      <c r="R226" s="28"/>
      <c r="S226" s="129" t="s">
        <v>167</v>
      </c>
      <c r="T226" s="129" t="s">
        <v>264</v>
      </c>
      <c r="U226" s="129" t="s">
        <v>2345</v>
      </c>
    </row>
    <row r="227" spans="1:21" ht="16.5" hidden="1" customHeight="1" thickBot="1">
      <c r="A227" s="92" t="s">
        <v>162</v>
      </c>
      <c r="B227" s="93">
        <v>46250</v>
      </c>
      <c r="C227" s="92" t="s">
        <v>451</v>
      </c>
      <c r="D227" s="92" t="s">
        <v>452</v>
      </c>
      <c r="E227" s="92"/>
      <c r="F227" s="92" t="s">
        <v>165</v>
      </c>
      <c r="G227" s="88">
        <v>3850</v>
      </c>
      <c r="H227" s="88">
        <v>3850</v>
      </c>
      <c r="I227" s="88">
        <v>0</v>
      </c>
      <c r="J227" s="88">
        <v>0</v>
      </c>
      <c r="K227" s="88"/>
      <c r="L227" s="92"/>
      <c r="M227" s="92" t="s">
        <v>166</v>
      </c>
      <c r="N227"/>
      <c r="O227" s="130">
        <v>20260816</v>
      </c>
      <c r="P227" s="144">
        <v>202608160000013</v>
      </c>
      <c r="Q227" s="131">
        <v>3850</v>
      </c>
      <c r="R227" s="25"/>
      <c r="S227" s="131" t="s">
        <v>167</v>
      </c>
      <c r="T227" s="131" t="s">
        <v>453</v>
      </c>
      <c r="U227" s="131" t="s">
        <v>2346</v>
      </c>
    </row>
    <row r="228" spans="1:21" ht="16.5" hidden="1" customHeight="1" thickBot="1">
      <c r="A228" s="92" t="s">
        <v>162</v>
      </c>
      <c r="B228" s="93">
        <v>46250</v>
      </c>
      <c r="C228" s="92" t="s">
        <v>726</v>
      </c>
      <c r="D228" s="92" t="s">
        <v>727</v>
      </c>
      <c r="E228" s="92"/>
      <c r="F228" s="92" t="s">
        <v>165</v>
      </c>
      <c r="G228" s="88">
        <v>3850</v>
      </c>
      <c r="H228" s="88">
        <v>3850</v>
      </c>
      <c r="I228" s="88">
        <v>0</v>
      </c>
      <c r="J228" s="88">
        <v>0</v>
      </c>
      <c r="K228" s="88"/>
      <c r="L228" s="92"/>
      <c r="M228" s="92" t="s">
        <v>166</v>
      </c>
      <c r="O228" s="128">
        <v>20260816</v>
      </c>
      <c r="P228" s="143">
        <v>202608160000014</v>
      </c>
      <c r="Q228" s="129">
        <v>3850</v>
      </c>
      <c r="R228" s="28"/>
      <c r="S228" s="129" t="s">
        <v>167</v>
      </c>
      <c r="T228" s="129" t="s">
        <v>264</v>
      </c>
      <c r="U228" s="129" t="s">
        <v>2347</v>
      </c>
    </row>
    <row r="229" spans="1:21" ht="16.5" customHeight="1" thickBot="1">
      <c r="A229" s="92" t="s">
        <v>176</v>
      </c>
      <c r="B229" s="93">
        <v>46250</v>
      </c>
      <c r="C229" s="92" t="s">
        <v>214</v>
      </c>
      <c r="D229" s="92" t="s">
        <v>215</v>
      </c>
      <c r="E229" s="92"/>
      <c r="F229" s="92" t="s">
        <v>179</v>
      </c>
      <c r="G229" s="88">
        <v>6850</v>
      </c>
      <c r="H229" s="88">
        <v>6850</v>
      </c>
      <c r="I229" s="88">
        <v>0</v>
      </c>
      <c r="J229" s="88">
        <v>0</v>
      </c>
      <c r="K229" s="88"/>
      <c r="L229" s="92"/>
      <c r="M229" s="92" t="s">
        <v>175</v>
      </c>
      <c r="N229" t="s">
        <v>4248</v>
      </c>
      <c r="O229" s="130">
        <v>20260816</v>
      </c>
      <c r="P229" s="144">
        <v>202608160000015</v>
      </c>
      <c r="Q229" s="131">
        <v>6850</v>
      </c>
      <c r="R229" s="25"/>
      <c r="S229" s="131" t="s">
        <v>167</v>
      </c>
      <c r="T229" s="131" t="s">
        <v>2348</v>
      </c>
      <c r="U229" s="131" t="s">
        <v>2349</v>
      </c>
    </row>
    <row r="230" spans="1:21" ht="16.5" hidden="1" customHeight="1" thickBot="1">
      <c r="A230" s="92" t="s">
        <v>162</v>
      </c>
      <c r="B230" s="93">
        <v>46250</v>
      </c>
      <c r="C230" s="92" t="s">
        <v>583</v>
      </c>
      <c r="D230" s="92" t="s">
        <v>584</v>
      </c>
      <c r="E230" s="92"/>
      <c r="F230" s="92" t="s">
        <v>165</v>
      </c>
      <c r="G230" s="88">
        <v>3850</v>
      </c>
      <c r="H230" s="88">
        <v>3850</v>
      </c>
      <c r="I230" s="88">
        <v>0</v>
      </c>
      <c r="J230" s="88">
        <v>0</v>
      </c>
      <c r="K230" s="88"/>
      <c r="L230" s="92"/>
      <c r="M230" s="92" t="s">
        <v>166</v>
      </c>
      <c r="O230" s="128">
        <v>20260816</v>
      </c>
      <c r="P230" s="143">
        <v>202608160000016</v>
      </c>
      <c r="Q230" s="129">
        <v>3850</v>
      </c>
      <c r="R230" s="28"/>
      <c r="S230" s="129" t="s">
        <v>167</v>
      </c>
      <c r="T230" s="129" t="s">
        <v>2350</v>
      </c>
      <c r="U230" s="129" t="s">
        <v>2351</v>
      </c>
    </row>
    <row r="231" spans="1:21" ht="16.5" customHeight="1" thickBot="1">
      <c r="A231" s="92" t="s">
        <v>176</v>
      </c>
      <c r="B231" s="93">
        <v>46250</v>
      </c>
      <c r="C231" s="92" t="s">
        <v>214</v>
      </c>
      <c r="D231" s="92" t="s">
        <v>215</v>
      </c>
      <c r="E231" s="92"/>
      <c r="F231" s="92" t="s">
        <v>179</v>
      </c>
      <c r="G231" s="88">
        <v>6850</v>
      </c>
      <c r="H231" s="88">
        <v>6850</v>
      </c>
      <c r="I231" s="88">
        <v>0</v>
      </c>
      <c r="J231" s="88">
        <v>0</v>
      </c>
      <c r="K231" s="88"/>
      <c r="L231" s="92"/>
      <c r="M231" s="92" t="s">
        <v>175</v>
      </c>
      <c r="N231" t="s">
        <v>4251</v>
      </c>
      <c r="O231" s="130">
        <v>20260816</v>
      </c>
      <c r="P231" s="144">
        <v>202608160000017</v>
      </c>
      <c r="Q231" s="131">
        <v>6850</v>
      </c>
      <c r="R231" s="25"/>
      <c r="S231" s="131" t="s">
        <v>167</v>
      </c>
      <c r="T231" s="131" t="s">
        <v>2352</v>
      </c>
      <c r="U231" s="131" t="s">
        <v>2353</v>
      </c>
    </row>
    <row r="232" spans="1:21" ht="16.5" customHeight="1" thickBot="1">
      <c r="A232" s="92" t="s">
        <v>176</v>
      </c>
      <c r="B232" s="93">
        <v>46250</v>
      </c>
      <c r="C232" s="92" t="s">
        <v>214</v>
      </c>
      <c r="D232" s="92" t="s">
        <v>215</v>
      </c>
      <c r="E232" s="92"/>
      <c r="F232" s="92" t="s">
        <v>179</v>
      </c>
      <c r="G232" s="88">
        <v>6850</v>
      </c>
      <c r="H232" s="88">
        <v>6850</v>
      </c>
      <c r="I232" s="88">
        <v>0</v>
      </c>
      <c r="J232" s="88">
        <v>0</v>
      </c>
      <c r="K232" s="88"/>
      <c r="L232" s="92"/>
      <c r="M232" s="92" t="s">
        <v>175</v>
      </c>
      <c r="N232" t="s">
        <v>4252</v>
      </c>
      <c r="O232" s="128">
        <v>20260816</v>
      </c>
      <c r="P232" s="143">
        <v>202608160000018</v>
      </c>
      <c r="Q232" s="129">
        <v>6850</v>
      </c>
      <c r="R232" s="28"/>
      <c r="S232" s="129" t="s">
        <v>167</v>
      </c>
      <c r="T232" s="129" t="s">
        <v>2354</v>
      </c>
      <c r="U232" s="129" t="s">
        <v>2355</v>
      </c>
    </row>
    <row r="233" spans="1:21" ht="16.5" hidden="1" customHeight="1" thickBot="1">
      <c r="A233" s="92" t="s">
        <v>162</v>
      </c>
      <c r="B233" s="93">
        <v>46251</v>
      </c>
      <c r="C233" s="92" t="s">
        <v>435</v>
      </c>
      <c r="D233" s="92" t="s">
        <v>436</v>
      </c>
      <c r="E233" s="92"/>
      <c r="F233" s="92" t="s">
        <v>165</v>
      </c>
      <c r="G233" s="88">
        <v>3850</v>
      </c>
      <c r="H233" s="88">
        <v>3850</v>
      </c>
      <c r="I233" s="88">
        <v>0</v>
      </c>
      <c r="J233" s="88">
        <v>0</v>
      </c>
      <c r="K233" s="88"/>
      <c r="L233" s="92"/>
      <c r="M233" s="92" t="s">
        <v>166</v>
      </c>
      <c r="N233"/>
      <c r="O233" s="130">
        <v>20260817</v>
      </c>
      <c r="P233" s="144">
        <v>202608170000001</v>
      </c>
      <c r="Q233" s="131">
        <v>3850</v>
      </c>
      <c r="R233" s="25"/>
      <c r="S233" s="131" t="s">
        <v>184</v>
      </c>
      <c r="T233" s="131" t="s">
        <v>437</v>
      </c>
      <c r="U233" s="131" t="s">
        <v>2356</v>
      </c>
    </row>
    <row r="234" spans="1:21" ht="16.5" hidden="1" customHeight="1" thickBot="1">
      <c r="A234" s="92" t="s">
        <v>162</v>
      </c>
      <c r="B234" s="93">
        <v>46251</v>
      </c>
      <c r="C234" s="92" t="s">
        <v>3015</v>
      </c>
      <c r="D234" s="92" t="s">
        <v>3016</v>
      </c>
      <c r="E234" s="92"/>
      <c r="F234" s="92" t="s">
        <v>165</v>
      </c>
      <c r="G234" s="88">
        <v>7700</v>
      </c>
      <c r="H234" s="88">
        <v>7700</v>
      </c>
      <c r="I234" s="88">
        <v>0</v>
      </c>
      <c r="J234" s="88">
        <v>0</v>
      </c>
      <c r="K234" s="88"/>
      <c r="L234" s="92"/>
      <c r="M234" s="92" t="s">
        <v>166</v>
      </c>
      <c r="N234"/>
      <c r="O234" s="128">
        <v>20260817</v>
      </c>
      <c r="P234" s="143">
        <v>202608170000002</v>
      </c>
      <c r="Q234" s="129">
        <v>7700</v>
      </c>
      <c r="R234" s="28"/>
      <c r="S234" s="129" t="s">
        <v>184</v>
      </c>
      <c r="T234" s="129" t="s">
        <v>2357</v>
      </c>
      <c r="U234" s="129" t="s">
        <v>2358</v>
      </c>
    </row>
    <row r="235" spans="1:21" ht="16.5" customHeight="1" thickBot="1">
      <c r="A235" s="92" t="s">
        <v>172</v>
      </c>
      <c r="B235" s="93">
        <v>46251</v>
      </c>
      <c r="C235" s="92" t="s">
        <v>3017</v>
      </c>
      <c r="D235" s="92" t="s">
        <v>3018</v>
      </c>
      <c r="E235" s="92"/>
      <c r="F235" s="92" t="s">
        <v>179</v>
      </c>
      <c r="G235" s="88">
        <v>4290</v>
      </c>
      <c r="H235" s="88">
        <v>4000</v>
      </c>
      <c r="I235" s="88">
        <v>290</v>
      </c>
      <c r="J235" s="88">
        <v>0</v>
      </c>
      <c r="K235" s="88"/>
      <c r="L235" s="92"/>
      <c r="M235" s="92" t="s">
        <v>175</v>
      </c>
      <c r="N235" t="s">
        <v>4136</v>
      </c>
      <c r="O235" s="130">
        <v>20260817</v>
      </c>
      <c r="P235" s="144">
        <v>202608170000003</v>
      </c>
      <c r="Q235" s="131">
        <v>4290</v>
      </c>
      <c r="R235" s="25"/>
      <c r="S235" s="131" t="s">
        <v>167</v>
      </c>
      <c r="T235" s="131" t="s">
        <v>2359</v>
      </c>
      <c r="U235" s="131" t="s">
        <v>2360</v>
      </c>
    </row>
    <row r="236" spans="1:21" ht="16.5" customHeight="1" thickBot="1">
      <c r="A236" s="92" t="s">
        <v>180</v>
      </c>
      <c r="B236" s="93">
        <v>46251</v>
      </c>
      <c r="C236" s="92" t="s">
        <v>3019</v>
      </c>
      <c r="D236" s="92" t="s">
        <v>3020</v>
      </c>
      <c r="E236" s="92"/>
      <c r="F236" s="92" t="s">
        <v>179</v>
      </c>
      <c r="G236" s="88">
        <v>3297</v>
      </c>
      <c r="H236" s="88">
        <v>3297</v>
      </c>
      <c r="I236" s="88">
        <v>0</v>
      </c>
      <c r="J236" s="88">
        <v>0</v>
      </c>
      <c r="K236" s="88"/>
      <c r="L236" s="92"/>
      <c r="M236" s="92" t="s">
        <v>175</v>
      </c>
      <c r="N236" t="s">
        <v>4217</v>
      </c>
      <c r="O236" s="128">
        <v>20260817</v>
      </c>
      <c r="P236" s="143">
        <v>202608170000004</v>
      </c>
      <c r="Q236" s="129">
        <v>3297</v>
      </c>
      <c r="R236" s="28"/>
      <c r="S236" s="129" t="s">
        <v>167</v>
      </c>
      <c r="T236" s="129" t="s">
        <v>2361</v>
      </c>
      <c r="U236" s="129" t="s">
        <v>2362</v>
      </c>
    </row>
    <row r="237" spans="1:21" ht="16.5" hidden="1" customHeight="1" thickBot="1">
      <c r="A237" s="92" t="s">
        <v>180</v>
      </c>
      <c r="B237" s="93">
        <v>46251</v>
      </c>
      <c r="C237" s="92" t="s">
        <v>3021</v>
      </c>
      <c r="D237" s="92" t="s">
        <v>3022</v>
      </c>
      <c r="E237" s="92"/>
      <c r="F237" s="92" t="s">
        <v>165</v>
      </c>
      <c r="G237" s="88">
        <v>4757</v>
      </c>
      <c r="H237" s="88">
        <v>3000</v>
      </c>
      <c r="I237" s="88">
        <v>1757</v>
      </c>
      <c r="J237" s="88">
        <v>0</v>
      </c>
      <c r="K237" s="88"/>
      <c r="L237" s="92"/>
      <c r="M237" s="92" t="s">
        <v>175</v>
      </c>
      <c r="N237"/>
      <c r="O237" s="130">
        <v>20260817</v>
      </c>
      <c r="P237" s="144">
        <v>202608170000005</v>
      </c>
      <c r="Q237" s="131">
        <v>4757</v>
      </c>
      <c r="R237" s="25"/>
      <c r="S237" s="131" t="s">
        <v>167</v>
      </c>
      <c r="T237" s="131" t="s">
        <v>2363</v>
      </c>
      <c r="U237" s="131" t="s">
        <v>2364</v>
      </c>
    </row>
    <row r="238" spans="1:21" ht="16.5" customHeight="1" thickBot="1">
      <c r="A238" s="92" t="s">
        <v>180</v>
      </c>
      <c r="B238" s="93">
        <v>46251</v>
      </c>
      <c r="C238" s="92" t="s">
        <v>3023</v>
      </c>
      <c r="D238" s="92" t="s">
        <v>3024</v>
      </c>
      <c r="E238" s="92"/>
      <c r="F238" s="92" t="s">
        <v>179</v>
      </c>
      <c r="G238" s="88">
        <v>3292</v>
      </c>
      <c r="H238" s="88">
        <v>3292</v>
      </c>
      <c r="I238" s="88">
        <v>0</v>
      </c>
      <c r="J238" s="88">
        <v>0</v>
      </c>
      <c r="K238" s="88"/>
      <c r="L238" s="92"/>
      <c r="M238" s="92" t="s">
        <v>175</v>
      </c>
      <c r="N238" t="s">
        <v>4192</v>
      </c>
      <c r="O238" s="128">
        <v>20260817</v>
      </c>
      <c r="P238" s="143">
        <v>202608170000006</v>
      </c>
      <c r="Q238" s="129">
        <v>3292</v>
      </c>
      <c r="R238" s="28"/>
      <c r="S238" s="129" t="s">
        <v>167</v>
      </c>
      <c r="T238" s="129" t="s">
        <v>2365</v>
      </c>
      <c r="U238" s="129" t="s">
        <v>2366</v>
      </c>
    </row>
    <row r="239" spans="1:21" ht="16.5" customHeight="1" thickBot="1">
      <c r="A239" s="92" t="s">
        <v>180</v>
      </c>
      <c r="B239" s="93">
        <v>46251</v>
      </c>
      <c r="C239" s="92" t="s">
        <v>3025</v>
      </c>
      <c r="D239" s="92" t="s">
        <v>3026</v>
      </c>
      <c r="E239" s="92"/>
      <c r="F239" s="92" t="s">
        <v>179</v>
      </c>
      <c r="G239" s="88">
        <v>3297</v>
      </c>
      <c r="H239" s="88">
        <v>3297</v>
      </c>
      <c r="I239" s="88">
        <v>0</v>
      </c>
      <c r="J239" s="88">
        <v>0</v>
      </c>
      <c r="K239" s="88"/>
      <c r="L239" s="92"/>
      <c r="M239" s="92" t="s">
        <v>175</v>
      </c>
      <c r="N239" t="s">
        <v>2064</v>
      </c>
      <c r="O239" s="130">
        <v>20260817</v>
      </c>
      <c r="P239" s="144">
        <v>202608170000007</v>
      </c>
      <c r="Q239" s="131">
        <v>3297</v>
      </c>
      <c r="R239" s="25"/>
      <c r="S239" s="131" t="s">
        <v>167</v>
      </c>
      <c r="T239" s="131" t="s">
        <v>2367</v>
      </c>
      <c r="U239" s="131" t="s">
        <v>2368</v>
      </c>
    </row>
    <row r="240" spans="1:21" ht="16.5" hidden="1" customHeight="1" thickBot="1">
      <c r="A240" s="92" t="s">
        <v>172</v>
      </c>
      <c r="B240" s="93">
        <v>46251</v>
      </c>
      <c r="C240" s="92" t="s">
        <v>3027</v>
      </c>
      <c r="D240" s="92" t="s">
        <v>3028</v>
      </c>
      <c r="E240" s="92"/>
      <c r="F240" s="92" t="s">
        <v>165</v>
      </c>
      <c r="G240" s="88">
        <v>7090</v>
      </c>
      <c r="H240" s="88">
        <v>4000</v>
      </c>
      <c r="I240" s="88">
        <v>3090</v>
      </c>
      <c r="J240" s="88">
        <v>0</v>
      </c>
      <c r="K240" s="88"/>
      <c r="L240" s="92"/>
      <c r="M240" s="92" t="s">
        <v>175</v>
      </c>
      <c r="N240"/>
      <c r="O240" s="128">
        <v>20260817</v>
      </c>
      <c r="P240" s="143">
        <v>202608170000008</v>
      </c>
      <c r="Q240" s="129">
        <v>7090</v>
      </c>
      <c r="R240" s="28"/>
      <c r="S240" s="129" t="s">
        <v>167</v>
      </c>
      <c r="T240" s="129" t="s">
        <v>2369</v>
      </c>
      <c r="U240" s="129" t="s">
        <v>2370</v>
      </c>
    </row>
    <row r="241" spans="1:21" ht="16.5" hidden="1" customHeight="1" thickBot="1">
      <c r="A241" s="92" t="s">
        <v>172</v>
      </c>
      <c r="B241" s="93">
        <v>46251</v>
      </c>
      <c r="C241" s="92" t="s">
        <v>3029</v>
      </c>
      <c r="D241" s="92" t="s">
        <v>3030</v>
      </c>
      <c r="E241" s="92"/>
      <c r="F241" s="92" t="s">
        <v>165</v>
      </c>
      <c r="G241" s="88">
        <v>4690</v>
      </c>
      <c r="H241" s="88">
        <v>3000</v>
      </c>
      <c r="I241" s="88">
        <v>1690</v>
      </c>
      <c r="J241" s="88">
        <v>0</v>
      </c>
      <c r="K241" s="88"/>
      <c r="L241" s="92"/>
      <c r="M241" s="92" t="s">
        <v>175</v>
      </c>
      <c r="N241"/>
      <c r="O241" s="130">
        <v>20260817</v>
      </c>
      <c r="P241" s="144">
        <v>202608170000009</v>
      </c>
      <c r="Q241" s="131">
        <v>4690</v>
      </c>
      <c r="R241" s="25"/>
      <c r="S241" s="131" t="s">
        <v>167</v>
      </c>
      <c r="T241" s="131" t="s">
        <v>2371</v>
      </c>
      <c r="U241" s="131" t="s">
        <v>2372</v>
      </c>
    </row>
    <row r="242" spans="1:21" ht="16.5" hidden="1" customHeight="1" thickBot="1">
      <c r="A242" s="92" t="s">
        <v>172</v>
      </c>
      <c r="B242" s="93">
        <v>46251</v>
      </c>
      <c r="C242" s="92" t="s">
        <v>3031</v>
      </c>
      <c r="D242" s="92" t="s">
        <v>3032</v>
      </c>
      <c r="E242" s="92"/>
      <c r="F242" s="92" t="s">
        <v>165</v>
      </c>
      <c r="G242" s="88">
        <v>5250</v>
      </c>
      <c r="H242" s="88">
        <v>3000</v>
      </c>
      <c r="I242" s="88">
        <v>2250</v>
      </c>
      <c r="J242" s="88">
        <v>0</v>
      </c>
      <c r="K242" s="88"/>
      <c r="L242" s="92"/>
      <c r="M242" s="92" t="s">
        <v>175</v>
      </c>
      <c r="N242"/>
      <c r="O242" s="128">
        <v>20260817</v>
      </c>
      <c r="P242" s="143">
        <v>202608170000010</v>
      </c>
      <c r="Q242" s="129">
        <v>5250</v>
      </c>
      <c r="R242" s="28"/>
      <c r="S242" s="129" t="s">
        <v>167</v>
      </c>
      <c r="T242" s="129" t="s">
        <v>2373</v>
      </c>
      <c r="U242" s="129" t="s">
        <v>2374</v>
      </c>
    </row>
    <row r="243" spans="1:21" ht="16.5" hidden="1" customHeight="1" thickBot="1">
      <c r="A243" s="92" t="s">
        <v>180</v>
      </c>
      <c r="B243" s="93">
        <v>46251</v>
      </c>
      <c r="C243" s="92" t="s">
        <v>3033</v>
      </c>
      <c r="D243" s="92" t="s">
        <v>3034</v>
      </c>
      <c r="E243" s="92"/>
      <c r="F243" s="92" t="s">
        <v>165</v>
      </c>
      <c r="G243" s="88">
        <v>6292</v>
      </c>
      <c r="H243" s="88">
        <v>4000</v>
      </c>
      <c r="I243" s="88">
        <v>2292</v>
      </c>
      <c r="J243" s="88">
        <v>0</v>
      </c>
      <c r="K243" s="88"/>
      <c r="L243" s="92"/>
      <c r="M243" s="92" t="s">
        <v>175</v>
      </c>
      <c r="N243"/>
      <c r="O243" s="130">
        <v>20260817</v>
      </c>
      <c r="P243" s="144">
        <v>202608170000011</v>
      </c>
      <c r="Q243" s="131">
        <v>6292</v>
      </c>
      <c r="R243" s="25"/>
      <c r="S243" s="131" t="s">
        <v>167</v>
      </c>
      <c r="T243" s="131" t="s">
        <v>2375</v>
      </c>
      <c r="U243" s="131" t="s">
        <v>2376</v>
      </c>
    </row>
    <row r="244" spans="1:21" ht="16.5" hidden="1" customHeight="1" thickBot="1">
      <c r="A244" s="92" t="s">
        <v>172</v>
      </c>
      <c r="B244" s="93">
        <v>46251</v>
      </c>
      <c r="C244" s="92" t="s">
        <v>3035</v>
      </c>
      <c r="D244" s="92" t="s">
        <v>3036</v>
      </c>
      <c r="E244" s="92"/>
      <c r="F244" s="92" t="s">
        <v>165</v>
      </c>
      <c r="G244" s="88">
        <v>5215</v>
      </c>
      <c r="H244" s="88">
        <v>3000</v>
      </c>
      <c r="I244" s="88">
        <v>2215</v>
      </c>
      <c r="J244" s="88">
        <v>0</v>
      </c>
      <c r="K244" s="88"/>
      <c r="L244" s="92"/>
      <c r="M244" s="92" t="s">
        <v>175</v>
      </c>
      <c r="N244"/>
      <c r="O244" s="128">
        <v>20260817</v>
      </c>
      <c r="P244" s="143">
        <v>202608170000012</v>
      </c>
      <c r="Q244" s="129">
        <v>5215</v>
      </c>
      <c r="R244" s="28"/>
      <c r="S244" s="129" t="s">
        <v>167</v>
      </c>
      <c r="T244" s="129" t="s">
        <v>2377</v>
      </c>
      <c r="U244" s="129" t="s">
        <v>2378</v>
      </c>
    </row>
    <row r="245" spans="1:21" ht="16.5" customHeight="1" thickBot="1">
      <c r="A245" s="92" t="s">
        <v>180</v>
      </c>
      <c r="B245" s="93">
        <v>46251</v>
      </c>
      <c r="C245" s="92" t="s">
        <v>3037</v>
      </c>
      <c r="D245" s="92" t="s">
        <v>3038</v>
      </c>
      <c r="E245" s="92"/>
      <c r="F245" s="92" t="s">
        <v>179</v>
      </c>
      <c r="G245" s="88">
        <v>3297</v>
      </c>
      <c r="H245" s="88">
        <v>3297</v>
      </c>
      <c r="I245" s="88">
        <v>0</v>
      </c>
      <c r="J245" s="88">
        <v>0</v>
      </c>
      <c r="K245" s="88"/>
      <c r="L245" s="92"/>
      <c r="M245" s="92" t="s">
        <v>175</v>
      </c>
      <c r="N245" t="s">
        <v>4145</v>
      </c>
      <c r="O245" s="130">
        <v>20260817</v>
      </c>
      <c r="P245" s="144">
        <v>202608170000013</v>
      </c>
      <c r="Q245" s="131">
        <v>3297</v>
      </c>
      <c r="R245" s="25"/>
      <c r="S245" s="131" t="s">
        <v>167</v>
      </c>
      <c r="T245" s="131" t="s">
        <v>2379</v>
      </c>
      <c r="U245" s="131" t="s">
        <v>2380</v>
      </c>
    </row>
    <row r="246" spans="1:21" ht="16.5" customHeight="1" thickBot="1">
      <c r="A246" s="92" t="s">
        <v>180</v>
      </c>
      <c r="B246" s="93">
        <v>46251</v>
      </c>
      <c r="C246" s="92" t="s">
        <v>3039</v>
      </c>
      <c r="D246" s="92" t="s">
        <v>3040</v>
      </c>
      <c r="E246" s="92"/>
      <c r="F246" s="92" t="s">
        <v>179</v>
      </c>
      <c r="G246" s="88">
        <v>3297</v>
      </c>
      <c r="H246" s="88">
        <v>3297</v>
      </c>
      <c r="I246" s="88">
        <v>0</v>
      </c>
      <c r="J246" s="88">
        <v>0</v>
      </c>
      <c r="K246" s="88"/>
      <c r="L246" s="92"/>
      <c r="M246" s="92" t="s">
        <v>175</v>
      </c>
      <c r="N246" t="s">
        <v>4147</v>
      </c>
      <c r="O246" s="128">
        <v>20260817</v>
      </c>
      <c r="P246" s="143">
        <v>202608170000014</v>
      </c>
      <c r="Q246" s="129">
        <v>3297</v>
      </c>
      <c r="R246" s="28"/>
      <c r="S246" s="129" t="s">
        <v>167</v>
      </c>
      <c r="T246" s="129" t="s">
        <v>2381</v>
      </c>
      <c r="U246" s="129" t="s">
        <v>2382</v>
      </c>
    </row>
    <row r="247" spans="1:21" ht="16.5" customHeight="1" thickBot="1">
      <c r="A247" s="92" t="s">
        <v>176</v>
      </c>
      <c r="B247" s="93">
        <v>46251</v>
      </c>
      <c r="C247" s="92" t="s">
        <v>3041</v>
      </c>
      <c r="D247" s="92" t="s">
        <v>3042</v>
      </c>
      <c r="E247" s="92"/>
      <c r="F247" s="92" t="s">
        <v>179</v>
      </c>
      <c r="G247" s="88">
        <v>4290</v>
      </c>
      <c r="H247" s="88">
        <v>4000</v>
      </c>
      <c r="I247" s="88">
        <v>290</v>
      </c>
      <c r="J247" s="88">
        <v>0</v>
      </c>
      <c r="K247" s="88"/>
      <c r="L247" s="92"/>
      <c r="M247" s="92" t="s">
        <v>175</v>
      </c>
      <c r="N247" t="s">
        <v>4137</v>
      </c>
      <c r="O247" s="130">
        <v>20260817</v>
      </c>
      <c r="P247" s="144">
        <v>202608170000015</v>
      </c>
      <c r="Q247" s="131">
        <v>4290</v>
      </c>
      <c r="R247" s="25"/>
      <c r="S247" s="131" t="s">
        <v>167</v>
      </c>
      <c r="T247" s="131" t="s">
        <v>2383</v>
      </c>
      <c r="U247" s="131" t="s">
        <v>2384</v>
      </c>
    </row>
    <row r="248" spans="1:21" ht="16.5" hidden="1" customHeight="1" thickBot="1">
      <c r="A248" s="92" t="s">
        <v>176</v>
      </c>
      <c r="B248" s="93">
        <v>46251</v>
      </c>
      <c r="C248" s="92" t="s">
        <v>3043</v>
      </c>
      <c r="D248" s="92" t="s">
        <v>3044</v>
      </c>
      <c r="E248" s="92"/>
      <c r="F248" s="92" t="s">
        <v>165</v>
      </c>
      <c r="G248" s="88">
        <v>5215</v>
      </c>
      <c r="H248" s="88">
        <v>3000</v>
      </c>
      <c r="I248" s="88">
        <v>2215</v>
      </c>
      <c r="J248" s="88">
        <v>0</v>
      </c>
      <c r="K248" s="88"/>
      <c r="L248" s="92"/>
      <c r="M248" s="92" t="s">
        <v>175</v>
      </c>
      <c r="N248"/>
      <c r="O248" s="128">
        <v>20260817</v>
      </c>
      <c r="P248" s="143">
        <v>202608170000016</v>
      </c>
      <c r="Q248" s="129">
        <v>5215</v>
      </c>
      <c r="R248" s="28"/>
      <c r="S248" s="129" t="s">
        <v>167</v>
      </c>
      <c r="T248" s="129" t="s">
        <v>2385</v>
      </c>
      <c r="U248" s="129" t="s">
        <v>2386</v>
      </c>
    </row>
    <row r="249" spans="1:21" ht="16.5" hidden="1" customHeight="1" thickBot="1">
      <c r="A249" s="92" t="s">
        <v>172</v>
      </c>
      <c r="B249" s="93">
        <v>46251</v>
      </c>
      <c r="C249" s="92" t="s">
        <v>3045</v>
      </c>
      <c r="D249" s="92" t="s">
        <v>3046</v>
      </c>
      <c r="E249" s="92"/>
      <c r="F249" s="92" t="s">
        <v>165</v>
      </c>
      <c r="G249" s="88">
        <v>5215</v>
      </c>
      <c r="H249" s="88">
        <v>3000</v>
      </c>
      <c r="I249" s="88">
        <v>2215</v>
      </c>
      <c r="J249" s="88">
        <v>0</v>
      </c>
      <c r="K249" s="88"/>
      <c r="L249" s="92"/>
      <c r="M249" s="92" t="s">
        <v>175</v>
      </c>
      <c r="N249"/>
      <c r="O249" s="130">
        <v>20260817</v>
      </c>
      <c r="P249" s="144">
        <v>202608170000017</v>
      </c>
      <c r="Q249" s="131">
        <v>5215</v>
      </c>
      <c r="R249" s="25"/>
      <c r="S249" s="131" t="s">
        <v>167</v>
      </c>
      <c r="T249" s="131" t="s">
        <v>2387</v>
      </c>
      <c r="U249" s="131" t="s">
        <v>2388</v>
      </c>
    </row>
    <row r="250" spans="1:21" ht="16.5" hidden="1" customHeight="1" thickBot="1">
      <c r="A250" s="92" t="s">
        <v>180</v>
      </c>
      <c r="B250" s="93">
        <v>46251</v>
      </c>
      <c r="C250" s="92" t="s">
        <v>3047</v>
      </c>
      <c r="D250" s="92" t="s">
        <v>3048</v>
      </c>
      <c r="E250" s="92"/>
      <c r="F250" s="92" t="s">
        <v>165</v>
      </c>
      <c r="G250" s="88">
        <v>5797</v>
      </c>
      <c r="H250" s="88">
        <v>4000</v>
      </c>
      <c r="I250" s="88">
        <v>1797</v>
      </c>
      <c r="J250" s="88">
        <v>0</v>
      </c>
      <c r="K250" s="88"/>
      <c r="L250" s="92"/>
      <c r="M250" s="92" t="s">
        <v>175</v>
      </c>
      <c r="N250"/>
      <c r="O250" s="128">
        <v>20260817</v>
      </c>
      <c r="P250" s="143">
        <v>202608170000018</v>
      </c>
      <c r="Q250" s="129">
        <v>5797</v>
      </c>
      <c r="R250" s="28"/>
      <c r="S250" s="129" t="s">
        <v>167</v>
      </c>
      <c r="T250" s="129" t="s">
        <v>2389</v>
      </c>
      <c r="U250" s="129" t="s">
        <v>2390</v>
      </c>
    </row>
    <row r="251" spans="1:21" ht="16.5" customHeight="1" thickBot="1">
      <c r="A251" s="92" t="s">
        <v>180</v>
      </c>
      <c r="B251" s="93">
        <v>46251</v>
      </c>
      <c r="C251" s="92" t="s">
        <v>2938</v>
      </c>
      <c r="D251" s="92" t="s">
        <v>2939</v>
      </c>
      <c r="E251" s="92"/>
      <c r="F251" s="92" t="s">
        <v>179</v>
      </c>
      <c r="G251" s="88">
        <v>3297</v>
      </c>
      <c r="H251" s="88">
        <v>3297</v>
      </c>
      <c r="I251" s="88">
        <v>0</v>
      </c>
      <c r="J251" s="88">
        <v>0</v>
      </c>
      <c r="K251" s="88"/>
      <c r="L251" s="92"/>
      <c r="M251" s="92" t="s">
        <v>175</v>
      </c>
      <c r="N251" t="s">
        <v>394</v>
      </c>
      <c r="O251" s="130">
        <v>20260817</v>
      </c>
      <c r="P251" s="144">
        <v>202608170000019</v>
      </c>
      <c r="Q251" s="131">
        <v>3297</v>
      </c>
      <c r="R251" s="25"/>
      <c r="S251" s="131" t="s">
        <v>167</v>
      </c>
      <c r="T251" s="131" t="s">
        <v>2391</v>
      </c>
      <c r="U251" s="131" t="s">
        <v>2392</v>
      </c>
    </row>
    <row r="252" spans="1:21" ht="16.5" hidden="1" customHeight="1" thickBot="1">
      <c r="A252" s="92" t="s">
        <v>172</v>
      </c>
      <c r="B252" s="93">
        <v>46251</v>
      </c>
      <c r="C252" s="92" t="s">
        <v>3049</v>
      </c>
      <c r="D252" s="92" t="s">
        <v>3050</v>
      </c>
      <c r="E252" s="92"/>
      <c r="F252" s="92" t="s">
        <v>165</v>
      </c>
      <c r="G252" s="88">
        <v>5215</v>
      </c>
      <c r="H252" s="88">
        <v>3000</v>
      </c>
      <c r="I252" s="88">
        <v>2215</v>
      </c>
      <c r="J252" s="88">
        <v>0</v>
      </c>
      <c r="K252" s="88"/>
      <c r="L252" s="92"/>
      <c r="M252" s="92" t="s">
        <v>175</v>
      </c>
      <c r="N252"/>
      <c r="O252" s="128">
        <v>20260817</v>
      </c>
      <c r="P252" s="143">
        <v>202608170000020</v>
      </c>
      <c r="Q252" s="129">
        <v>5215</v>
      </c>
      <c r="R252" s="28"/>
      <c r="S252" s="129" t="s">
        <v>167</v>
      </c>
      <c r="T252" s="129" t="s">
        <v>2393</v>
      </c>
      <c r="U252" s="129" t="s">
        <v>2394</v>
      </c>
    </row>
    <row r="253" spans="1:21" ht="16.5" customHeight="1" thickBot="1">
      <c r="A253" s="92" t="s">
        <v>172</v>
      </c>
      <c r="B253" s="93">
        <v>46251</v>
      </c>
      <c r="C253" s="92" t="s">
        <v>1099</v>
      </c>
      <c r="D253" s="92" t="s">
        <v>1100</v>
      </c>
      <c r="E253" s="92"/>
      <c r="F253" s="92" t="s">
        <v>179</v>
      </c>
      <c r="G253" s="88">
        <v>1290</v>
      </c>
      <c r="H253" s="88">
        <v>1000</v>
      </c>
      <c r="I253" s="88">
        <v>290</v>
      </c>
      <c r="J253" s="88">
        <v>0</v>
      </c>
      <c r="K253" s="88"/>
      <c r="L253" s="92"/>
      <c r="M253" s="92" t="s">
        <v>175</v>
      </c>
      <c r="N253" t="s">
        <v>4185</v>
      </c>
      <c r="O253" s="130">
        <v>20260817</v>
      </c>
      <c r="P253" s="144">
        <v>202608170000021</v>
      </c>
      <c r="Q253" s="131">
        <v>1290</v>
      </c>
      <c r="R253" s="25"/>
      <c r="S253" s="131" t="s">
        <v>167</v>
      </c>
      <c r="T253" s="131" t="s">
        <v>2395</v>
      </c>
      <c r="U253" s="131" t="s">
        <v>2396</v>
      </c>
    </row>
    <row r="254" spans="1:21" ht="21.75" hidden="1" customHeight="1" thickBot="1">
      <c r="A254" s="92" t="s">
        <v>180</v>
      </c>
      <c r="B254" s="93">
        <v>46251</v>
      </c>
      <c r="C254" s="92" t="s">
        <v>3051</v>
      </c>
      <c r="D254" s="92" t="s">
        <v>3052</v>
      </c>
      <c r="E254" s="92"/>
      <c r="F254" s="92" t="s">
        <v>165</v>
      </c>
      <c r="G254" s="88">
        <v>5797</v>
      </c>
      <c r="H254" s="88">
        <v>4000</v>
      </c>
      <c r="I254" s="88">
        <v>1797</v>
      </c>
      <c r="J254" s="88">
        <v>0</v>
      </c>
      <c r="K254" s="88"/>
      <c r="L254" s="92"/>
      <c r="M254" s="92" t="s">
        <v>175</v>
      </c>
      <c r="O254" s="128">
        <v>20260817</v>
      </c>
      <c r="P254" s="143">
        <v>202608170000022</v>
      </c>
      <c r="Q254" s="129">
        <v>5797</v>
      </c>
      <c r="R254" s="28"/>
      <c r="S254" s="129" t="s">
        <v>167</v>
      </c>
      <c r="T254" s="129" t="s">
        <v>2397</v>
      </c>
      <c r="U254" s="129" t="s">
        <v>2398</v>
      </c>
    </row>
    <row r="255" spans="1:21" ht="16.5" customHeight="1" thickBot="1">
      <c r="A255" s="92" t="s">
        <v>180</v>
      </c>
      <c r="B255" s="93">
        <v>46251</v>
      </c>
      <c r="C255" s="92" t="s">
        <v>3053</v>
      </c>
      <c r="D255" s="92" t="s">
        <v>3054</v>
      </c>
      <c r="E255" s="92"/>
      <c r="F255" s="92" t="s">
        <v>179</v>
      </c>
      <c r="G255" s="88">
        <v>3297</v>
      </c>
      <c r="H255" s="88">
        <v>3297</v>
      </c>
      <c r="I255" s="88">
        <v>0</v>
      </c>
      <c r="J255" s="88">
        <v>0</v>
      </c>
      <c r="K255" s="88"/>
      <c r="L255" s="92"/>
      <c r="M255" s="92" t="s">
        <v>175</v>
      </c>
      <c r="N255" t="s">
        <v>4091</v>
      </c>
      <c r="O255" s="130">
        <v>20260817</v>
      </c>
      <c r="P255" s="144">
        <v>202608170000023</v>
      </c>
      <c r="Q255" s="131">
        <v>3297</v>
      </c>
      <c r="R255" s="25"/>
      <c r="S255" s="131" t="s">
        <v>167</v>
      </c>
      <c r="T255" s="131" t="s">
        <v>2399</v>
      </c>
      <c r="U255" s="131" t="s">
        <v>2400</v>
      </c>
    </row>
    <row r="256" spans="1:21" ht="16.5" customHeight="1" thickBot="1">
      <c r="A256" s="92" t="s">
        <v>172</v>
      </c>
      <c r="B256" s="93">
        <v>46251</v>
      </c>
      <c r="C256" s="92" t="s">
        <v>3055</v>
      </c>
      <c r="D256" s="92" t="s">
        <v>3056</v>
      </c>
      <c r="E256" s="92"/>
      <c r="F256" s="92" t="s">
        <v>179</v>
      </c>
      <c r="G256" s="88">
        <v>4290</v>
      </c>
      <c r="H256" s="88">
        <v>4000</v>
      </c>
      <c r="I256" s="88">
        <v>290</v>
      </c>
      <c r="J256" s="88">
        <v>0</v>
      </c>
      <c r="K256" s="88"/>
      <c r="L256" s="92"/>
      <c r="M256" s="92" t="s">
        <v>175</v>
      </c>
      <c r="N256" t="s">
        <v>1125</v>
      </c>
      <c r="O256" s="128">
        <v>20260817</v>
      </c>
      <c r="P256" s="143">
        <v>202608170000024</v>
      </c>
      <c r="Q256" s="129">
        <v>4290</v>
      </c>
      <c r="R256" s="28"/>
      <c r="S256" s="129" t="s">
        <v>167</v>
      </c>
      <c r="T256" s="129" t="s">
        <v>2401</v>
      </c>
      <c r="U256" s="129" t="s">
        <v>2402</v>
      </c>
    </row>
    <row r="257" spans="1:21" ht="16.5" hidden="1" customHeight="1" thickBot="1">
      <c r="A257" s="92" t="s">
        <v>176</v>
      </c>
      <c r="B257" s="93">
        <v>46251</v>
      </c>
      <c r="C257" s="92" t="s">
        <v>3057</v>
      </c>
      <c r="D257" s="92" t="s">
        <v>3058</v>
      </c>
      <c r="E257" s="92"/>
      <c r="F257" s="92" t="s">
        <v>165</v>
      </c>
      <c r="G257" s="88">
        <v>5215</v>
      </c>
      <c r="H257" s="88">
        <v>3000</v>
      </c>
      <c r="I257" s="88">
        <v>2215</v>
      </c>
      <c r="J257" s="88">
        <v>0</v>
      </c>
      <c r="K257" s="88"/>
      <c r="L257" s="92"/>
      <c r="M257" s="92" t="s">
        <v>175</v>
      </c>
      <c r="N257"/>
      <c r="O257" s="130">
        <v>20260817</v>
      </c>
      <c r="P257" s="144">
        <v>202608170000025</v>
      </c>
      <c r="Q257" s="131">
        <v>5215</v>
      </c>
      <c r="R257" s="25"/>
      <c r="S257" s="131" t="s">
        <v>167</v>
      </c>
      <c r="T257" s="131" t="s">
        <v>2403</v>
      </c>
      <c r="U257" s="131" t="s">
        <v>2404</v>
      </c>
    </row>
    <row r="258" spans="1:21" ht="16.5" hidden="1" customHeight="1" thickBot="1">
      <c r="A258" s="92" t="s">
        <v>172</v>
      </c>
      <c r="B258" s="93">
        <v>46251</v>
      </c>
      <c r="C258" s="92" t="s">
        <v>3059</v>
      </c>
      <c r="D258" s="92" t="s">
        <v>3060</v>
      </c>
      <c r="E258" s="92"/>
      <c r="F258" s="92" t="s">
        <v>165</v>
      </c>
      <c r="G258" s="88">
        <v>5215</v>
      </c>
      <c r="H258" s="88">
        <v>3000</v>
      </c>
      <c r="I258" s="88">
        <v>2215</v>
      </c>
      <c r="J258" s="88">
        <v>0</v>
      </c>
      <c r="K258" s="88"/>
      <c r="L258" s="92"/>
      <c r="M258" s="92" t="s">
        <v>175</v>
      </c>
      <c r="N258"/>
      <c r="O258" s="128">
        <v>20260817</v>
      </c>
      <c r="P258" s="143">
        <v>202608170000026</v>
      </c>
      <c r="Q258" s="129">
        <v>5215</v>
      </c>
      <c r="R258" s="28"/>
      <c r="S258" s="129" t="s">
        <v>167</v>
      </c>
      <c r="T258" s="129" t="s">
        <v>2405</v>
      </c>
      <c r="U258" s="129" t="s">
        <v>2406</v>
      </c>
    </row>
    <row r="259" spans="1:21" ht="16.5" hidden="1" customHeight="1" thickBot="1">
      <c r="A259" s="92" t="s">
        <v>172</v>
      </c>
      <c r="B259" s="93">
        <v>46251</v>
      </c>
      <c r="C259" s="92" t="s">
        <v>3061</v>
      </c>
      <c r="D259" s="92" t="s">
        <v>2895</v>
      </c>
      <c r="E259" s="92"/>
      <c r="F259" s="92" t="s">
        <v>165</v>
      </c>
      <c r="G259" s="88">
        <v>5797</v>
      </c>
      <c r="H259" s="88">
        <v>4000</v>
      </c>
      <c r="I259" s="88">
        <v>1797</v>
      </c>
      <c r="J259" s="88">
        <v>0</v>
      </c>
      <c r="K259" s="88"/>
      <c r="L259" s="92"/>
      <c r="M259" s="92" t="s">
        <v>175</v>
      </c>
      <c r="N259"/>
      <c r="O259" s="130">
        <v>20260817</v>
      </c>
      <c r="P259" s="144">
        <v>202608170000027</v>
      </c>
      <c r="Q259" s="131">
        <v>5797</v>
      </c>
      <c r="R259" s="25"/>
      <c r="S259" s="131" t="s">
        <v>167</v>
      </c>
      <c r="T259" s="131" t="s">
        <v>2407</v>
      </c>
      <c r="U259" s="131" t="s">
        <v>2408</v>
      </c>
    </row>
    <row r="260" spans="1:21" ht="16.5" customHeight="1" thickBot="1">
      <c r="A260" s="92" t="s">
        <v>172</v>
      </c>
      <c r="B260" s="93">
        <v>46251</v>
      </c>
      <c r="C260" s="92" t="s">
        <v>3062</v>
      </c>
      <c r="D260" s="92" t="s">
        <v>3063</v>
      </c>
      <c r="E260" s="92"/>
      <c r="F260" s="92" t="s">
        <v>179</v>
      </c>
      <c r="G260" s="88">
        <v>3297</v>
      </c>
      <c r="H260" s="88">
        <v>3297</v>
      </c>
      <c r="I260" s="88">
        <v>0</v>
      </c>
      <c r="J260" s="88">
        <v>0</v>
      </c>
      <c r="K260" s="88"/>
      <c r="L260" s="92"/>
      <c r="M260" s="92" t="s">
        <v>175</v>
      </c>
      <c r="N260" t="s">
        <v>4195</v>
      </c>
      <c r="O260" s="128">
        <v>20260817</v>
      </c>
      <c r="P260" s="143">
        <v>202608170000028</v>
      </c>
      <c r="Q260" s="129">
        <v>3297</v>
      </c>
      <c r="R260" s="28"/>
      <c r="S260" s="129" t="s">
        <v>167</v>
      </c>
      <c r="T260" s="129" t="s">
        <v>2409</v>
      </c>
      <c r="U260" s="129" t="s">
        <v>2410</v>
      </c>
    </row>
    <row r="261" spans="1:21" ht="16.5" customHeight="1" thickBot="1">
      <c r="A261" s="92" t="s">
        <v>172</v>
      </c>
      <c r="B261" s="93">
        <v>46251</v>
      </c>
      <c r="C261" s="92" t="s">
        <v>3064</v>
      </c>
      <c r="D261" s="92" t="s">
        <v>3065</v>
      </c>
      <c r="E261" s="92"/>
      <c r="F261" s="92" t="s">
        <v>179</v>
      </c>
      <c r="G261" s="88">
        <v>3297</v>
      </c>
      <c r="H261" s="88">
        <v>3297</v>
      </c>
      <c r="I261" s="88">
        <v>0</v>
      </c>
      <c r="J261" s="88">
        <v>0</v>
      </c>
      <c r="K261" s="88"/>
      <c r="L261" s="92"/>
      <c r="M261" s="92" t="s">
        <v>175</v>
      </c>
      <c r="N261" t="s">
        <v>4196</v>
      </c>
      <c r="O261" s="130">
        <v>20260817</v>
      </c>
      <c r="P261" s="144">
        <v>202608170000029</v>
      </c>
      <c r="Q261" s="131">
        <v>3297</v>
      </c>
      <c r="R261" s="25"/>
      <c r="S261" s="131" t="s">
        <v>167</v>
      </c>
      <c r="T261" s="131" t="s">
        <v>2411</v>
      </c>
      <c r="U261" s="131" t="s">
        <v>2412</v>
      </c>
    </row>
    <row r="262" spans="1:21" ht="16.5" hidden="1" customHeight="1" thickBot="1">
      <c r="A262" s="92" t="s">
        <v>172</v>
      </c>
      <c r="B262" s="93">
        <v>46251</v>
      </c>
      <c r="C262" s="92" t="s">
        <v>3066</v>
      </c>
      <c r="D262" s="92" t="s">
        <v>3067</v>
      </c>
      <c r="E262" s="92"/>
      <c r="F262" s="92" t="s">
        <v>165</v>
      </c>
      <c r="G262" s="88">
        <v>6292</v>
      </c>
      <c r="H262" s="88">
        <v>4000</v>
      </c>
      <c r="I262" s="88">
        <v>2292</v>
      </c>
      <c r="J262" s="88">
        <v>0</v>
      </c>
      <c r="K262" s="88"/>
      <c r="L262" s="92"/>
      <c r="M262" s="92" t="s">
        <v>175</v>
      </c>
      <c r="N262"/>
      <c r="O262" s="128">
        <v>20260817</v>
      </c>
      <c r="P262" s="143">
        <v>202608170000030</v>
      </c>
      <c r="Q262" s="129">
        <v>6292</v>
      </c>
      <c r="R262" s="28"/>
      <c r="S262" s="129" t="s">
        <v>167</v>
      </c>
      <c r="T262" s="129" t="s">
        <v>2413</v>
      </c>
      <c r="U262" s="129" t="s">
        <v>2414</v>
      </c>
    </row>
    <row r="263" spans="1:21" ht="16.5" hidden="1" customHeight="1" thickBot="1">
      <c r="A263" s="92" t="s">
        <v>180</v>
      </c>
      <c r="B263" s="93">
        <v>46251</v>
      </c>
      <c r="C263" s="92" t="s">
        <v>3068</v>
      </c>
      <c r="D263" s="92" t="s">
        <v>3069</v>
      </c>
      <c r="E263" s="92"/>
      <c r="F263" s="92" t="s">
        <v>165</v>
      </c>
      <c r="G263" s="88">
        <v>5797</v>
      </c>
      <c r="H263" s="88">
        <v>4000</v>
      </c>
      <c r="I263" s="88">
        <v>1797</v>
      </c>
      <c r="J263" s="88">
        <v>0</v>
      </c>
      <c r="K263" s="88"/>
      <c r="L263" s="92"/>
      <c r="M263" s="92" t="s">
        <v>175</v>
      </c>
      <c r="N263"/>
      <c r="O263" s="130">
        <v>20260817</v>
      </c>
      <c r="P263" s="144">
        <v>202608170000031</v>
      </c>
      <c r="Q263" s="131">
        <v>5797</v>
      </c>
      <c r="R263" s="25"/>
      <c r="S263" s="131" t="s">
        <v>167</v>
      </c>
      <c r="T263" s="131" t="s">
        <v>2415</v>
      </c>
      <c r="U263" s="131" t="s">
        <v>2416</v>
      </c>
    </row>
    <row r="264" spans="1:21" ht="16.5" hidden="1" customHeight="1" thickBot="1">
      <c r="A264" s="92" t="s">
        <v>180</v>
      </c>
      <c r="B264" s="93">
        <v>46251</v>
      </c>
      <c r="C264" s="92" t="s">
        <v>3070</v>
      </c>
      <c r="D264" s="92" t="s">
        <v>3071</v>
      </c>
      <c r="E264" s="92"/>
      <c r="F264" s="92" t="s">
        <v>165</v>
      </c>
      <c r="G264" s="88">
        <v>4757</v>
      </c>
      <c r="H264" s="88">
        <v>3000</v>
      </c>
      <c r="I264" s="88">
        <v>1757</v>
      </c>
      <c r="J264" s="88">
        <v>0</v>
      </c>
      <c r="K264" s="88"/>
      <c r="L264" s="92"/>
      <c r="M264" s="92" t="s">
        <v>175</v>
      </c>
      <c r="N264"/>
      <c r="O264" s="128">
        <v>20260817</v>
      </c>
      <c r="P264" s="143">
        <v>202608170000032</v>
      </c>
      <c r="Q264" s="129">
        <v>4757</v>
      </c>
      <c r="R264" s="28"/>
      <c r="S264" s="129" t="s">
        <v>167</v>
      </c>
      <c r="T264" s="129" t="s">
        <v>2417</v>
      </c>
      <c r="U264" s="129" t="s">
        <v>2418</v>
      </c>
    </row>
    <row r="265" spans="1:21" ht="16.5" hidden="1" customHeight="1" thickBot="1">
      <c r="A265" s="92" t="s">
        <v>176</v>
      </c>
      <c r="B265" s="93">
        <v>46251</v>
      </c>
      <c r="C265" s="92" t="s">
        <v>3072</v>
      </c>
      <c r="D265" s="92" t="s">
        <v>3073</v>
      </c>
      <c r="E265" s="92"/>
      <c r="F265" s="92" t="s">
        <v>165</v>
      </c>
      <c r="G265" s="88">
        <v>4690</v>
      </c>
      <c r="H265" s="88">
        <v>3000</v>
      </c>
      <c r="I265" s="88">
        <v>1690</v>
      </c>
      <c r="J265" s="88">
        <v>0</v>
      </c>
      <c r="K265" s="88"/>
      <c r="L265" s="92"/>
      <c r="M265" s="92" t="s">
        <v>175</v>
      </c>
      <c r="N265"/>
      <c r="O265" s="130">
        <v>20260817</v>
      </c>
      <c r="P265" s="144">
        <v>202608170000033</v>
      </c>
      <c r="Q265" s="131">
        <v>4690</v>
      </c>
      <c r="R265" s="25"/>
      <c r="S265" s="131" t="s">
        <v>167</v>
      </c>
      <c r="T265" s="131" t="s">
        <v>2419</v>
      </c>
      <c r="U265" s="131" t="s">
        <v>2420</v>
      </c>
    </row>
    <row r="266" spans="1:21" ht="16.5" customHeight="1" thickBot="1">
      <c r="A266" s="92" t="s">
        <v>172</v>
      </c>
      <c r="B266" s="93">
        <v>46251</v>
      </c>
      <c r="C266" s="92" t="s">
        <v>3074</v>
      </c>
      <c r="D266" s="92" t="s">
        <v>3075</v>
      </c>
      <c r="E266" s="92"/>
      <c r="F266" s="92" t="s">
        <v>179</v>
      </c>
      <c r="G266" s="88">
        <v>3297</v>
      </c>
      <c r="H266" s="88">
        <v>3297</v>
      </c>
      <c r="I266" s="88">
        <v>0</v>
      </c>
      <c r="J266" s="88">
        <v>0</v>
      </c>
      <c r="K266" s="88"/>
      <c r="L266" s="92"/>
      <c r="M266" s="92" t="s">
        <v>175</v>
      </c>
      <c r="N266" t="s">
        <v>4198</v>
      </c>
      <c r="O266" s="128">
        <v>20260817</v>
      </c>
      <c r="P266" s="143">
        <v>202608170000034</v>
      </c>
      <c r="Q266" s="129">
        <v>3297</v>
      </c>
      <c r="R266" s="28"/>
      <c r="S266" s="129" t="s">
        <v>167</v>
      </c>
      <c r="T266" s="129" t="s">
        <v>2421</v>
      </c>
      <c r="U266" s="129" t="s">
        <v>2422</v>
      </c>
    </row>
    <row r="267" spans="1:21" ht="16.5" customHeight="1" thickBot="1">
      <c r="A267" s="92" t="s">
        <v>180</v>
      </c>
      <c r="B267" s="93">
        <v>46251</v>
      </c>
      <c r="C267" s="92" t="s">
        <v>3076</v>
      </c>
      <c r="D267" s="92" t="s">
        <v>3077</v>
      </c>
      <c r="E267" s="92"/>
      <c r="F267" s="92" t="s">
        <v>179</v>
      </c>
      <c r="G267" s="88">
        <v>3297</v>
      </c>
      <c r="H267" s="88">
        <v>3297</v>
      </c>
      <c r="I267" s="88">
        <v>0</v>
      </c>
      <c r="J267" s="88">
        <v>0</v>
      </c>
      <c r="K267" s="88"/>
      <c r="L267" s="92"/>
      <c r="M267" s="92" t="s">
        <v>175</v>
      </c>
      <c r="N267" t="s">
        <v>4148</v>
      </c>
      <c r="O267" s="130">
        <v>20260817</v>
      </c>
      <c r="P267" s="144">
        <v>202608170000035</v>
      </c>
      <c r="Q267" s="131">
        <v>3297</v>
      </c>
      <c r="R267" s="25"/>
      <c r="S267" s="131" t="s">
        <v>167</v>
      </c>
      <c r="T267" s="131" t="s">
        <v>2423</v>
      </c>
      <c r="U267" s="131" t="s">
        <v>2424</v>
      </c>
    </row>
    <row r="268" spans="1:21" ht="16.5" hidden="1" customHeight="1" thickBot="1">
      <c r="A268" s="92" t="s">
        <v>162</v>
      </c>
      <c r="B268" s="93">
        <v>46251</v>
      </c>
      <c r="C268" s="92" t="s">
        <v>922</v>
      </c>
      <c r="D268" s="92" t="s">
        <v>923</v>
      </c>
      <c r="E268" s="92"/>
      <c r="F268" s="92" t="s">
        <v>165</v>
      </c>
      <c r="G268" s="88">
        <v>3850</v>
      </c>
      <c r="H268" s="88"/>
      <c r="I268" s="88">
        <v>3850</v>
      </c>
      <c r="J268" s="88">
        <v>0</v>
      </c>
      <c r="K268" s="88"/>
      <c r="L268" s="92"/>
      <c r="M268" s="92" t="s">
        <v>166</v>
      </c>
      <c r="N268"/>
      <c r="O268" s="128">
        <v>20260817</v>
      </c>
      <c r="P268" s="143">
        <v>202608170000036</v>
      </c>
      <c r="Q268" s="129">
        <v>4770</v>
      </c>
      <c r="R268" s="28"/>
      <c r="S268" s="129" t="s">
        <v>167</v>
      </c>
      <c r="T268" s="129" t="s">
        <v>393</v>
      </c>
      <c r="U268" s="129" t="s">
        <v>2425</v>
      </c>
    </row>
    <row r="269" spans="1:21" ht="16.5" hidden="1" customHeight="1" thickBot="1">
      <c r="A269" s="92" t="s">
        <v>162</v>
      </c>
      <c r="B269" s="93">
        <v>46251</v>
      </c>
      <c r="C269" s="92" t="s">
        <v>922</v>
      </c>
      <c r="D269" s="92" t="s">
        <v>923</v>
      </c>
      <c r="E269" s="92"/>
      <c r="F269" s="92" t="s">
        <v>165</v>
      </c>
      <c r="G269" s="88">
        <v>920</v>
      </c>
      <c r="H269" s="88"/>
      <c r="I269" s="88">
        <v>920</v>
      </c>
      <c r="J269" s="88">
        <v>0</v>
      </c>
      <c r="K269" s="88"/>
      <c r="L269" s="92"/>
      <c r="M269" s="92" t="s">
        <v>166</v>
      </c>
      <c r="N269"/>
      <c r="O269" s="113"/>
      <c r="P269" s="137"/>
      <c r="Q269" s="28"/>
      <c r="R269" s="28"/>
      <c r="S269" s="28"/>
      <c r="T269" s="28"/>
      <c r="U269" s="28"/>
    </row>
    <row r="270" spans="1:21" ht="16.5" customHeight="1" thickBot="1">
      <c r="A270" s="92" t="s">
        <v>176</v>
      </c>
      <c r="B270" s="93">
        <v>46251</v>
      </c>
      <c r="C270" s="92" t="s">
        <v>214</v>
      </c>
      <c r="D270" s="92" t="s">
        <v>215</v>
      </c>
      <c r="E270" s="92"/>
      <c r="F270" s="92" t="s">
        <v>179</v>
      </c>
      <c r="G270" s="88">
        <v>6850</v>
      </c>
      <c r="H270" s="88">
        <v>6850</v>
      </c>
      <c r="I270" s="88">
        <v>0</v>
      </c>
      <c r="J270" s="88">
        <v>0</v>
      </c>
      <c r="K270" s="88"/>
      <c r="L270" s="92"/>
      <c r="M270" s="92" t="s">
        <v>175</v>
      </c>
      <c r="N270" t="s">
        <v>4253</v>
      </c>
      <c r="O270" s="130">
        <v>20260817</v>
      </c>
      <c r="P270" s="144">
        <v>202608170000037</v>
      </c>
      <c r="Q270" s="131">
        <v>6850</v>
      </c>
      <c r="R270" s="25"/>
      <c r="S270" s="131" t="s">
        <v>167</v>
      </c>
      <c r="T270" s="131" t="s">
        <v>2426</v>
      </c>
      <c r="U270" s="131" t="s">
        <v>2427</v>
      </c>
    </row>
    <row r="271" spans="1:21" ht="16.5" hidden="1" customHeight="1" thickBot="1">
      <c r="A271" s="92" t="s">
        <v>162</v>
      </c>
      <c r="B271" s="93">
        <v>46251</v>
      </c>
      <c r="C271" s="92" t="s">
        <v>570</v>
      </c>
      <c r="D271" s="92" t="s">
        <v>571</v>
      </c>
      <c r="E271" s="92"/>
      <c r="F271" s="92" t="s">
        <v>165</v>
      </c>
      <c r="G271" s="88">
        <v>3850</v>
      </c>
      <c r="H271" s="88">
        <v>3850</v>
      </c>
      <c r="I271" s="88">
        <v>0</v>
      </c>
      <c r="J271" s="88">
        <v>0</v>
      </c>
      <c r="K271" s="88"/>
      <c r="L271" s="92"/>
      <c r="M271" s="92" t="s">
        <v>166</v>
      </c>
      <c r="N271"/>
      <c r="O271" s="26">
        <v>20260817</v>
      </c>
      <c r="P271" s="32">
        <v>202608170000038</v>
      </c>
      <c r="Q271" s="27">
        <v>3850</v>
      </c>
      <c r="R271" s="28"/>
      <c r="S271" s="27" t="s">
        <v>167</v>
      </c>
      <c r="T271" s="27" t="s">
        <v>2428</v>
      </c>
      <c r="U271" s="27" t="s">
        <v>2429</v>
      </c>
    </row>
    <row r="272" spans="1:21" ht="16.5" customHeight="1" thickBot="1">
      <c r="A272" s="92" t="s">
        <v>176</v>
      </c>
      <c r="B272" s="93">
        <v>46251</v>
      </c>
      <c r="C272" s="92" t="s">
        <v>214</v>
      </c>
      <c r="D272" s="92" t="s">
        <v>215</v>
      </c>
      <c r="E272" s="92"/>
      <c r="F272" s="92" t="s">
        <v>179</v>
      </c>
      <c r="G272" s="88">
        <v>6850</v>
      </c>
      <c r="H272" s="88">
        <v>6850</v>
      </c>
      <c r="I272" s="88">
        <v>0</v>
      </c>
      <c r="J272" s="88">
        <v>0</v>
      </c>
      <c r="K272" s="88"/>
      <c r="L272" s="92"/>
      <c r="M272" s="92" t="s">
        <v>175</v>
      </c>
      <c r="N272" t="s">
        <v>4254</v>
      </c>
      <c r="O272" s="23">
        <v>20260817</v>
      </c>
      <c r="P272" s="31">
        <v>202608170000039</v>
      </c>
      <c r="Q272" s="24">
        <v>6850</v>
      </c>
      <c r="R272" s="25"/>
      <c r="S272" s="24" t="s">
        <v>184</v>
      </c>
      <c r="T272" s="24" t="s">
        <v>2430</v>
      </c>
      <c r="U272" s="24" t="s">
        <v>2431</v>
      </c>
    </row>
    <row r="273" spans="1:21" ht="16.5" hidden="1" customHeight="1" thickBot="1">
      <c r="A273" s="92" t="s">
        <v>172</v>
      </c>
      <c r="B273" s="93">
        <v>46251</v>
      </c>
      <c r="C273" s="92" t="s">
        <v>3078</v>
      </c>
      <c r="D273" s="92" t="s">
        <v>3079</v>
      </c>
      <c r="E273" s="92"/>
      <c r="F273" s="92" t="s">
        <v>165</v>
      </c>
      <c r="G273" s="88">
        <v>5800</v>
      </c>
      <c r="H273" s="88">
        <v>3000</v>
      </c>
      <c r="I273" s="88">
        <v>2800</v>
      </c>
      <c r="J273" s="88">
        <v>0</v>
      </c>
      <c r="K273" s="88"/>
      <c r="L273" s="92"/>
      <c r="M273" s="92" t="s">
        <v>175</v>
      </c>
      <c r="N273"/>
      <c r="O273" s="26">
        <v>20260817</v>
      </c>
      <c r="P273" s="32">
        <v>202608170000040</v>
      </c>
      <c r="Q273" s="27">
        <v>5800</v>
      </c>
      <c r="R273" s="28"/>
      <c r="S273" s="27" t="s">
        <v>167</v>
      </c>
      <c r="T273" s="27" t="s">
        <v>208</v>
      </c>
      <c r="U273" s="27" t="s">
        <v>2432</v>
      </c>
    </row>
    <row r="274" spans="1:21" ht="16.5" hidden="1" customHeight="1" thickBot="1">
      <c r="A274" s="92" t="s">
        <v>162</v>
      </c>
      <c r="B274" s="93">
        <v>46251</v>
      </c>
      <c r="C274" s="92" t="s">
        <v>2117</v>
      </c>
      <c r="D274" s="92" t="s">
        <v>2118</v>
      </c>
      <c r="E274" s="92"/>
      <c r="F274" s="92" t="s">
        <v>165</v>
      </c>
      <c r="G274" s="88">
        <v>3850</v>
      </c>
      <c r="H274" s="88"/>
      <c r="I274" s="88">
        <v>3850</v>
      </c>
      <c r="J274" s="88">
        <v>0</v>
      </c>
      <c r="K274" s="88"/>
      <c r="L274" s="92"/>
      <c r="M274" s="92" t="s">
        <v>166</v>
      </c>
      <c r="N274"/>
      <c r="O274" s="23">
        <v>20260817</v>
      </c>
      <c r="P274" s="31">
        <v>202608170000041</v>
      </c>
      <c r="Q274" s="24">
        <v>3850</v>
      </c>
      <c r="R274" s="25"/>
      <c r="S274" s="24" t="s">
        <v>167</v>
      </c>
      <c r="T274" s="24" t="s">
        <v>498</v>
      </c>
      <c r="U274" s="24" t="s">
        <v>2433</v>
      </c>
    </row>
    <row r="275" spans="1:21" ht="16.5" hidden="1" customHeight="1" thickBot="1">
      <c r="A275" s="92" t="s">
        <v>162</v>
      </c>
      <c r="B275" s="93">
        <v>46251</v>
      </c>
      <c r="C275" s="92" t="s">
        <v>792</v>
      </c>
      <c r="D275" s="92" t="s">
        <v>793</v>
      </c>
      <c r="E275" s="92"/>
      <c r="F275" s="92" t="s">
        <v>165</v>
      </c>
      <c r="G275" s="88">
        <v>2398</v>
      </c>
      <c r="H275" s="88"/>
      <c r="I275" s="88">
        <v>2398</v>
      </c>
      <c r="J275" s="88">
        <v>0</v>
      </c>
      <c r="K275" s="88"/>
      <c r="L275" s="92"/>
      <c r="M275" s="92" t="s">
        <v>166</v>
      </c>
      <c r="N275"/>
      <c r="O275" s="26">
        <v>20260817</v>
      </c>
      <c r="P275" s="32">
        <v>202608170000042</v>
      </c>
      <c r="Q275" s="27">
        <v>2398</v>
      </c>
      <c r="R275" s="28"/>
      <c r="S275" s="27" t="s">
        <v>167</v>
      </c>
      <c r="T275" s="27" t="s">
        <v>2434</v>
      </c>
      <c r="U275" s="27" t="s">
        <v>2435</v>
      </c>
    </row>
    <row r="276" spans="1:21" ht="16.5" hidden="1" customHeight="1" thickBot="1">
      <c r="A276" s="92" t="s">
        <v>172</v>
      </c>
      <c r="B276" s="93">
        <v>46251</v>
      </c>
      <c r="C276" s="92" t="s">
        <v>2889</v>
      </c>
      <c r="D276" s="92" t="s">
        <v>2890</v>
      </c>
      <c r="E276" s="92"/>
      <c r="F276" s="92" t="s">
        <v>165</v>
      </c>
      <c r="G276" s="88">
        <v>3850</v>
      </c>
      <c r="H276" s="88"/>
      <c r="I276" s="88">
        <v>3850</v>
      </c>
      <c r="J276" s="88">
        <v>0</v>
      </c>
      <c r="K276" s="88"/>
      <c r="L276" s="92"/>
      <c r="M276" s="92" t="s">
        <v>175</v>
      </c>
      <c r="N276"/>
      <c r="O276" s="20">
        <v>20260817</v>
      </c>
      <c r="P276" s="30">
        <v>202608170000043</v>
      </c>
      <c r="Q276" s="21">
        <v>3850</v>
      </c>
      <c r="R276" s="22"/>
      <c r="S276" s="21" t="s">
        <v>167</v>
      </c>
      <c r="T276" s="21" t="s">
        <v>2436</v>
      </c>
      <c r="U276" s="21" t="s">
        <v>2437</v>
      </c>
    </row>
    <row r="277" spans="1:21" ht="16.5" customHeight="1" thickBot="1">
      <c r="A277" s="92" t="s">
        <v>176</v>
      </c>
      <c r="B277" s="93">
        <v>46251</v>
      </c>
      <c r="C277" s="92" t="s">
        <v>391</v>
      </c>
      <c r="D277" s="92" t="s">
        <v>392</v>
      </c>
      <c r="E277" s="92"/>
      <c r="F277" s="92" t="s">
        <v>179</v>
      </c>
      <c r="G277" s="88">
        <v>4000</v>
      </c>
      <c r="H277" s="88">
        <v>4000</v>
      </c>
      <c r="I277" s="88">
        <v>0</v>
      </c>
      <c r="J277" s="88">
        <v>0</v>
      </c>
      <c r="K277" s="88"/>
      <c r="L277" s="92"/>
      <c r="M277" s="92" t="s">
        <v>175</v>
      </c>
      <c r="N277" t="s">
        <v>4130</v>
      </c>
      <c r="O277" s="26">
        <v>20260817</v>
      </c>
      <c r="P277" s="32">
        <v>202608170000044</v>
      </c>
      <c r="Q277" s="27">
        <v>4000</v>
      </c>
      <c r="R277" s="28"/>
      <c r="S277" s="27" t="s">
        <v>167</v>
      </c>
      <c r="T277" s="27" t="s">
        <v>189</v>
      </c>
      <c r="U277" s="27" t="s">
        <v>2438</v>
      </c>
    </row>
    <row r="278" spans="1:21" ht="16.5" hidden="1" customHeight="1" thickBot="1">
      <c r="A278" s="92" t="s">
        <v>162</v>
      </c>
      <c r="B278" s="93">
        <v>46251</v>
      </c>
      <c r="C278" s="92" t="s">
        <v>496</v>
      </c>
      <c r="D278" s="92" t="s">
        <v>497</v>
      </c>
      <c r="E278" s="92"/>
      <c r="F278" s="92" t="s">
        <v>165</v>
      </c>
      <c r="G278" s="88">
        <v>3850</v>
      </c>
      <c r="H278" s="88"/>
      <c r="I278" s="88">
        <v>3850</v>
      </c>
      <c r="J278" s="88">
        <v>0</v>
      </c>
      <c r="K278" s="88"/>
      <c r="L278" s="92"/>
      <c r="M278" s="92" t="s">
        <v>166</v>
      </c>
      <c r="N278"/>
      <c r="O278" s="23">
        <v>20260817</v>
      </c>
      <c r="P278" s="31">
        <v>202608170000045</v>
      </c>
      <c r="Q278" s="24">
        <v>3850</v>
      </c>
      <c r="R278" s="25"/>
      <c r="S278" s="24" t="s">
        <v>167</v>
      </c>
      <c r="T278" s="24" t="s">
        <v>255</v>
      </c>
      <c r="U278" s="24" t="s">
        <v>2439</v>
      </c>
    </row>
    <row r="279" spans="1:21" ht="16.5" hidden="1" customHeight="1" thickBot="1">
      <c r="A279" s="92" t="s">
        <v>162</v>
      </c>
      <c r="B279" s="93">
        <v>46252</v>
      </c>
      <c r="C279" s="92" t="s">
        <v>410</v>
      </c>
      <c r="D279" s="92" t="s">
        <v>411</v>
      </c>
      <c r="E279" s="92"/>
      <c r="F279" s="92" t="s">
        <v>165</v>
      </c>
      <c r="G279" s="88">
        <v>3850</v>
      </c>
      <c r="H279" s="88"/>
      <c r="I279" s="88">
        <v>3850</v>
      </c>
      <c r="J279" s="88">
        <v>0</v>
      </c>
      <c r="K279" s="88"/>
      <c r="L279" s="92"/>
      <c r="M279" s="92" t="s">
        <v>166</v>
      </c>
      <c r="N279"/>
      <c r="O279" s="26">
        <v>20260818</v>
      </c>
      <c r="P279" s="32">
        <v>202608180000001</v>
      </c>
      <c r="Q279" s="27">
        <v>3850</v>
      </c>
      <c r="R279" s="28"/>
      <c r="S279" s="27" t="s">
        <v>167</v>
      </c>
      <c r="T279" s="27" t="s">
        <v>412</v>
      </c>
      <c r="U279" s="27" t="s">
        <v>2440</v>
      </c>
    </row>
    <row r="280" spans="1:21" ht="16.5" hidden="1" customHeight="1" thickBot="1">
      <c r="A280" s="92" t="s">
        <v>180</v>
      </c>
      <c r="B280" s="93">
        <v>46252</v>
      </c>
      <c r="C280" s="92" t="s">
        <v>3080</v>
      </c>
      <c r="D280" s="92" t="s">
        <v>3081</v>
      </c>
      <c r="E280" s="92"/>
      <c r="F280" s="92" t="s">
        <v>165</v>
      </c>
      <c r="G280" s="88">
        <v>5217</v>
      </c>
      <c r="H280" s="88">
        <v>3000</v>
      </c>
      <c r="I280" s="88">
        <v>2217</v>
      </c>
      <c r="J280" s="88">
        <v>0</v>
      </c>
      <c r="K280" s="88"/>
      <c r="L280" s="92"/>
      <c r="M280" s="92" t="s">
        <v>175</v>
      </c>
      <c r="N280"/>
      <c r="O280" s="23">
        <v>20260818</v>
      </c>
      <c r="P280" s="31">
        <v>202608180000002</v>
      </c>
      <c r="Q280" s="24">
        <v>5217</v>
      </c>
      <c r="R280" s="25"/>
      <c r="S280" s="24" t="s">
        <v>167</v>
      </c>
      <c r="T280" s="24" t="s">
        <v>2441</v>
      </c>
      <c r="U280" s="24" t="s">
        <v>2442</v>
      </c>
    </row>
    <row r="281" spans="1:21" ht="16.5" hidden="1" customHeight="1" thickBot="1">
      <c r="A281" s="92" t="s">
        <v>180</v>
      </c>
      <c r="B281" s="93">
        <v>46252</v>
      </c>
      <c r="C281" s="92" t="s">
        <v>3082</v>
      </c>
      <c r="D281" s="92" t="s">
        <v>3083</v>
      </c>
      <c r="E281" s="92"/>
      <c r="F281" s="92" t="s">
        <v>165</v>
      </c>
      <c r="G281" s="88">
        <v>6292</v>
      </c>
      <c r="H281" s="88">
        <v>4000</v>
      </c>
      <c r="I281" s="88">
        <v>2292</v>
      </c>
      <c r="J281" s="88">
        <v>0</v>
      </c>
      <c r="K281" s="88"/>
      <c r="L281" s="92"/>
      <c r="M281" s="92" t="s">
        <v>175</v>
      </c>
      <c r="N281"/>
      <c r="O281" s="26">
        <v>20260818</v>
      </c>
      <c r="P281" s="32">
        <v>202608180000003</v>
      </c>
      <c r="Q281" s="27">
        <v>6292</v>
      </c>
      <c r="R281" s="28"/>
      <c r="S281" s="27" t="s">
        <v>167</v>
      </c>
      <c r="T281" s="27" t="s">
        <v>2443</v>
      </c>
      <c r="U281" s="27" t="s">
        <v>2444</v>
      </c>
    </row>
    <row r="282" spans="1:21" ht="16.5" hidden="1" customHeight="1" thickBot="1">
      <c r="A282" s="92" t="s">
        <v>162</v>
      </c>
      <c r="B282" s="93">
        <v>46252</v>
      </c>
      <c r="C282" s="92" t="s">
        <v>761</v>
      </c>
      <c r="D282" s="92" t="s">
        <v>762</v>
      </c>
      <c r="E282" s="92"/>
      <c r="F282" s="92" t="s">
        <v>165</v>
      </c>
      <c r="G282" s="88">
        <v>2800</v>
      </c>
      <c r="H282" s="88"/>
      <c r="I282" s="88">
        <v>2800</v>
      </c>
      <c r="J282" s="88">
        <v>0</v>
      </c>
      <c r="K282" s="88"/>
      <c r="L282" s="92"/>
      <c r="M282" s="92" t="s">
        <v>166</v>
      </c>
      <c r="N282"/>
      <c r="O282" s="23">
        <v>20260818</v>
      </c>
      <c r="P282" s="31">
        <v>202608180000004</v>
      </c>
      <c r="Q282" s="24">
        <v>2800</v>
      </c>
      <c r="R282" s="25"/>
      <c r="S282" s="24" t="s">
        <v>359</v>
      </c>
      <c r="T282" s="24" t="s">
        <v>763</v>
      </c>
      <c r="U282" s="24" t="s">
        <v>2445</v>
      </c>
    </row>
    <row r="283" spans="1:21" ht="16.5" hidden="1" customHeight="1" thickBot="1">
      <c r="A283" s="92" t="s">
        <v>162</v>
      </c>
      <c r="B283" s="93">
        <v>46252</v>
      </c>
      <c r="C283" s="92" t="s">
        <v>529</v>
      </c>
      <c r="D283" s="92" t="s">
        <v>2121</v>
      </c>
      <c r="E283" s="92"/>
      <c r="F283" s="92" t="s">
        <v>165</v>
      </c>
      <c r="G283" s="88">
        <v>11500</v>
      </c>
      <c r="H283" s="88"/>
      <c r="I283" s="88">
        <v>11500</v>
      </c>
      <c r="J283" s="88">
        <v>0</v>
      </c>
      <c r="K283" s="88"/>
      <c r="L283" s="92"/>
      <c r="M283" s="92" t="s">
        <v>166</v>
      </c>
      <c r="N283"/>
      <c r="O283" s="26">
        <v>20260818</v>
      </c>
      <c r="P283" s="32">
        <v>202608180000005</v>
      </c>
      <c r="Q283" s="27">
        <v>11500</v>
      </c>
      <c r="R283" s="28"/>
      <c r="S283" s="27" t="s">
        <v>167</v>
      </c>
      <c r="T283" s="27" t="s">
        <v>2446</v>
      </c>
      <c r="U283" s="27" t="s">
        <v>2447</v>
      </c>
    </row>
    <row r="284" spans="1:21" ht="16.5" hidden="1" customHeight="1" thickBot="1">
      <c r="A284" s="92" t="s">
        <v>162</v>
      </c>
      <c r="B284" s="93">
        <v>46252</v>
      </c>
      <c r="C284" s="92" t="s">
        <v>478</v>
      </c>
      <c r="D284" s="92" t="s">
        <v>1129</v>
      </c>
      <c r="E284" s="92"/>
      <c r="F284" s="92" t="s">
        <v>360</v>
      </c>
      <c r="G284" s="88"/>
      <c r="H284" s="88"/>
      <c r="I284" s="88">
        <v>0</v>
      </c>
      <c r="J284" s="88">
        <v>0</v>
      </c>
      <c r="K284" s="88">
        <v>1500000</v>
      </c>
      <c r="L284" s="92"/>
      <c r="M284" s="92" t="s">
        <v>166</v>
      </c>
      <c r="N284"/>
      <c r="O284" s="23">
        <v>20260818</v>
      </c>
      <c r="P284" s="31">
        <v>202608180000006</v>
      </c>
      <c r="Q284" s="25"/>
      <c r="R284" s="24">
        <v>1500000</v>
      </c>
      <c r="S284" s="24" t="s">
        <v>184</v>
      </c>
      <c r="T284" s="24" t="s">
        <v>479</v>
      </c>
      <c r="U284" s="24">
        <v>24.878</v>
      </c>
    </row>
    <row r="285" spans="1:21" ht="16.5" hidden="1" customHeight="1" thickBot="1">
      <c r="A285" s="92" t="s">
        <v>162</v>
      </c>
      <c r="B285" s="93">
        <v>46252</v>
      </c>
      <c r="C285" s="92" t="s">
        <v>478</v>
      </c>
      <c r="D285" s="92" t="s">
        <v>1129</v>
      </c>
      <c r="E285" s="92"/>
      <c r="F285" s="92" t="s">
        <v>360</v>
      </c>
      <c r="G285" s="88"/>
      <c r="H285" s="88"/>
      <c r="I285" s="88">
        <v>0</v>
      </c>
      <c r="J285" s="88">
        <v>0</v>
      </c>
      <c r="K285" s="88">
        <v>165</v>
      </c>
      <c r="L285" s="92"/>
      <c r="M285" s="92" t="s">
        <v>166</v>
      </c>
      <c r="N285"/>
      <c r="O285" s="26">
        <v>20260818</v>
      </c>
      <c r="P285" s="32">
        <v>202608180000007</v>
      </c>
      <c r="Q285" s="28"/>
      <c r="R285" s="27">
        <v>165</v>
      </c>
      <c r="S285" s="27" t="s">
        <v>480</v>
      </c>
      <c r="T285" s="28"/>
      <c r="U285" s="27">
        <v>24.713000000000001</v>
      </c>
    </row>
    <row r="286" spans="1:21" ht="16.5" hidden="1" customHeight="1" thickBot="1">
      <c r="A286" s="92" t="s">
        <v>172</v>
      </c>
      <c r="B286" s="93">
        <v>46252</v>
      </c>
      <c r="C286" s="92" t="s">
        <v>196</v>
      </c>
      <c r="D286" s="92" t="s">
        <v>197</v>
      </c>
      <c r="E286" s="92"/>
      <c r="F286" s="92" t="s">
        <v>165</v>
      </c>
      <c r="G286" s="88">
        <v>4000</v>
      </c>
      <c r="H286" s="88"/>
      <c r="I286" s="88">
        <v>4000</v>
      </c>
      <c r="J286" s="88">
        <v>0</v>
      </c>
      <c r="K286" s="88"/>
      <c r="L286" s="92"/>
      <c r="M286" s="92" t="s">
        <v>175</v>
      </c>
      <c r="N286"/>
      <c r="O286" s="26">
        <v>20260818</v>
      </c>
      <c r="P286" s="32">
        <v>202608180000008</v>
      </c>
      <c r="Q286" s="27">
        <v>4000</v>
      </c>
      <c r="R286" s="28"/>
      <c r="S286" s="27" t="s">
        <v>167</v>
      </c>
      <c r="T286" s="27" t="s">
        <v>198</v>
      </c>
      <c r="U286" s="27">
        <v>28.713000000000001</v>
      </c>
    </row>
    <row r="287" spans="1:21" ht="16.5" customHeight="1" thickBot="1">
      <c r="A287" s="92" t="s">
        <v>162</v>
      </c>
      <c r="B287" s="93">
        <v>46252</v>
      </c>
      <c r="C287" s="92" t="e">
        <v>#N/A</v>
      </c>
      <c r="D287" s="92"/>
      <c r="E287" s="92"/>
      <c r="F287" s="92" t="s">
        <v>179</v>
      </c>
      <c r="G287" s="88">
        <v>2000</v>
      </c>
      <c r="H287" s="88">
        <v>2000</v>
      </c>
      <c r="I287" s="88">
        <v>0</v>
      </c>
      <c r="J287" s="88">
        <v>0</v>
      </c>
      <c r="K287" s="88"/>
      <c r="L287" s="92"/>
      <c r="M287" s="92" t="s">
        <v>166</v>
      </c>
      <c r="N287" t="s">
        <v>4115</v>
      </c>
      <c r="O287" s="23">
        <v>20260818</v>
      </c>
      <c r="P287" s="31">
        <v>202608180000009</v>
      </c>
      <c r="Q287" s="24">
        <v>2000</v>
      </c>
      <c r="R287" s="25"/>
      <c r="S287" s="24" t="s">
        <v>167</v>
      </c>
      <c r="T287" s="24" t="s">
        <v>2448</v>
      </c>
      <c r="U287" s="24">
        <v>30.713000000000001</v>
      </c>
    </row>
    <row r="288" spans="1:21" ht="16.5" customHeight="1" thickBot="1">
      <c r="A288" s="92" t="s">
        <v>176</v>
      </c>
      <c r="B288" s="93">
        <v>46252</v>
      </c>
      <c r="C288" s="92" t="s">
        <v>214</v>
      </c>
      <c r="D288" s="92" t="s">
        <v>215</v>
      </c>
      <c r="E288" s="92"/>
      <c r="F288" s="92" t="s">
        <v>179</v>
      </c>
      <c r="G288" s="88">
        <v>6850</v>
      </c>
      <c r="H288" s="88">
        <v>6850</v>
      </c>
      <c r="I288" s="88">
        <v>0</v>
      </c>
      <c r="J288" s="88">
        <v>0</v>
      </c>
      <c r="K288" s="88"/>
      <c r="L288" s="92"/>
      <c r="M288" s="92" t="s">
        <v>175</v>
      </c>
      <c r="N288" t="s">
        <v>4257</v>
      </c>
      <c r="O288" s="26">
        <v>20260818</v>
      </c>
      <c r="P288" s="32">
        <v>202608180000010</v>
      </c>
      <c r="Q288" s="27">
        <v>6850</v>
      </c>
      <c r="R288" s="28"/>
      <c r="S288" s="27" t="s">
        <v>167</v>
      </c>
      <c r="T288" s="27" t="s">
        <v>2449</v>
      </c>
      <c r="U288" s="27">
        <v>37.563000000000002</v>
      </c>
    </row>
    <row r="289" spans="1:21" ht="16.5" hidden="1" customHeight="1" thickBot="1">
      <c r="A289" s="92" t="s">
        <v>162</v>
      </c>
      <c r="B289" s="93">
        <v>46252</v>
      </c>
      <c r="C289" s="92" t="s">
        <v>561</v>
      </c>
      <c r="D289" s="92" t="s">
        <v>562</v>
      </c>
      <c r="E289" s="92"/>
      <c r="F289" s="92" t="s">
        <v>165</v>
      </c>
      <c r="G289" s="88">
        <v>3850</v>
      </c>
      <c r="H289" s="88"/>
      <c r="I289" s="88">
        <v>3850</v>
      </c>
      <c r="J289" s="88">
        <v>0</v>
      </c>
      <c r="K289" s="88"/>
      <c r="L289" s="92"/>
      <c r="M289" s="92" t="s">
        <v>166</v>
      </c>
      <c r="N289"/>
      <c r="O289" s="23">
        <v>20260818</v>
      </c>
      <c r="P289" s="31">
        <v>202608180000011</v>
      </c>
      <c r="Q289" s="24">
        <v>3850</v>
      </c>
      <c r="R289" s="25"/>
      <c r="S289" s="24" t="s">
        <v>167</v>
      </c>
      <c r="T289" s="24" t="s">
        <v>563</v>
      </c>
      <c r="U289" s="24">
        <v>41.412999999999997</v>
      </c>
    </row>
    <row r="290" spans="1:21" ht="16.5" hidden="1" customHeight="1" thickBot="1">
      <c r="A290" s="92" t="s">
        <v>162</v>
      </c>
      <c r="B290" s="93">
        <v>46252</v>
      </c>
      <c r="C290" s="92" t="s">
        <v>677</v>
      </c>
      <c r="D290" s="92" t="s">
        <v>678</v>
      </c>
      <c r="E290" s="92"/>
      <c r="F290" s="92" t="s">
        <v>165</v>
      </c>
      <c r="G290" s="88">
        <v>3850</v>
      </c>
      <c r="H290" s="88"/>
      <c r="I290" s="88">
        <v>3850</v>
      </c>
      <c r="J290" s="88">
        <v>0</v>
      </c>
      <c r="K290" s="88"/>
      <c r="L290" s="92"/>
      <c r="M290" s="92" t="s">
        <v>166</v>
      </c>
      <c r="N290"/>
      <c r="O290" s="26">
        <v>20260818</v>
      </c>
      <c r="P290" s="32">
        <v>202608180000012</v>
      </c>
      <c r="Q290" s="27">
        <v>3850</v>
      </c>
      <c r="R290" s="28"/>
      <c r="S290" s="27" t="s">
        <v>167</v>
      </c>
      <c r="T290" s="27" t="s">
        <v>264</v>
      </c>
      <c r="U290" s="27">
        <v>45.262999999999998</v>
      </c>
    </row>
    <row r="291" spans="1:21" ht="16.5" customHeight="1" thickBot="1">
      <c r="A291" s="92" t="s">
        <v>162</v>
      </c>
      <c r="B291" s="93">
        <v>46252</v>
      </c>
      <c r="C291" s="92" t="e">
        <v>#N/A</v>
      </c>
      <c r="D291" s="92"/>
      <c r="E291" s="92"/>
      <c r="F291" s="92" t="s">
        <v>179</v>
      </c>
      <c r="G291" s="88">
        <v>2000</v>
      </c>
      <c r="H291" s="88">
        <v>2000</v>
      </c>
      <c r="I291" s="88">
        <v>0</v>
      </c>
      <c r="J291" s="88">
        <v>0</v>
      </c>
      <c r="K291" s="88"/>
      <c r="L291" s="92"/>
      <c r="M291" s="92" t="s">
        <v>166</v>
      </c>
      <c r="N291" t="s">
        <v>4128</v>
      </c>
      <c r="O291" s="23">
        <v>20260818</v>
      </c>
      <c r="P291" s="31">
        <v>202608180000013</v>
      </c>
      <c r="Q291" s="24">
        <v>2000</v>
      </c>
      <c r="R291" s="25"/>
      <c r="S291" s="24" t="s">
        <v>359</v>
      </c>
      <c r="T291" s="24" t="s">
        <v>2450</v>
      </c>
      <c r="U291" s="24">
        <v>47.262999999999998</v>
      </c>
    </row>
    <row r="292" spans="1:21" ht="16.5" hidden="1" customHeight="1" thickBot="1">
      <c r="A292" s="92" t="s">
        <v>162</v>
      </c>
      <c r="B292" s="93">
        <v>46252</v>
      </c>
      <c r="C292" s="92" t="s">
        <v>512</v>
      </c>
      <c r="D292" s="92" t="s">
        <v>513</v>
      </c>
      <c r="E292" s="92"/>
      <c r="F292" s="92" t="s">
        <v>165</v>
      </c>
      <c r="G292" s="88">
        <v>3850</v>
      </c>
      <c r="H292" s="88"/>
      <c r="I292" s="88">
        <v>3850</v>
      </c>
      <c r="J292" s="88">
        <v>0</v>
      </c>
      <c r="K292" s="88"/>
      <c r="L292" s="92"/>
      <c r="M292" s="92" t="s">
        <v>166</v>
      </c>
      <c r="N292"/>
      <c r="O292" s="26">
        <v>20260818</v>
      </c>
      <c r="P292" s="32">
        <v>202608180000014</v>
      </c>
      <c r="Q292" s="27">
        <v>3850</v>
      </c>
      <c r="R292" s="28"/>
      <c r="S292" s="27" t="s">
        <v>167</v>
      </c>
      <c r="T292" s="27" t="s">
        <v>205</v>
      </c>
      <c r="U292" s="27">
        <v>51.113</v>
      </c>
    </row>
    <row r="293" spans="1:21" ht="16.5" hidden="1" customHeight="1" thickBot="1">
      <c r="A293" s="92" t="s">
        <v>162</v>
      </c>
      <c r="B293" s="93">
        <v>46252</v>
      </c>
      <c r="C293" s="92" t="s">
        <v>827</v>
      </c>
      <c r="D293" s="92" t="s">
        <v>828</v>
      </c>
      <c r="E293" s="92"/>
      <c r="F293" s="92" t="s">
        <v>165</v>
      </c>
      <c r="G293" s="88">
        <v>1513</v>
      </c>
      <c r="H293" s="88"/>
      <c r="I293" s="88">
        <v>1513</v>
      </c>
      <c r="J293" s="88">
        <v>0</v>
      </c>
      <c r="K293" s="88"/>
      <c r="L293" s="92"/>
      <c r="M293" s="92" t="s">
        <v>166</v>
      </c>
      <c r="N293"/>
      <c r="O293" s="23">
        <v>20260818</v>
      </c>
      <c r="P293" s="31">
        <v>202608180000015</v>
      </c>
      <c r="Q293" s="24">
        <v>1513</v>
      </c>
      <c r="R293" s="25"/>
      <c r="S293" s="24" t="s">
        <v>167</v>
      </c>
      <c r="T293" s="24" t="s">
        <v>829</v>
      </c>
      <c r="U293" s="24">
        <v>52.625999999999998</v>
      </c>
    </row>
    <row r="294" spans="1:21" ht="16.5" hidden="1" customHeight="1" thickBot="1">
      <c r="A294" s="92" t="s">
        <v>162</v>
      </c>
      <c r="B294" s="93">
        <v>46252</v>
      </c>
      <c r="C294" s="92" t="s">
        <v>573</v>
      </c>
      <c r="D294" s="92" t="s">
        <v>574</v>
      </c>
      <c r="E294" s="92"/>
      <c r="F294" s="92" t="s">
        <v>165</v>
      </c>
      <c r="G294" s="88">
        <v>2800</v>
      </c>
      <c r="H294" s="88"/>
      <c r="I294" s="88">
        <v>2800</v>
      </c>
      <c r="J294" s="88">
        <v>0</v>
      </c>
      <c r="K294" s="88"/>
      <c r="L294" s="92"/>
      <c r="M294" s="92" t="s">
        <v>166</v>
      </c>
      <c r="N294"/>
      <c r="O294" s="26">
        <v>20260818</v>
      </c>
      <c r="P294" s="32">
        <v>202608180000016</v>
      </c>
      <c r="Q294" s="27">
        <v>2800</v>
      </c>
      <c r="R294" s="28"/>
      <c r="S294" s="27" t="s">
        <v>167</v>
      </c>
      <c r="T294" s="27" t="s">
        <v>575</v>
      </c>
      <c r="U294" s="27">
        <v>55.426000000000002</v>
      </c>
    </row>
    <row r="295" spans="1:21" ht="32.25" customHeight="1" thickBot="1">
      <c r="A295" s="92" t="s">
        <v>176</v>
      </c>
      <c r="B295" s="93">
        <v>46252</v>
      </c>
      <c r="C295" s="92" t="s">
        <v>214</v>
      </c>
      <c r="D295" s="92" t="s">
        <v>215</v>
      </c>
      <c r="E295" s="92"/>
      <c r="F295" s="92" t="s">
        <v>179</v>
      </c>
      <c r="G295" s="88">
        <v>6850</v>
      </c>
      <c r="H295" s="88">
        <v>6850</v>
      </c>
      <c r="I295" s="88">
        <v>0</v>
      </c>
      <c r="J295" s="88">
        <v>0</v>
      </c>
      <c r="K295" s="88"/>
      <c r="L295" s="92"/>
      <c r="M295" s="92" t="s">
        <v>175</v>
      </c>
      <c r="N295" t="s">
        <v>4258</v>
      </c>
      <c r="O295" s="23">
        <v>20260818</v>
      </c>
      <c r="P295" s="31">
        <v>202608180000017</v>
      </c>
      <c r="Q295" s="24">
        <v>6850</v>
      </c>
      <c r="R295" s="25"/>
      <c r="S295" s="24" t="s">
        <v>167</v>
      </c>
      <c r="T295" s="24" t="s">
        <v>2451</v>
      </c>
      <c r="U295" s="24">
        <v>62.276000000000003</v>
      </c>
    </row>
    <row r="296" spans="1:21" ht="16.5" hidden="1" customHeight="1" thickBot="1">
      <c r="A296" s="92" t="s">
        <v>162</v>
      </c>
      <c r="B296" s="93">
        <v>46252</v>
      </c>
      <c r="C296" s="92" t="s">
        <v>3084</v>
      </c>
      <c r="D296" s="92" t="s">
        <v>3085</v>
      </c>
      <c r="E296" s="92"/>
      <c r="F296" s="92" t="s">
        <v>165</v>
      </c>
      <c r="G296" s="88">
        <v>7700</v>
      </c>
      <c r="H296" s="88"/>
      <c r="I296" s="88">
        <v>7700</v>
      </c>
      <c r="J296" s="88">
        <v>0</v>
      </c>
      <c r="K296" s="88"/>
      <c r="L296" s="92"/>
      <c r="M296" s="92" t="s">
        <v>166</v>
      </c>
      <c r="N296"/>
      <c r="O296" s="26">
        <v>20260818</v>
      </c>
      <c r="P296" s="32">
        <v>202608180000018</v>
      </c>
      <c r="Q296" s="27">
        <v>7700</v>
      </c>
      <c r="R296" s="28"/>
      <c r="S296" s="27" t="s">
        <v>167</v>
      </c>
      <c r="T296" s="27" t="s">
        <v>2452</v>
      </c>
      <c r="U296" s="27">
        <v>69.975999999999999</v>
      </c>
    </row>
    <row r="297" spans="1:21" ht="16.5" hidden="1" customHeight="1" thickBot="1">
      <c r="A297" s="92" t="s">
        <v>162</v>
      </c>
      <c r="B297" s="93">
        <v>46252</v>
      </c>
      <c r="C297" s="92" t="s">
        <v>993</v>
      </c>
      <c r="D297" s="92" t="s">
        <v>994</v>
      </c>
      <c r="E297" s="92"/>
      <c r="F297" s="92" t="s">
        <v>165</v>
      </c>
      <c r="G297" s="88">
        <v>3850</v>
      </c>
      <c r="H297" s="88"/>
      <c r="I297" s="88">
        <v>3850</v>
      </c>
      <c r="J297" s="88">
        <v>0</v>
      </c>
      <c r="K297" s="88"/>
      <c r="L297" s="92"/>
      <c r="M297" s="92" t="s">
        <v>166</v>
      </c>
      <c r="N297"/>
      <c r="O297" s="20">
        <v>20260818</v>
      </c>
      <c r="P297" s="30">
        <v>202608180000019</v>
      </c>
      <c r="Q297" s="21">
        <v>3850</v>
      </c>
      <c r="R297" s="22"/>
      <c r="S297" s="21" t="s">
        <v>167</v>
      </c>
      <c r="T297" s="21" t="s">
        <v>999</v>
      </c>
      <c r="U297" s="21">
        <v>73.825999999999993</v>
      </c>
    </row>
    <row r="298" spans="1:21" ht="16.5" hidden="1" customHeight="1" thickBot="1">
      <c r="A298" s="92" t="s">
        <v>162</v>
      </c>
      <c r="B298" s="93">
        <v>46252</v>
      </c>
      <c r="C298" s="92" t="s">
        <v>997</v>
      </c>
      <c r="D298" s="92" t="s">
        <v>998</v>
      </c>
      <c r="E298" s="92"/>
      <c r="F298" s="92" t="s">
        <v>165</v>
      </c>
      <c r="G298" s="88">
        <v>3850</v>
      </c>
      <c r="H298" s="88"/>
      <c r="I298" s="88">
        <v>3850</v>
      </c>
      <c r="J298" s="88">
        <v>0</v>
      </c>
      <c r="K298" s="88"/>
      <c r="L298" s="92"/>
      <c r="M298" s="92" t="s">
        <v>166</v>
      </c>
      <c r="N298"/>
      <c r="O298" s="26">
        <v>20260818</v>
      </c>
      <c r="P298" s="32">
        <v>202608180000020</v>
      </c>
      <c r="Q298" s="27">
        <v>3850</v>
      </c>
      <c r="R298" s="28"/>
      <c r="S298" s="27" t="s">
        <v>167</v>
      </c>
      <c r="T298" s="27" t="s">
        <v>706</v>
      </c>
      <c r="U298" s="27">
        <v>77.676000000000002</v>
      </c>
    </row>
    <row r="299" spans="1:21" ht="32.25" hidden="1" customHeight="1" thickBot="1">
      <c r="A299" s="92" t="s">
        <v>162</v>
      </c>
      <c r="B299" s="93">
        <v>46252</v>
      </c>
      <c r="C299" s="92" t="s">
        <v>682</v>
      </c>
      <c r="D299" s="92" t="s">
        <v>683</v>
      </c>
      <c r="E299" s="92"/>
      <c r="F299" s="92" t="s">
        <v>165</v>
      </c>
      <c r="G299" s="88">
        <v>3850</v>
      </c>
      <c r="H299" s="88"/>
      <c r="I299" s="88">
        <v>3850</v>
      </c>
      <c r="J299" s="88">
        <v>0</v>
      </c>
      <c r="K299" s="88"/>
      <c r="L299" s="92"/>
      <c r="M299" s="92" t="s">
        <v>166</v>
      </c>
      <c r="N299"/>
      <c r="O299" s="23">
        <v>20260818</v>
      </c>
      <c r="P299" s="31">
        <v>202608180000021</v>
      </c>
      <c r="Q299" s="24">
        <v>3850</v>
      </c>
      <c r="R299" s="25"/>
      <c r="S299" s="24" t="s">
        <v>359</v>
      </c>
      <c r="T299" s="24" t="s">
        <v>2453</v>
      </c>
      <c r="U299" s="24">
        <v>81.525999999999996</v>
      </c>
    </row>
    <row r="300" spans="1:21" ht="16.5" customHeight="1" thickBot="1">
      <c r="A300" s="92" t="s">
        <v>3293</v>
      </c>
      <c r="B300" s="93">
        <v>46252</v>
      </c>
      <c r="C300" s="92" t="s">
        <v>3086</v>
      </c>
      <c r="D300" s="92" t="s">
        <v>3087</v>
      </c>
      <c r="E300" s="92"/>
      <c r="F300" s="92" t="s">
        <v>179</v>
      </c>
      <c r="G300" s="88">
        <v>7000</v>
      </c>
      <c r="H300" s="88">
        <v>7000</v>
      </c>
      <c r="I300" s="88">
        <v>0</v>
      </c>
      <c r="J300" s="88">
        <v>0</v>
      </c>
      <c r="K300" s="88"/>
      <c r="L300" s="92"/>
      <c r="M300" s="92" t="s">
        <v>175</v>
      </c>
      <c r="N300" t="s">
        <v>4168</v>
      </c>
      <c r="O300" s="26">
        <v>20260818</v>
      </c>
      <c r="P300" s="32">
        <v>202608180000022</v>
      </c>
      <c r="Q300" s="27">
        <v>7000</v>
      </c>
      <c r="R300" s="28"/>
      <c r="S300" s="27" t="s">
        <v>167</v>
      </c>
      <c r="T300" s="27" t="s">
        <v>974</v>
      </c>
      <c r="U300" s="27">
        <v>88.525999999999996</v>
      </c>
    </row>
    <row r="301" spans="1:21" ht="16.5" hidden="1" customHeight="1" thickBot="1">
      <c r="A301" s="92" t="s">
        <v>162</v>
      </c>
      <c r="B301" s="93">
        <v>46252</v>
      </c>
      <c r="C301" s="92" t="s">
        <v>728</v>
      </c>
      <c r="D301" s="92" t="s">
        <v>729</v>
      </c>
      <c r="E301" s="92"/>
      <c r="F301" s="92" t="s">
        <v>165</v>
      </c>
      <c r="G301" s="88">
        <v>3850</v>
      </c>
      <c r="H301" s="88"/>
      <c r="I301" s="88">
        <v>3850</v>
      </c>
      <c r="J301" s="88">
        <v>0</v>
      </c>
      <c r="K301" s="88"/>
      <c r="L301" s="92"/>
      <c r="M301" s="92" t="s">
        <v>166</v>
      </c>
      <c r="N301"/>
      <c r="O301" s="23">
        <v>20260818</v>
      </c>
      <c r="P301" s="31">
        <v>202608180000023</v>
      </c>
      <c r="Q301" s="24">
        <v>3850</v>
      </c>
      <c r="R301" s="25"/>
      <c r="S301" s="24" t="s">
        <v>167</v>
      </c>
      <c r="T301" s="24" t="s">
        <v>491</v>
      </c>
      <c r="U301" s="24">
        <v>92.376000000000005</v>
      </c>
    </row>
    <row r="302" spans="1:21" ht="16.5" customHeight="1" thickBot="1">
      <c r="A302" s="92" t="s">
        <v>176</v>
      </c>
      <c r="B302" s="93">
        <v>46252</v>
      </c>
      <c r="C302" s="92" t="s">
        <v>214</v>
      </c>
      <c r="D302" s="92" t="s">
        <v>215</v>
      </c>
      <c r="E302" s="92"/>
      <c r="F302" s="92" t="s">
        <v>179</v>
      </c>
      <c r="G302" s="88">
        <v>6850</v>
      </c>
      <c r="H302" s="88">
        <v>6850</v>
      </c>
      <c r="I302" s="88">
        <v>0</v>
      </c>
      <c r="J302" s="88">
        <v>0</v>
      </c>
      <c r="K302" s="88"/>
      <c r="L302" s="92"/>
      <c r="M302" s="92" t="s">
        <v>175</v>
      </c>
      <c r="N302" t="s">
        <v>4259</v>
      </c>
      <c r="O302" s="26">
        <v>20260818</v>
      </c>
      <c r="P302" s="32">
        <v>202608180000024</v>
      </c>
      <c r="Q302" s="27">
        <v>6850</v>
      </c>
      <c r="R302" s="28"/>
      <c r="S302" s="27" t="s">
        <v>167</v>
      </c>
      <c r="T302" s="27" t="s">
        <v>2454</v>
      </c>
      <c r="U302" s="27">
        <v>99.225999999999999</v>
      </c>
    </row>
    <row r="303" spans="1:21" ht="16.5" customHeight="1" thickBot="1">
      <c r="A303" s="92" t="s">
        <v>176</v>
      </c>
      <c r="B303" s="93">
        <v>46252</v>
      </c>
      <c r="C303" s="92" t="s">
        <v>214</v>
      </c>
      <c r="D303" s="92" t="s">
        <v>215</v>
      </c>
      <c r="E303" s="92"/>
      <c r="F303" s="92" t="s">
        <v>179</v>
      </c>
      <c r="G303" s="88">
        <v>6850</v>
      </c>
      <c r="H303" s="88">
        <v>6850</v>
      </c>
      <c r="I303" s="88">
        <v>0</v>
      </c>
      <c r="J303" s="88">
        <v>0</v>
      </c>
      <c r="K303" s="88"/>
      <c r="L303" s="92"/>
      <c r="M303" s="92" t="s">
        <v>175</v>
      </c>
      <c r="N303" t="s">
        <v>4260</v>
      </c>
      <c r="O303" s="23">
        <v>20260818</v>
      </c>
      <c r="P303" s="31">
        <v>202608180000025</v>
      </c>
      <c r="Q303" s="24">
        <v>6850</v>
      </c>
      <c r="R303" s="25"/>
      <c r="S303" s="24" t="s">
        <v>167</v>
      </c>
      <c r="T303" s="24" t="s">
        <v>2455</v>
      </c>
      <c r="U303" s="24">
        <v>106.07599999999999</v>
      </c>
    </row>
    <row r="304" spans="1:21" ht="16.5" customHeight="1" thickBot="1">
      <c r="A304" s="92" t="s">
        <v>176</v>
      </c>
      <c r="B304" s="93">
        <v>46252</v>
      </c>
      <c r="C304" s="92" t="s">
        <v>214</v>
      </c>
      <c r="D304" s="92" t="s">
        <v>215</v>
      </c>
      <c r="E304" s="92"/>
      <c r="F304" s="92" t="s">
        <v>179</v>
      </c>
      <c r="G304" s="88">
        <v>6850</v>
      </c>
      <c r="H304" s="88">
        <v>6850</v>
      </c>
      <c r="I304" s="88">
        <v>0</v>
      </c>
      <c r="J304" s="88">
        <v>0</v>
      </c>
      <c r="K304" s="88"/>
      <c r="L304" s="92"/>
      <c r="M304" s="92" t="s">
        <v>175</v>
      </c>
      <c r="N304" t="s">
        <v>4261</v>
      </c>
      <c r="O304" s="26">
        <v>20260818</v>
      </c>
      <c r="P304" s="32">
        <v>202608180000026</v>
      </c>
      <c r="Q304" s="27">
        <v>6850</v>
      </c>
      <c r="R304" s="28"/>
      <c r="S304" s="27" t="s">
        <v>167</v>
      </c>
      <c r="T304" s="27" t="s">
        <v>323</v>
      </c>
      <c r="U304" s="27">
        <v>112.926</v>
      </c>
    </row>
    <row r="305" spans="1:21" ht="16.5" hidden="1" customHeight="1" thickBot="1">
      <c r="A305" s="92" t="s">
        <v>162</v>
      </c>
      <c r="B305" s="93">
        <v>46252</v>
      </c>
      <c r="C305" s="92" t="s">
        <v>486</v>
      </c>
      <c r="D305" s="92" t="s">
        <v>487</v>
      </c>
      <c r="E305" s="92"/>
      <c r="F305" s="92" t="s">
        <v>165</v>
      </c>
      <c r="G305" s="88">
        <v>3850</v>
      </c>
      <c r="H305" s="88"/>
      <c r="I305" s="88">
        <v>3850</v>
      </c>
      <c r="J305" s="88">
        <v>0</v>
      </c>
      <c r="K305" s="88"/>
      <c r="L305" s="92"/>
      <c r="M305" s="92" t="s">
        <v>166</v>
      </c>
      <c r="N305"/>
      <c r="O305" s="23">
        <v>20260818</v>
      </c>
      <c r="P305" s="31">
        <v>202608180000027</v>
      </c>
      <c r="Q305" s="24">
        <v>3850</v>
      </c>
      <c r="R305" s="25"/>
      <c r="S305" s="24" t="s">
        <v>167</v>
      </c>
      <c r="T305" s="24" t="s">
        <v>208</v>
      </c>
      <c r="U305" s="24">
        <v>116.776</v>
      </c>
    </row>
    <row r="306" spans="1:21" ht="16.5" hidden="1" customHeight="1" thickBot="1">
      <c r="A306" s="92" t="s">
        <v>162</v>
      </c>
      <c r="B306" s="93">
        <v>46252</v>
      </c>
      <c r="C306" s="92" t="s">
        <v>524</v>
      </c>
      <c r="D306" s="92" t="s">
        <v>525</v>
      </c>
      <c r="E306" s="92"/>
      <c r="F306" s="92" t="s">
        <v>165</v>
      </c>
      <c r="G306" s="88">
        <v>3850</v>
      </c>
      <c r="H306" s="88"/>
      <c r="I306" s="88">
        <v>3850</v>
      </c>
      <c r="J306" s="88">
        <v>0</v>
      </c>
      <c r="K306" s="88"/>
      <c r="L306" s="92"/>
      <c r="M306" s="92" t="s">
        <v>166</v>
      </c>
      <c r="N306"/>
      <c r="O306" s="26">
        <v>20260818</v>
      </c>
      <c r="P306" s="32">
        <v>202608180000028</v>
      </c>
      <c r="Q306" s="27">
        <v>3850</v>
      </c>
      <c r="R306" s="28"/>
      <c r="S306" s="27" t="s">
        <v>167</v>
      </c>
      <c r="T306" s="27" t="s">
        <v>526</v>
      </c>
      <c r="U306" s="27">
        <v>120.626</v>
      </c>
    </row>
    <row r="307" spans="1:21" ht="16.5" hidden="1" customHeight="1" thickBot="1">
      <c r="A307" s="92" t="s">
        <v>172</v>
      </c>
      <c r="B307" s="93">
        <v>46252</v>
      </c>
      <c r="C307" s="92" t="s">
        <v>589</v>
      </c>
      <c r="D307" s="92" t="s">
        <v>590</v>
      </c>
      <c r="E307" s="92"/>
      <c r="F307" s="92" t="s">
        <v>165</v>
      </c>
      <c r="G307" s="88">
        <v>3850</v>
      </c>
      <c r="H307" s="88"/>
      <c r="I307" s="88">
        <v>3850</v>
      </c>
      <c r="J307" s="88">
        <v>0</v>
      </c>
      <c r="K307" s="88"/>
      <c r="L307" s="92"/>
      <c r="M307" s="92" t="s">
        <v>175</v>
      </c>
      <c r="N307"/>
      <c r="O307" s="23">
        <v>20260818</v>
      </c>
      <c r="P307" s="31">
        <v>202608180000029</v>
      </c>
      <c r="Q307" s="24">
        <v>3850</v>
      </c>
      <c r="R307" s="25"/>
      <c r="S307" s="24" t="s">
        <v>167</v>
      </c>
      <c r="T307" s="24" t="s">
        <v>2456</v>
      </c>
      <c r="U307" s="24">
        <v>124.476</v>
      </c>
    </row>
    <row r="308" spans="1:21" ht="16.5" hidden="1" customHeight="1" thickBot="1">
      <c r="A308" s="92" t="s">
        <v>162</v>
      </c>
      <c r="B308" s="93">
        <v>46252</v>
      </c>
      <c r="C308" s="92" t="s">
        <v>621</v>
      </c>
      <c r="D308" s="92" t="s">
        <v>622</v>
      </c>
      <c r="E308" s="92"/>
      <c r="F308" s="92" t="s">
        <v>165</v>
      </c>
      <c r="G308" s="88">
        <v>3850</v>
      </c>
      <c r="H308" s="88"/>
      <c r="I308" s="88">
        <v>3850</v>
      </c>
      <c r="J308" s="88">
        <v>0</v>
      </c>
      <c r="K308" s="88"/>
      <c r="L308" s="92"/>
      <c r="M308" s="92" t="s">
        <v>166</v>
      </c>
      <c r="N308"/>
      <c r="O308" s="26">
        <v>20260818</v>
      </c>
      <c r="P308" s="32">
        <v>202608180000030</v>
      </c>
      <c r="Q308" s="27">
        <v>3850</v>
      </c>
      <c r="R308" s="28"/>
      <c r="S308" s="27" t="s">
        <v>167</v>
      </c>
      <c r="T308" s="27" t="s">
        <v>878</v>
      </c>
      <c r="U308" s="27">
        <v>128.32599999999999</v>
      </c>
    </row>
    <row r="309" spans="1:21" ht="16.5" hidden="1" customHeight="1" thickBot="1">
      <c r="A309" s="92" t="s">
        <v>162</v>
      </c>
      <c r="B309" s="93">
        <v>46252</v>
      </c>
      <c r="C309" s="92" t="s">
        <v>448</v>
      </c>
      <c r="D309" s="92" t="s">
        <v>449</v>
      </c>
      <c r="E309" s="92"/>
      <c r="F309" s="92" t="s">
        <v>165</v>
      </c>
      <c r="G309" s="88">
        <v>3850</v>
      </c>
      <c r="H309" s="88"/>
      <c r="I309" s="88">
        <v>3850</v>
      </c>
      <c r="J309" s="88">
        <v>0</v>
      </c>
      <c r="K309" s="88"/>
      <c r="L309" s="92"/>
      <c r="M309" s="92" t="s">
        <v>166</v>
      </c>
      <c r="N309"/>
      <c r="O309" s="23">
        <v>20260818</v>
      </c>
      <c r="P309" s="31">
        <v>202608180000031</v>
      </c>
      <c r="Q309" s="24">
        <v>3850</v>
      </c>
      <c r="R309" s="25"/>
      <c r="S309" s="24" t="s">
        <v>167</v>
      </c>
      <c r="T309" s="24" t="s">
        <v>264</v>
      </c>
      <c r="U309" s="24">
        <v>132.17599999999999</v>
      </c>
    </row>
    <row r="310" spans="1:21" ht="16.5" hidden="1" customHeight="1" thickBot="1">
      <c r="A310" s="92" t="s">
        <v>162</v>
      </c>
      <c r="B310" s="93">
        <v>46252</v>
      </c>
      <c r="C310" s="92" t="s">
        <v>692</v>
      </c>
      <c r="D310" s="92" t="s">
        <v>693</v>
      </c>
      <c r="E310" s="92"/>
      <c r="F310" s="92" t="s">
        <v>165</v>
      </c>
      <c r="G310" s="88">
        <v>2093</v>
      </c>
      <c r="H310" s="88"/>
      <c r="I310" s="88">
        <v>2093</v>
      </c>
      <c r="J310" s="88">
        <v>0</v>
      </c>
      <c r="K310" s="88"/>
      <c r="L310" s="92"/>
      <c r="M310" s="92" t="s">
        <v>166</v>
      </c>
      <c r="N310"/>
      <c r="O310" s="26">
        <v>20260818</v>
      </c>
      <c r="P310" s="32">
        <v>202608180000032</v>
      </c>
      <c r="Q310" s="27">
        <v>2093</v>
      </c>
      <c r="R310" s="28"/>
      <c r="S310" s="27" t="s">
        <v>167</v>
      </c>
      <c r="T310" s="27" t="s">
        <v>412</v>
      </c>
      <c r="U310" s="27">
        <v>134.26900000000001</v>
      </c>
    </row>
    <row r="311" spans="1:21" ht="16.5" hidden="1" customHeight="1" thickBot="1">
      <c r="A311" s="92" t="s">
        <v>162</v>
      </c>
      <c r="B311" s="93">
        <v>46252</v>
      </c>
      <c r="C311" s="92" t="s">
        <v>413</v>
      </c>
      <c r="D311" s="92" t="s">
        <v>414</v>
      </c>
      <c r="E311" s="92"/>
      <c r="F311" s="92" t="s">
        <v>165</v>
      </c>
      <c r="G311" s="88">
        <v>3850</v>
      </c>
      <c r="H311" s="88"/>
      <c r="I311" s="88">
        <v>3850</v>
      </c>
      <c r="J311" s="88">
        <v>0</v>
      </c>
      <c r="K311" s="88"/>
      <c r="L311" s="92"/>
      <c r="M311" s="92" t="s">
        <v>166</v>
      </c>
      <c r="O311" s="23">
        <v>20260818</v>
      </c>
      <c r="P311" s="31">
        <v>202608180000033</v>
      </c>
      <c r="Q311" s="24">
        <v>3850</v>
      </c>
      <c r="R311" s="25"/>
      <c r="S311" s="24" t="s">
        <v>167</v>
      </c>
      <c r="T311" s="24" t="s">
        <v>208</v>
      </c>
      <c r="U311" s="24">
        <v>138.119</v>
      </c>
    </row>
    <row r="312" spans="1:21" ht="16.5" hidden="1" customHeight="1" thickBot="1">
      <c r="A312" s="92" t="s">
        <v>162</v>
      </c>
      <c r="B312" s="93">
        <v>46252</v>
      </c>
      <c r="C312" s="92" t="s">
        <v>454</v>
      </c>
      <c r="D312" s="92" t="s">
        <v>455</v>
      </c>
      <c r="E312" s="92"/>
      <c r="F312" s="92" t="s">
        <v>165</v>
      </c>
      <c r="G312" s="88">
        <v>3850</v>
      </c>
      <c r="H312" s="88"/>
      <c r="I312" s="88">
        <v>3850</v>
      </c>
      <c r="J312" s="88">
        <v>0</v>
      </c>
      <c r="K312" s="88"/>
      <c r="L312" s="92"/>
      <c r="M312" s="92" t="s">
        <v>166</v>
      </c>
      <c r="N312"/>
      <c r="O312" s="26">
        <v>20260818</v>
      </c>
      <c r="P312" s="32">
        <v>202608180000034</v>
      </c>
      <c r="Q312" s="27">
        <v>3850</v>
      </c>
      <c r="R312" s="28"/>
      <c r="S312" s="27" t="s">
        <v>167</v>
      </c>
      <c r="T312" s="27" t="s">
        <v>456</v>
      </c>
      <c r="U312" s="27">
        <v>141.96899999999999</v>
      </c>
    </row>
    <row r="313" spans="1:21" ht="16.5" hidden="1" customHeight="1" thickBot="1">
      <c r="A313" s="92" t="s">
        <v>162</v>
      </c>
      <c r="B313" s="93">
        <v>46252</v>
      </c>
      <c r="C313" s="92" t="s">
        <v>425</v>
      </c>
      <c r="D313" s="92" t="s">
        <v>426</v>
      </c>
      <c r="E313" s="92"/>
      <c r="F313" s="92" t="s">
        <v>165</v>
      </c>
      <c r="G313" s="88">
        <v>3921</v>
      </c>
      <c r="H313" s="88"/>
      <c r="I313" s="88">
        <v>3921</v>
      </c>
      <c r="J313" s="88">
        <v>0</v>
      </c>
      <c r="K313" s="88"/>
      <c r="L313" s="92"/>
      <c r="M313" s="92" t="s">
        <v>166</v>
      </c>
      <c r="N313"/>
      <c r="O313" s="23">
        <v>20260818</v>
      </c>
      <c r="P313" s="31">
        <v>202608180000035</v>
      </c>
      <c r="Q313" s="24">
        <v>3921</v>
      </c>
      <c r="R313" s="25"/>
      <c r="S313" s="24" t="s">
        <v>167</v>
      </c>
      <c r="T313" s="24" t="s">
        <v>427</v>
      </c>
      <c r="U313" s="24">
        <v>145.88999999999999</v>
      </c>
    </row>
    <row r="314" spans="1:21" ht="16.5" customHeight="1" thickBot="1">
      <c r="A314" s="92" t="s">
        <v>162</v>
      </c>
      <c r="B314" s="93">
        <v>46252</v>
      </c>
      <c r="C314" s="92" t="e">
        <v>#N/A</v>
      </c>
      <c r="D314" s="92"/>
      <c r="E314" s="92"/>
      <c r="F314" s="92" t="s">
        <v>179</v>
      </c>
      <c r="G314" s="88">
        <v>3000</v>
      </c>
      <c r="H314" s="88">
        <v>3000</v>
      </c>
      <c r="I314" s="88">
        <v>0</v>
      </c>
      <c r="J314" s="88">
        <v>0</v>
      </c>
      <c r="K314" s="88"/>
      <c r="L314" s="92"/>
      <c r="M314" s="92" t="s">
        <v>166</v>
      </c>
      <c r="N314" t="s">
        <v>4085</v>
      </c>
      <c r="O314" s="26">
        <v>20260818</v>
      </c>
      <c r="P314" s="32">
        <v>202608180000036</v>
      </c>
      <c r="Q314" s="27">
        <v>3000</v>
      </c>
      <c r="R314" s="28"/>
      <c r="S314" s="27" t="s">
        <v>167</v>
      </c>
      <c r="T314" s="27" t="s">
        <v>2341</v>
      </c>
      <c r="U314" s="27">
        <v>148.88999999999999</v>
      </c>
    </row>
    <row r="315" spans="1:21" ht="16.5" hidden="1" customHeight="1" thickBot="1">
      <c r="A315" s="92" t="s">
        <v>162</v>
      </c>
      <c r="B315" s="93">
        <v>46252</v>
      </c>
      <c r="C315" s="92" t="s">
        <v>595</v>
      </c>
      <c r="D315" s="92" t="s">
        <v>596</v>
      </c>
      <c r="E315" s="92"/>
      <c r="F315" s="92" t="s">
        <v>165</v>
      </c>
      <c r="G315" s="88">
        <v>2396</v>
      </c>
      <c r="H315" s="88"/>
      <c r="I315" s="88">
        <v>2396</v>
      </c>
      <c r="J315" s="88">
        <v>0</v>
      </c>
      <c r="K315" s="88"/>
      <c r="L315" s="92"/>
      <c r="M315" s="92" t="s">
        <v>166</v>
      </c>
      <c r="N315"/>
      <c r="O315" s="23">
        <v>20260818</v>
      </c>
      <c r="P315" s="31">
        <v>202608180000037</v>
      </c>
      <c r="Q315" s="24">
        <v>2396</v>
      </c>
      <c r="R315" s="25"/>
      <c r="S315" s="24" t="s">
        <v>167</v>
      </c>
      <c r="T315" s="24" t="s">
        <v>597</v>
      </c>
      <c r="U315" s="24">
        <v>151.286</v>
      </c>
    </row>
    <row r="316" spans="1:21" ht="16.5" hidden="1" customHeight="1" thickBot="1">
      <c r="A316" s="92" t="s">
        <v>162</v>
      </c>
      <c r="B316" s="93">
        <v>46253</v>
      </c>
      <c r="C316" s="92" t="s">
        <v>509</v>
      </c>
      <c r="D316" s="92" t="s">
        <v>510</v>
      </c>
      <c r="E316" s="92"/>
      <c r="F316" s="92" t="s">
        <v>165</v>
      </c>
      <c r="G316" s="88">
        <v>1077</v>
      </c>
      <c r="H316" s="88"/>
      <c r="I316" s="88">
        <v>1077</v>
      </c>
      <c r="J316" s="88">
        <v>0</v>
      </c>
      <c r="K316" s="88"/>
      <c r="L316" s="92"/>
      <c r="M316" s="92" t="s">
        <v>166</v>
      </c>
      <c r="N316"/>
      <c r="O316" s="26">
        <v>20260819</v>
      </c>
      <c r="P316" s="32">
        <v>202608190000001</v>
      </c>
      <c r="Q316" s="27">
        <v>1077</v>
      </c>
      <c r="R316" s="28"/>
      <c r="S316" s="27" t="s">
        <v>167</v>
      </c>
      <c r="T316" s="27" t="s">
        <v>511</v>
      </c>
      <c r="U316" s="27">
        <v>152.363</v>
      </c>
    </row>
    <row r="317" spans="1:21" ht="16.5" customHeight="1" thickBot="1">
      <c r="A317" s="92" t="s">
        <v>180</v>
      </c>
      <c r="B317" s="93">
        <v>46253</v>
      </c>
      <c r="C317" s="92" t="s">
        <v>3088</v>
      </c>
      <c r="D317" s="92" t="s">
        <v>3089</v>
      </c>
      <c r="E317" s="92"/>
      <c r="F317" s="92" t="s">
        <v>179</v>
      </c>
      <c r="G317" s="88">
        <v>3297</v>
      </c>
      <c r="H317" s="88">
        <v>3297</v>
      </c>
      <c r="I317" s="88">
        <v>0</v>
      </c>
      <c r="J317" s="88">
        <v>0</v>
      </c>
      <c r="K317" s="88"/>
      <c r="L317" s="92"/>
      <c r="M317" s="92" t="s">
        <v>175</v>
      </c>
      <c r="N317" t="s">
        <v>4150</v>
      </c>
      <c r="O317" s="23">
        <v>20260819</v>
      </c>
      <c r="P317" s="31">
        <v>202608190000002</v>
      </c>
      <c r="Q317" s="24">
        <v>3297</v>
      </c>
      <c r="R317" s="25"/>
      <c r="S317" s="24" t="s">
        <v>167</v>
      </c>
      <c r="T317" s="24" t="s">
        <v>2457</v>
      </c>
      <c r="U317" s="24">
        <v>155.66</v>
      </c>
    </row>
    <row r="318" spans="1:21" ht="16.5" hidden="1" customHeight="1" thickBot="1">
      <c r="A318" s="92" t="s">
        <v>172</v>
      </c>
      <c r="B318" s="93">
        <v>46253</v>
      </c>
      <c r="C318" s="92" t="s">
        <v>3090</v>
      </c>
      <c r="D318" s="92" t="s">
        <v>3091</v>
      </c>
      <c r="E318" s="92"/>
      <c r="F318" s="92" t="s">
        <v>165</v>
      </c>
      <c r="G318" s="88">
        <v>5215</v>
      </c>
      <c r="H318" s="88">
        <v>3000</v>
      </c>
      <c r="I318" s="88">
        <v>2215</v>
      </c>
      <c r="J318" s="88">
        <v>0</v>
      </c>
      <c r="K318" s="88"/>
      <c r="L318" s="92"/>
      <c r="M318" s="92" t="s">
        <v>175</v>
      </c>
      <c r="N318"/>
      <c r="O318" s="26">
        <v>20260819</v>
      </c>
      <c r="P318" s="32">
        <v>202608190000003</v>
      </c>
      <c r="Q318" s="27">
        <v>5215</v>
      </c>
      <c r="R318" s="28"/>
      <c r="S318" s="27" t="s">
        <v>167</v>
      </c>
      <c r="T318" s="27" t="s">
        <v>2458</v>
      </c>
      <c r="U318" s="27">
        <v>160.875</v>
      </c>
    </row>
    <row r="319" spans="1:21" ht="16.5" customHeight="1" thickBot="1">
      <c r="A319" s="92" t="s">
        <v>172</v>
      </c>
      <c r="B319" s="93">
        <v>46253</v>
      </c>
      <c r="C319" s="92" t="s">
        <v>3092</v>
      </c>
      <c r="D319" s="92" t="s">
        <v>3093</v>
      </c>
      <c r="E319" s="92"/>
      <c r="F319" s="92" t="s">
        <v>179</v>
      </c>
      <c r="G319" s="88">
        <v>3297</v>
      </c>
      <c r="H319" s="88">
        <v>3297</v>
      </c>
      <c r="I319" s="88">
        <v>0</v>
      </c>
      <c r="J319" s="88">
        <v>0</v>
      </c>
      <c r="K319" s="88"/>
      <c r="L319" s="92"/>
      <c r="M319" s="92" t="s">
        <v>175</v>
      </c>
      <c r="N319" t="s">
        <v>4193</v>
      </c>
      <c r="O319" s="23">
        <v>20260819</v>
      </c>
      <c r="P319" s="31">
        <v>202608190000004</v>
      </c>
      <c r="Q319" s="24">
        <v>3297</v>
      </c>
      <c r="R319" s="25"/>
      <c r="S319" s="24" t="s">
        <v>167</v>
      </c>
      <c r="T319" s="24" t="s">
        <v>2459</v>
      </c>
      <c r="U319" s="24">
        <v>164.172</v>
      </c>
    </row>
    <row r="320" spans="1:21" ht="16.5" hidden="1" customHeight="1" thickBot="1">
      <c r="A320" s="92" t="s">
        <v>180</v>
      </c>
      <c r="B320" s="93">
        <v>46253</v>
      </c>
      <c r="C320" s="92" t="s">
        <v>3094</v>
      </c>
      <c r="D320" s="92" t="s">
        <v>3095</v>
      </c>
      <c r="E320" s="92"/>
      <c r="F320" s="92" t="s">
        <v>165</v>
      </c>
      <c r="G320" s="88">
        <v>5217</v>
      </c>
      <c r="H320" s="88">
        <v>3000</v>
      </c>
      <c r="I320" s="88">
        <v>2217</v>
      </c>
      <c r="J320" s="88">
        <v>0</v>
      </c>
      <c r="K320" s="88"/>
      <c r="L320" s="92"/>
      <c r="M320" s="92" t="s">
        <v>175</v>
      </c>
      <c r="N320"/>
      <c r="O320" s="26">
        <v>20260819</v>
      </c>
      <c r="P320" s="32">
        <v>202608190000005</v>
      </c>
      <c r="Q320" s="27">
        <v>5217</v>
      </c>
      <c r="R320" s="28"/>
      <c r="S320" s="27" t="s">
        <v>167</v>
      </c>
      <c r="T320" s="27" t="s">
        <v>2460</v>
      </c>
      <c r="U320" s="27">
        <v>169.38900000000001</v>
      </c>
    </row>
    <row r="321" spans="1:21" ht="16.5" hidden="1" customHeight="1" thickBot="1">
      <c r="A321" s="92" t="s">
        <v>172</v>
      </c>
      <c r="B321" s="93">
        <v>46253</v>
      </c>
      <c r="C321" s="92" t="s">
        <v>3096</v>
      </c>
      <c r="D321" s="92" t="s">
        <v>3097</v>
      </c>
      <c r="E321" s="92"/>
      <c r="F321" s="92" t="s">
        <v>165</v>
      </c>
      <c r="G321" s="88">
        <v>4692</v>
      </c>
      <c r="H321" s="88">
        <v>3000</v>
      </c>
      <c r="I321" s="88">
        <v>1692</v>
      </c>
      <c r="J321" s="88">
        <v>0</v>
      </c>
      <c r="K321" s="88"/>
      <c r="L321" s="92"/>
      <c r="M321" s="92" t="s">
        <v>175</v>
      </c>
      <c r="N321"/>
      <c r="O321" s="23">
        <v>20260819</v>
      </c>
      <c r="P321" s="31">
        <v>202608190000006</v>
      </c>
      <c r="Q321" s="24">
        <v>4692</v>
      </c>
      <c r="R321" s="25"/>
      <c r="S321" s="24" t="s">
        <v>167</v>
      </c>
      <c r="T321" s="24" t="s">
        <v>2461</v>
      </c>
      <c r="U321" s="24">
        <v>174.08099999999999</v>
      </c>
    </row>
    <row r="322" spans="1:21" ht="16.5" hidden="1" customHeight="1" thickBot="1">
      <c r="A322" s="92" t="s">
        <v>172</v>
      </c>
      <c r="B322" s="93">
        <v>46253</v>
      </c>
      <c r="C322" s="92" t="s">
        <v>3098</v>
      </c>
      <c r="D322" s="92" t="s">
        <v>3099</v>
      </c>
      <c r="E322" s="92"/>
      <c r="F322" s="92" t="s">
        <v>165</v>
      </c>
      <c r="G322" s="88">
        <v>5215</v>
      </c>
      <c r="H322" s="88">
        <v>3000</v>
      </c>
      <c r="I322" s="88">
        <v>2215</v>
      </c>
      <c r="J322" s="88">
        <v>0</v>
      </c>
      <c r="K322" s="88"/>
      <c r="L322" s="92"/>
      <c r="M322" s="92" t="s">
        <v>175</v>
      </c>
      <c r="N322"/>
      <c r="O322" s="26">
        <v>20260819</v>
      </c>
      <c r="P322" s="32">
        <v>202608190000007</v>
      </c>
      <c r="Q322" s="27">
        <v>5215</v>
      </c>
      <c r="R322" s="28"/>
      <c r="S322" s="27" t="s">
        <v>167</v>
      </c>
      <c r="T322" s="27" t="s">
        <v>2462</v>
      </c>
      <c r="U322" s="27">
        <v>179.29599999999999</v>
      </c>
    </row>
    <row r="323" spans="1:21" ht="16.5" customHeight="1" thickBot="1">
      <c r="A323" s="92" t="s">
        <v>176</v>
      </c>
      <c r="B323" s="93">
        <v>46253</v>
      </c>
      <c r="C323" s="92" t="s">
        <v>3100</v>
      </c>
      <c r="D323" s="92" t="s">
        <v>3101</v>
      </c>
      <c r="E323" s="92"/>
      <c r="F323" s="92" t="s">
        <v>179</v>
      </c>
      <c r="G323" s="88">
        <v>4290</v>
      </c>
      <c r="H323" s="88">
        <v>4000</v>
      </c>
      <c r="I323" s="88">
        <v>290</v>
      </c>
      <c r="J323" s="88">
        <v>0</v>
      </c>
      <c r="K323" s="88"/>
      <c r="L323" s="92"/>
      <c r="M323" s="92" t="s">
        <v>175</v>
      </c>
      <c r="N323" t="s">
        <v>4169</v>
      </c>
      <c r="O323" s="23">
        <v>20260819</v>
      </c>
      <c r="P323" s="31">
        <v>202608190000008</v>
      </c>
      <c r="Q323" s="24">
        <v>4290</v>
      </c>
      <c r="R323" s="25"/>
      <c r="S323" s="24" t="s">
        <v>167</v>
      </c>
      <c r="T323" s="24" t="s">
        <v>2463</v>
      </c>
      <c r="U323" s="24">
        <v>183.58600000000001</v>
      </c>
    </row>
    <row r="324" spans="1:21" ht="32.25" hidden="1" customHeight="1" thickBot="1">
      <c r="A324" s="92" t="s">
        <v>176</v>
      </c>
      <c r="B324" s="93">
        <v>46253</v>
      </c>
      <c r="C324" s="92" t="s">
        <v>3102</v>
      </c>
      <c r="D324" s="92" t="s">
        <v>3103</v>
      </c>
      <c r="E324" s="92"/>
      <c r="F324" s="92" t="s">
        <v>165</v>
      </c>
      <c r="G324" s="88">
        <v>8295</v>
      </c>
      <c r="H324" s="88">
        <v>3000</v>
      </c>
      <c r="I324" s="88">
        <v>5295</v>
      </c>
      <c r="J324" s="88">
        <v>0</v>
      </c>
      <c r="K324" s="88"/>
      <c r="L324" s="92"/>
      <c r="M324" s="92" t="s">
        <v>175</v>
      </c>
      <c r="N324"/>
      <c r="O324" s="26">
        <v>20260819</v>
      </c>
      <c r="P324" s="32">
        <v>202608190000009</v>
      </c>
      <c r="Q324" s="27">
        <v>8295</v>
      </c>
      <c r="R324" s="28"/>
      <c r="S324" s="27" t="s">
        <v>167</v>
      </c>
      <c r="T324" s="27" t="s">
        <v>2464</v>
      </c>
      <c r="U324" s="27">
        <v>191.881</v>
      </c>
    </row>
    <row r="325" spans="1:21" ht="16.5" customHeight="1" thickBot="1">
      <c r="A325" s="92" t="s">
        <v>176</v>
      </c>
      <c r="B325" s="93">
        <v>46253</v>
      </c>
      <c r="C325" s="92" t="s">
        <v>3104</v>
      </c>
      <c r="D325" s="92" t="s">
        <v>3105</v>
      </c>
      <c r="E325" s="92"/>
      <c r="F325" s="92" t="s">
        <v>179</v>
      </c>
      <c r="G325" s="88">
        <v>4290</v>
      </c>
      <c r="H325" s="88">
        <v>4000</v>
      </c>
      <c r="I325" s="88">
        <v>290</v>
      </c>
      <c r="J325" s="88">
        <v>0</v>
      </c>
      <c r="K325" s="88"/>
      <c r="L325" s="92"/>
      <c r="M325" s="92" t="s">
        <v>175</v>
      </c>
      <c r="N325" t="s">
        <v>4204</v>
      </c>
      <c r="O325" s="23">
        <v>20260819</v>
      </c>
      <c r="P325" s="31">
        <v>202608190000010</v>
      </c>
      <c r="Q325" s="24">
        <v>4290</v>
      </c>
      <c r="R325" s="25"/>
      <c r="S325" s="24" t="s">
        <v>167</v>
      </c>
      <c r="T325" s="24" t="s">
        <v>2465</v>
      </c>
      <c r="U325" s="24">
        <v>196.17099999999999</v>
      </c>
    </row>
    <row r="326" spans="1:21" ht="16.5" hidden="1" customHeight="1" thickBot="1">
      <c r="A326" s="92" t="s">
        <v>172</v>
      </c>
      <c r="B326" s="93">
        <v>46253</v>
      </c>
      <c r="C326" s="92" t="s">
        <v>3106</v>
      </c>
      <c r="D326" s="92" t="s">
        <v>3107</v>
      </c>
      <c r="E326" s="92"/>
      <c r="F326" s="92" t="s">
        <v>165</v>
      </c>
      <c r="G326" s="88">
        <v>5215</v>
      </c>
      <c r="H326" s="88">
        <v>3000</v>
      </c>
      <c r="I326" s="88">
        <v>2215</v>
      </c>
      <c r="J326" s="88">
        <v>0</v>
      </c>
      <c r="K326" s="88"/>
      <c r="L326" s="92"/>
      <c r="M326" s="92" t="s">
        <v>175</v>
      </c>
      <c r="N326"/>
      <c r="O326" s="26">
        <v>20260819</v>
      </c>
      <c r="P326" s="32">
        <v>202608190000011</v>
      </c>
      <c r="Q326" s="27">
        <v>5215</v>
      </c>
      <c r="R326" s="28"/>
      <c r="S326" s="27" t="s">
        <v>167</v>
      </c>
      <c r="T326" s="27" t="s">
        <v>2466</v>
      </c>
      <c r="U326" s="27">
        <v>201.386</v>
      </c>
    </row>
    <row r="327" spans="1:21" ht="16.5" hidden="1" customHeight="1" thickBot="1">
      <c r="A327" s="92" t="s">
        <v>172</v>
      </c>
      <c r="B327" s="93">
        <v>46253</v>
      </c>
      <c r="C327" s="92" t="s">
        <v>3108</v>
      </c>
      <c r="D327" s="92" t="s">
        <v>3109</v>
      </c>
      <c r="E327" s="92"/>
      <c r="F327" s="92" t="s">
        <v>165</v>
      </c>
      <c r="G327" s="88">
        <v>4690</v>
      </c>
      <c r="H327" s="88">
        <v>3000</v>
      </c>
      <c r="I327" s="88">
        <v>1690</v>
      </c>
      <c r="J327" s="88">
        <v>0</v>
      </c>
      <c r="K327" s="88"/>
      <c r="L327" s="92"/>
      <c r="M327" s="92" t="s">
        <v>175</v>
      </c>
      <c r="O327" s="23">
        <v>20260819</v>
      </c>
      <c r="P327" s="31">
        <v>202608190000012</v>
      </c>
      <c r="Q327" s="24">
        <v>4690</v>
      </c>
      <c r="R327" s="25"/>
      <c r="S327" s="24" t="s">
        <v>167</v>
      </c>
      <c r="T327" s="24" t="s">
        <v>2467</v>
      </c>
      <c r="U327" s="24">
        <v>206.07599999999999</v>
      </c>
    </row>
    <row r="328" spans="1:21" ht="16.5" hidden="1" customHeight="1" thickBot="1">
      <c r="A328" s="92" t="s">
        <v>162</v>
      </c>
      <c r="B328" s="93">
        <v>46253</v>
      </c>
      <c r="C328" s="92" t="s">
        <v>717</v>
      </c>
      <c r="D328" s="92" t="s">
        <v>718</v>
      </c>
      <c r="E328" s="92"/>
      <c r="F328" s="92" t="s">
        <v>165</v>
      </c>
      <c r="G328" s="88">
        <v>3850</v>
      </c>
      <c r="H328" s="88"/>
      <c r="I328" s="88">
        <v>3850</v>
      </c>
      <c r="J328" s="88">
        <v>0</v>
      </c>
      <c r="K328" s="88"/>
      <c r="L328" s="92"/>
      <c r="M328" s="92" t="s">
        <v>166</v>
      </c>
      <c r="N328"/>
      <c r="O328" s="26">
        <v>20260819</v>
      </c>
      <c r="P328" s="32">
        <v>202608190000013</v>
      </c>
      <c r="Q328" s="27">
        <v>3850</v>
      </c>
      <c r="R328" s="28"/>
      <c r="S328" s="27" t="s">
        <v>167</v>
      </c>
      <c r="T328" s="27" t="s">
        <v>608</v>
      </c>
      <c r="U328" s="27">
        <v>209.92599999999999</v>
      </c>
    </row>
    <row r="329" spans="1:21" ht="16.5" customHeight="1" thickBot="1">
      <c r="A329" s="92" t="s">
        <v>176</v>
      </c>
      <c r="B329" s="93">
        <v>46253</v>
      </c>
      <c r="C329" s="92" t="s">
        <v>391</v>
      </c>
      <c r="D329" s="92" t="s">
        <v>392</v>
      </c>
      <c r="E329" s="92"/>
      <c r="F329" s="92" t="s">
        <v>179</v>
      </c>
      <c r="G329" s="88">
        <v>6850</v>
      </c>
      <c r="H329" s="88">
        <v>6850</v>
      </c>
      <c r="I329" s="88">
        <v>0</v>
      </c>
      <c r="J329" s="88">
        <v>0</v>
      </c>
      <c r="K329" s="88"/>
      <c r="L329" s="92"/>
      <c r="M329" s="92" t="s">
        <v>175</v>
      </c>
      <c r="N329" t="s">
        <v>4166</v>
      </c>
      <c r="O329" s="26">
        <v>20260819</v>
      </c>
      <c r="P329" s="32">
        <v>202608190000014</v>
      </c>
      <c r="Q329" s="27">
        <v>6850</v>
      </c>
      <c r="R329" s="28"/>
      <c r="S329" s="27" t="s">
        <v>167</v>
      </c>
      <c r="T329" s="27" t="s">
        <v>308</v>
      </c>
      <c r="U329" s="27">
        <v>216.77600000000001</v>
      </c>
    </row>
    <row r="330" spans="1:21" ht="16.5" hidden="1" customHeight="1" thickBot="1">
      <c r="A330" s="92" t="s">
        <v>162</v>
      </c>
      <c r="B330" s="93">
        <v>46253</v>
      </c>
      <c r="C330" s="92" t="s">
        <v>733</v>
      </c>
      <c r="D330" s="92" t="s">
        <v>450</v>
      </c>
      <c r="E330" s="92"/>
      <c r="F330" s="92" t="s">
        <v>165</v>
      </c>
      <c r="G330" s="88">
        <v>3850</v>
      </c>
      <c r="H330" s="88"/>
      <c r="I330" s="88">
        <v>3850</v>
      </c>
      <c r="J330" s="88">
        <v>0</v>
      </c>
      <c r="K330" s="88"/>
      <c r="L330" s="92"/>
      <c r="M330" s="92" t="s">
        <v>166</v>
      </c>
      <c r="N330"/>
      <c r="O330" s="23">
        <v>20260819</v>
      </c>
      <c r="P330" s="31">
        <v>202608190000015</v>
      </c>
      <c r="Q330" s="24">
        <v>3850</v>
      </c>
      <c r="R330" s="25"/>
      <c r="S330" s="24" t="s">
        <v>167</v>
      </c>
      <c r="T330" s="24" t="s">
        <v>220</v>
      </c>
      <c r="U330" s="24">
        <v>220.626</v>
      </c>
    </row>
    <row r="331" spans="1:21" ht="16.5" hidden="1" customHeight="1" thickBot="1">
      <c r="A331" s="92" t="s">
        <v>162</v>
      </c>
      <c r="B331" s="93">
        <v>46253</v>
      </c>
      <c r="C331" s="92" t="s">
        <v>585</v>
      </c>
      <c r="D331" s="92" t="s">
        <v>586</v>
      </c>
      <c r="E331" s="92"/>
      <c r="F331" s="92" t="s">
        <v>165</v>
      </c>
      <c r="G331" s="88">
        <v>3909</v>
      </c>
      <c r="H331" s="88"/>
      <c r="I331" s="88">
        <v>3909</v>
      </c>
      <c r="J331" s="88">
        <v>0</v>
      </c>
      <c r="K331" s="88"/>
      <c r="L331" s="92"/>
      <c r="M331" s="92" t="s">
        <v>166</v>
      </c>
      <c r="O331" s="26">
        <v>20260819</v>
      </c>
      <c r="P331" s="32">
        <v>202608190000016</v>
      </c>
      <c r="Q331" s="27">
        <v>3909</v>
      </c>
      <c r="R331" s="28"/>
      <c r="S331" s="27" t="s">
        <v>167</v>
      </c>
      <c r="T331" s="27" t="s">
        <v>264</v>
      </c>
      <c r="U331" s="27">
        <v>224.535</v>
      </c>
    </row>
    <row r="332" spans="1:21" ht="16.5" hidden="1" customHeight="1" thickBot="1">
      <c r="A332" s="92" t="s">
        <v>162</v>
      </c>
      <c r="B332" s="93">
        <v>46253</v>
      </c>
      <c r="C332" s="92" t="s">
        <v>446</v>
      </c>
      <c r="D332" s="92" t="s">
        <v>447</v>
      </c>
      <c r="E332" s="92"/>
      <c r="F332" s="92" t="s">
        <v>165</v>
      </c>
      <c r="G332" s="88">
        <v>3850</v>
      </c>
      <c r="H332" s="88"/>
      <c r="I332" s="88">
        <v>3850</v>
      </c>
      <c r="J332" s="88">
        <v>0</v>
      </c>
      <c r="K332" s="88"/>
      <c r="L332" s="92"/>
      <c r="M332" s="92" t="s">
        <v>166</v>
      </c>
      <c r="N332"/>
      <c r="O332" s="23">
        <v>20260819</v>
      </c>
      <c r="P332" s="31">
        <v>202608190000017</v>
      </c>
      <c r="Q332" s="24">
        <v>3850</v>
      </c>
      <c r="R332" s="25"/>
      <c r="S332" s="24" t="s">
        <v>167</v>
      </c>
      <c r="T332" s="24">
        <v>12299</v>
      </c>
      <c r="U332" s="24">
        <v>228.38499999999999</v>
      </c>
    </row>
    <row r="333" spans="1:21" ht="16.5" hidden="1" customHeight="1" thickBot="1">
      <c r="A333" s="92" t="s">
        <v>162</v>
      </c>
      <c r="B333" s="93">
        <v>46253</v>
      </c>
      <c r="C333" s="92" t="s">
        <v>483</v>
      </c>
      <c r="D333" s="92" t="s">
        <v>484</v>
      </c>
      <c r="E333" s="92"/>
      <c r="F333" s="92" t="s">
        <v>165</v>
      </c>
      <c r="G333" s="88">
        <v>4200</v>
      </c>
      <c r="H333" s="88"/>
      <c r="I333" s="88">
        <v>4200</v>
      </c>
      <c r="J333" s="88">
        <v>0</v>
      </c>
      <c r="K333" s="88"/>
      <c r="L333" s="92"/>
      <c r="M333" s="92" t="s">
        <v>166</v>
      </c>
      <c r="N333"/>
      <c r="O333" s="26">
        <v>20260819</v>
      </c>
      <c r="P333" s="32">
        <v>202608190000018</v>
      </c>
      <c r="Q333" s="27">
        <v>4200</v>
      </c>
      <c r="R333" s="28"/>
      <c r="S333" s="27" t="s">
        <v>167</v>
      </c>
      <c r="T333" s="27" t="s">
        <v>323</v>
      </c>
      <c r="U333" s="27">
        <v>232.58500000000001</v>
      </c>
    </row>
    <row r="334" spans="1:21" ht="16.5" hidden="1" customHeight="1" thickBot="1">
      <c r="A334" s="92" t="s">
        <v>162</v>
      </c>
      <c r="B334" s="93">
        <v>46253</v>
      </c>
      <c r="C334" s="92" t="s">
        <v>1104</v>
      </c>
      <c r="D334" s="92" t="s">
        <v>1105</v>
      </c>
      <c r="E334" s="92"/>
      <c r="F334" s="92" t="s">
        <v>165</v>
      </c>
      <c r="G334" s="88">
        <v>3850</v>
      </c>
      <c r="H334" s="88"/>
      <c r="I334" s="88">
        <v>3850</v>
      </c>
      <c r="J334" s="88">
        <v>0</v>
      </c>
      <c r="K334" s="88"/>
      <c r="L334" s="92"/>
      <c r="M334" s="92" t="s">
        <v>166</v>
      </c>
      <c r="N334"/>
      <c r="O334" s="23">
        <v>20260819</v>
      </c>
      <c r="P334" s="31">
        <v>202608190000019</v>
      </c>
      <c r="Q334" s="24">
        <v>3850</v>
      </c>
      <c r="R334" s="25"/>
      <c r="S334" s="24" t="s">
        <v>167</v>
      </c>
      <c r="T334" s="24" t="s">
        <v>2468</v>
      </c>
      <c r="U334" s="24">
        <v>236.435</v>
      </c>
    </row>
    <row r="335" spans="1:21" ht="16.5" hidden="1" customHeight="1" thickBot="1">
      <c r="A335" s="92" t="s">
        <v>172</v>
      </c>
      <c r="B335" s="93">
        <v>46253</v>
      </c>
      <c r="C335" s="92" t="s">
        <v>351</v>
      </c>
      <c r="D335" s="92" t="s">
        <v>352</v>
      </c>
      <c r="E335" s="92"/>
      <c r="F335" s="92" t="s">
        <v>165</v>
      </c>
      <c r="G335" s="88">
        <v>10507</v>
      </c>
      <c r="H335" s="88">
        <v>3000</v>
      </c>
      <c r="I335" s="88">
        <v>7507</v>
      </c>
      <c r="J335" s="88">
        <v>0</v>
      </c>
      <c r="K335" s="88"/>
      <c r="L335" s="92"/>
      <c r="M335" s="92" t="s">
        <v>175</v>
      </c>
      <c r="N335"/>
      <c r="O335" s="26">
        <v>20260819</v>
      </c>
      <c r="P335" s="32">
        <v>202608190000020</v>
      </c>
      <c r="Q335" s="27">
        <v>10507</v>
      </c>
      <c r="R335" s="28"/>
      <c r="S335" s="27" t="s">
        <v>167</v>
      </c>
      <c r="T335" s="27" t="s">
        <v>862</v>
      </c>
      <c r="U335" s="27">
        <v>246.94200000000001</v>
      </c>
    </row>
    <row r="336" spans="1:21" ht="16.5" customHeight="1" thickBot="1">
      <c r="A336" s="92" t="s">
        <v>176</v>
      </c>
      <c r="B336" s="93">
        <v>46253</v>
      </c>
      <c r="C336" s="92" t="s">
        <v>214</v>
      </c>
      <c r="D336" s="92" t="s">
        <v>215</v>
      </c>
      <c r="E336" s="92"/>
      <c r="F336" s="92" t="s">
        <v>179</v>
      </c>
      <c r="G336" s="88">
        <v>6850</v>
      </c>
      <c r="H336" s="88">
        <v>6850</v>
      </c>
      <c r="I336" s="88">
        <v>0</v>
      </c>
      <c r="J336" s="88">
        <v>0</v>
      </c>
      <c r="K336" s="88"/>
      <c r="L336" s="92"/>
      <c r="M336" s="92" t="s">
        <v>175</v>
      </c>
      <c r="N336" t="s">
        <v>4263</v>
      </c>
      <c r="O336" s="23">
        <v>20260819</v>
      </c>
      <c r="P336" s="31">
        <v>202608190000021</v>
      </c>
      <c r="Q336" s="24">
        <v>6850</v>
      </c>
      <c r="R336" s="25"/>
      <c r="S336" s="24" t="s">
        <v>167</v>
      </c>
      <c r="T336" s="24" t="s">
        <v>2469</v>
      </c>
      <c r="U336" s="24">
        <v>253.792</v>
      </c>
    </row>
    <row r="337" spans="1:21" ht="16.5" customHeight="1" thickBot="1">
      <c r="A337" s="92" t="s">
        <v>162</v>
      </c>
      <c r="B337" s="93">
        <v>46253</v>
      </c>
      <c r="C337" s="92" t="e">
        <v>#N/A</v>
      </c>
      <c r="D337" s="92"/>
      <c r="E337" s="92"/>
      <c r="F337" s="92" t="s">
        <v>179</v>
      </c>
      <c r="G337" s="88">
        <v>2000</v>
      </c>
      <c r="H337" s="88">
        <v>2000</v>
      </c>
      <c r="I337" s="88">
        <v>0</v>
      </c>
      <c r="J337" s="88">
        <v>0</v>
      </c>
      <c r="K337" s="88"/>
      <c r="L337" s="92"/>
      <c r="M337" s="92" t="s">
        <v>166</v>
      </c>
      <c r="N337" t="s">
        <v>4093</v>
      </c>
      <c r="O337" s="26">
        <v>20260819</v>
      </c>
      <c r="P337" s="32">
        <v>202608190000022</v>
      </c>
      <c r="Q337" s="27">
        <v>2000</v>
      </c>
      <c r="R337" s="28"/>
      <c r="S337" s="27" t="s">
        <v>167</v>
      </c>
      <c r="T337" s="27" t="s">
        <v>2470</v>
      </c>
      <c r="U337" s="27">
        <v>255.792</v>
      </c>
    </row>
    <row r="338" spans="1:21" ht="16.5" hidden="1" customHeight="1" thickBot="1">
      <c r="A338" s="92" t="s">
        <v>162</v>
      </c>
      <c r="B338" s="93">
        <v>46253</v>
      </c>
      <c r="C338" s="92" t="s">
        <v>218</v>
      </c>
      <c r="D338" s="92" t="s">
        <v>219</v>
      </c>
      <c r="E338" s="92"/>
      <c r="F338" s="92" t="s">
        <v>165</v>
      </c>
      <c r="G338" s="88">
        <v>3850</v>
      </c>
      <c r="H338" s="88"/>
      <c r="I338" s="88">
        <v>3850</v>
      </c>
      <c r="J338" s="88">
        <v>0</v>
      </c>
      <c r="K338" s="88"/>
      <c r="L338" s="92"/>
      <c r="M338" s="92" t="s">
        <v>166</v>
      </c>
      <c r="N338"/>
      <c r="O338" s="23">
        <v>20260819</v>
      </c>
      <c r="P338" s="31">
        <v>202608190000023</v>
      </c>
      <c r="Q338" s="24">
        <v>3850</v>
      </c>
      <c r="R338" s="25"/>
      <c r="S338" s="24" t="s">
        <v>167</v>
      </c>
      <c r="T338" s="24" t="s">
        <v>417</v>
      </c>
      <c r="U338" s="24">
        <v>259.642</v>
      </c>
    </row>
    <row r="339" spans="1:21" ht="16.5" hidden="1" customHeight="1" thickBot="1">
      <c r="A339" s="92" t="s">
        <v>162</v>
      </c>
      <c r="B339" s="93">
        <v>46253</v>
      </c>
      <c r="C339" s="92" t="s">
        <v>969</v>
      </c>
      <c r="D339" s="92" t="s">
        <v>970</v>
      </c>
      <c r="E339" s="92"/>
      <c r="F339" s="92" t="s">
        <v>165</v>
      </c>
      <c r="G339" s="88">
        <v>4200</v>
      </c>
      <c r="H339" s="88"/>
      <c r="I339" s="88">
        <v>4200</v>
      </c>
      <c r="J339" s="88">
        <v>0</v>
      </c>
      <c r="K339" s="88"/>
      <c r="L339" s="92"/>
      <c r="M339" s="92" t="s">
        <v>166</v>
      </c>
      <c r="N339"/>
      <c r="O339" s="20">
        <v>20260819</v>
      </c>
      <c r="P339" s="30">
        <v>202608190000024</v>
      </c>
      <c r="Q339" s="21">
        <v>4200</v>
      </c>
      <c r="R339" s="22"/>
      <c r="S339" s="21" t="s">
        <v>359</v>
      </c>
      <c r="T339" s="21" t="s">
        <v>1006</v>
      </c>
      <c r="U339" s="21">
        <v>263.84199999999998</v>
      </c>
    </row>
    <row r="340" spans="1:21" ht="16.5" hidden="1" customHeight="1" thickBot="1">
      <c r="A340" s="92" t="s">
        <v>162</v>
      </c>
      <c r="B340" s="93">
        <v>46253</v>
      </c>
      <c r="C340" s="92" t="s">
        <v>604</v>
      </c>
      <c r="D340" s="92" t="s">
        <v>605</v>
      </c>
      <c r="E340" s="92"/>
      <c r="F340" s="92" t="s">
        <v>165</v>
      </c>
      <c r="G340" s="88">
        <v>3850</v>
      </c>
      <c r="H340" s="88"/>
      <c r="I340" s="88">
        <v>3850</v>
      </c>
      <c r="J340" s="88">
        <v>0</v>
      </c>
      <c r="K340" s="88"/>
      <c r="L340" s="92"/>
      <c r="M340" s="92" t="s">
        <v>166</v>
      </c>
      <c r="N340"/>
      <c r="O340" s="23">
        <v>20260819</v>
      </c>
      <c r="P340" s="31">
        <v>202608190000025</v>
      </c>
      <c r="Q340" s="24">
        <v>3850</v>
      </c>
      <c r="R340" s="25"/>
      <c r="S340" s="24" t="s">
        <v>167</v>
      </c>
      <c r="T340" s="24" t="s">
        <v>208</v>
      </c>
      <c r="U340" s="24">
        <v>267.69200000000001</v>
      </c>
    </row>
    <row r="341" spans="1:21" ht="16.5" hidden="1" customHeight="1" thickBot="1">
      <c r="A341" s="92" t="s">
        <v>162</v>
      </c>
      <c r="B341" s="93">
        <v>46253</v>
      </c>
      <c r="C341" s="92" t="s">
        <v>701</v>
      </c>
      <c r="D341" s="92" t="s">
        <v>702</v>
      </c>
      <c r="E341" s="92"/>
      <c r="F341" s="92" t="s">
        <v>165</v>
      </c>
      <c r="G341" s="88">
        <v>3850</v>
      </c>
      <c r="H341" s="88"/>
      <c r="I341" s="88">
        <v>3850</v>
      </c>
      <c r="J341" s="88">
        <v>0</v>
      </c>
      <c r="K341" s="88"/>
      <c r="L341" s="92"/>
      <c r="M341" s="92" t="s">
        <v>166</v>
      </c>
      <c r="N341"/>
      <c r="O341" s="26">
        <v>20260819</v>
      </c>
      <c r="P341" s="32">
        <v>202608190000026</v>
      </c>
      <c r="Q341" s="27">
        <v>3850</v>
      </c>
      <c r="R341" s="28"/>
      <c r="S341" s="27" t="s">
        <v>167</v>
      </c>
      <c r="T341" s="27" t="s">
        <v>820</v>
      </c>
      <c r="U341" s="27">
        <v>271.54199999999997</v>
      </c>
    </row>
    <row r="342" spans="1:21" ht="16.5" customHeight="1" thickBot="1">
      <c r="A342" s="92" t="s">
        <v>3293</v>
      </c>
      <c r="B342" s="93">
        <v>46253</v>
      </c>
      <c r="C342" s="92" t="s">
        <v>3086</v>
      </c>
      <c r="D342" s="92" t="s">
        <v>3087</v>
      </c>
      <c r="E342" s="92"/>
      <c r="F342" s="92" t="s">
        <v>179</v>
      </c>
      <c r="G342" s="88">
        <v>7000</v>
      </c>
      <c r="H342" s="88">
        <v>7000</v>
      </c>
      <c r="I342" s="88">
        <v>0</v>
      </c>
      <c r="J342" s="88">
        <v>0</v>
      </c>
      <c r="K342" s="88"/>
      <c r="L342" s="92"/>
      <c r="M342" s="92" t="s">
        <v>175</v>
      </c>
      <c r="N342" t="s">
        <v>4175</v>
      </c>
      <c r="O342" s="23">
        <v>20260819</v>
      </c>
      <c r="P342" s="31">
        <v>202608190000027</v>
      </c>
      <c r="Q342" s="24">
        <v>7000</v>
      </c>
      <c r="R342" s="25"/>
      <c r="S342" s="24" t="s">
        <v>167</v>
      </c>
      <c r="T342" s="24" t="s">
        <v>940</v>
      </c>
      <c r="U342" s="24">
        <v>278.54199999999997</v>
      </c>
    </row>
    <row r="343" spans="1:21" ht="16.5" hidden="1" customHeight="1" thickBot="1">
      <c r="A343" s="92" t="s">
        <v>162</v>
      </c>
      <c r="B343" s="93">
        <v>46253</v>
      </c>
      <c r="C343" s="92" t="s">
        <v>2871</v>
      </c>
      <c r="D343" s="92" t="s">
        <v>2872</v>
      </c>
      <c r="E343" s="92"/>
      <c r="F343" s="92" t="s">
        <v>165</v>
      </c>
      <c r="G343" s="88">
        <v>2200</v>
      </c>
      <c r="H343" s="88"/>
      <c r="I343" s="88">
        <v>2200</v>
      </c>
      <c r="J343" s="88">
        <v>0</v>
      </c>
      <c r="K343" s="88"/>
      <c r="L343" s="92"/>
      <c r="M343" s="92" t="s">
        <v>166</v>
      </c>
      <c r="N343"/>
      <c r="O343" s="26">
        <v>20260819</v>
      </c>
      <c r="P343" s="32">
        <v>202608190000028</v>
      </c>
      <c r="Q343" s="27">
        <v>2200</v>
      </c>
      <c r="R343" s="28"/>
      <c r="S343" s="27" t="s">
        <v>184</v>
      </c>
      <c r="T343" s="27" t="s">
        <v>2199</v>
      </c>
      <c r="U343" s="27">
        <v>280.74200000000002</v>
      </c>
    </row>
    <row r="344" spans="1:21" ht="16.5" hidden="1" customHeight="1" thickBot="1">
      <c r="A344" s="92" t="s">
        <v>162</v>
      </c>
      <c r="B344" s="93">
        <v>46253</v>
      </c>
      <c r="C344" s="92" t="s">
        <v>517</v>
      </c>
      <c r="D344" s="92" t="s">
        <v>518</v>
      </c>
      <c r="E344" s="92"/>
      <c r="F344" s="92" t="s">
        <v>165</v>
      </c>
      <c r="G344" s="88">
        <v>4000</v>
      </c>
      <c r="H344" s="88"/>
      <c r="I344" s="88">
        <v>4000</v>
      </c>
      <c r="J344" s="88">
        <v>0</v>
      </c>
      <c r="K344" s="88"/>
      <c r="L344" s="92"/>
      <c r="M344" s="92" t="s">
        <v>166</v>
      </c>
      <c r="N344"/>
      <c r="O344" s="23">
        <v>20260819</v>
      </c>
      <c r="P344" s="31">
        <v>202608190000029</v>
      </c>
      <c r="Q344" s="24">
        <v>4000</v>
      </c>
      <c r="R344" s="25"/>
      <c r="S344" s="24" t="s">
        <v>167</v>
      </c>
      <c r="T344" s="24" t="s">
        <v>2471</v>
      </c>
      <c r="U344" s="24">
        <v>284.74200000000002</v>
      </c>
    </row>
    <row r="345" spans="1:21" ht="16.5" hidden="1" customHeight="1" thickBot="1">
      <c r="A345" s="92" t="s">
        <v>172</v>
      </c>
      <c r="B345" s="93">
        <v>46253</v>
      </c>
      <c r="C345" s="92" t="s">
        <v>3110</v>
      </c>
      <c r="D345" s="92" t="s">
        <v>3111</v>
      </c>
      <c r="E345" s="92"/>
      <c r="F345" s="92" t="s">
        <v>165</v>
      </c>
      <c r="G345" s="88">
        <v>8500</v>
      </c>
      <c r="H345" s="88">
        <v>4000</v>
      </c>
      <c r="I345" s="88">
        <v>4500</v>
      </c>
      <c r="J345" s="88">
        <v>0</v>
      </c>
      <c r="K345" s="88"/>
      <c r="L345" s="92"/>
      <c r="M345" s="92" t="s">
        <v>175</v>
      </c>
      <c r="N345"/>
      <c r="O345" s="26">
        <v>20260819</v>
      </c>
      <c r="P345" s="32">
        <v>202608190000030</v>
      </c>
      <c r="Q345" s="27">
        <v>8500</v>
      </c>
      <c r="R345" s="28"/>
      <c r="S345" s="27" t="s">
        <v>167</v>
      </c>
      <c r="T345" s="27" t="s">
        <v>208</v>
      </c>
      <c r="U345" s="27">
        <v>293.24200000000002</v>
      </c>
    </row>
    <row r="346" spans="1:21" ht="16.5" hidden="1" customHeight="1" thickBot="1">
      <c r="A346" s="92" t="s">
        <v>162</v>
      </c>
      <c r="B346" s="93">
        <v>46253</v>
      </c>
      <c r="C346" s="92" t="s">
        <v>978</v>
      </c>
      <c r="D346" s="92" t="s">
        <v>979</v>
      </c>
      <c r="E346" s="92"/>
      <c r="F346" s="92" t="s">
        <v>165</v>
      </c>
      <c r="G346" s="88">
        <v>2800</v>
      </c>
      <c r="H346" s="88"/>
      <c r="I346" s="88">
        <v>2800</v>
      </c>
      <c r="J346" s="88">
        <v>0</v>
      </c>
      <c r="K346" s="88"/>
      <c r="L346" s="92"/>
      <c r="M346" s="92" t="s">
        <v>166</v>
      </c>
      <c r="N346"/>
      <c r="O346" s="23">
        <v>20260819</v>
      </c>
      <c r="P346" s="31">
        <v>202608190000031</v>
      </c>
      <c r="Q346" s="24">
        <v>2800</v>
      </c>
      <c r="R346" s="25"/>
      <c r="S346" s="24" t="s">
        <v>167</v>
      </c>
      <c r="T346" s="24" t="s">
        <v>239</v>
      </c>
      <c r="U346" s="24">
        <v>296.04199999999997</v>
      </c>
    </row>
    <row r="347" spans="1:21" ht="16.5" hidden="1" customHeight="1" thickBot="1">
      <c r="A347" s="92" t="s">
        <v>162</v>
      </c>
      <c r="B347" s="93">
        <v>46253</v>
      </c>
      <c r="C347" s="92" t="s">
        <v>611</v>
      </c>
      <c r="D347" s="92" t="s">
        <v>612</v>
      </c>
      <c r="E347" s="92"/>
      <c r="F347" s="92" t="s">
        <v>165</v>
      </c>
      <c r="G347" s="88">
        <v>3850</v>
      </c>
      <c r="H347" s="88"/>
      <c r="I347" s="88">
        <v>3850</v>
      </c>
      <c r="J347" s="88">
        <v>0</v>
      </c>
      <c r="K347" s="88"/>
      <c r="L347" s="92"/>
      <c r="M347" s="92" t="s">
        <v>166</v>
      </c>
      <c r="N347"/>
      <c r="O347" s="26">
        <v>20260819</v>
      </c>
      <c r="P347" s="32">
        <v>202608190000032</v>
      </c>
      <c r="Q347" s="27">
        <v>3850</v>
      </c>
      <c r="R347" s="28"/>
      <c r="S347" s="27" t="s">
        <v>167</v>
      </c>
      <c r="T347" s="27" t="s">
        <v>633</v>
      </c>
      <c r="U347" s="27">
        <v>299.892</v>
      </c>
    </row>
    <row r="348" spans="1:21" ht="16.5" hidden="1" customHeight="1" thickBot="1">
      <c r="A348" s="92" t="s">
        <v>162</v>
      </c>
      <c r="B348" s="93">
        <v>46253</v>
      </c>
      <c r="C348" s="92" t="s">
        <v>818</v>
      </c>
      <c r="D348" s="92" t="s">
        <v>819</v>
      </c>
      <c r="E348" s="92"/>
      <c r="F348" s="92" t="s">
        <v>165</v>
      </c>
      <c r="G348" s="88">
        <v>3850</v>
      </c>
      <c r="H348" s="88"/>
      <c r="I348" s="88">
        <v>3850</v>
      </c>
      <c r="J348" s="88">
        <v>0</v>
      </c>
      <c r="K348" s="88"/>
      <c r="L348" s="92"/>
      <c r="M348" s="92" t="s">
        <v>166</v>
      </c>
      <c r="N348"/>
      <c r="O348" s="23">
        <v>20260819</v>
      </c>
      <c r="P348" s="31">
        <v>202608190000033</v>
      </c>
      <c r="Q348" s="24">
        <v>3850</v>
      </c>
      <c r="R348" s="25"/>
      <c r="S348" s="24" t="s">
        <v>359</v>
      </c>
      <c r="T348" s="24" t="s">
        <v>703</v>
      </c>
      <c r="U348" s="24">
        <v>303.74200000000002</v>
      </c>
    </row>
    <row r="349" spans="1:21" ht="16.5" hidden="1" customHeight="1" thickBot="1">
      <c r="A349" s="92" t="s">
        <v>162</v>
      </c>
      <c r="B349" s="93">
        <v>46253</v>
      </c>
      <c r="C349" s="92" t="s">
        <v>631</v>
      </c>
      <c r="D349" s="92" t="s">
        <v>632</v>
      </c>
      <c r="E349" s="92"/>
      <c r="F349" s="92" t="s">
        <v>165</v>
      </c>
      <c r="G349" s="88">
        <v>3850</v>
      </c>
      <c r="H349" s="88"/>
      <c r="I349" s="88">
        <v>3850</v>
      </c>
      <c r="J349" s="88">
        <v>0</v>
      </c>
      <c r="K349" s="88"/>
      <c r="L349" s="92"/>
      <c r="M349" s="92" t="s">
        <v>166</v>
      </c>
      <c r="N349"/>
      <c r="O349" s="26">
        <v>20260819</v>
      </c>
      <c r="P349" s="32">
        <v>202608190000034</v>
      </c>
      <c r="Q349" s="27">
        <v>3850</v>
      </c>
      <c r="R349" s="28"/>
      <c r="S349" s="27" t="s">
        <v>167</v>
      </c>
      <c r="T349" s="27" t="s">
        <v>239</v>
      </c>
      <c r="U349" s="27">
        <v>307.59199999999998</v>
      </c>
    </row>
    <row r="350" spans="1:21" ht="32.25" hidden="1" customHeight="1" thickBot="1">
      <c r="A350" s="92" t="s">
        <v>162</v>
      </c>
      <c r="B350" s="93">
        <v>46253</v>
      </c>
      <c r="C350" s="92" t="s">
        <v>839</v>
      </c>
      <c r="D350" s="92" t="s">
        <v>840</v>
      </c>
      <c r="E350" s="92"/>
      <c r="F350" s="92" t="s">
        <v>165</v>
      </c>
      <c r="G350" s="88">
        <v>3900</v>
      </c>
      <c r="H350" s="88"/>
      <c r="I350" s="88">
        <v>3900</v>
      </c>
      <c r="J350" s="88">
        <v>0</v>
      </c>
      <c r="K350" s="88"/>
      <c r="L350" s="92"/>
      <c r="M350" s="92" t="s">
        <v>166</v>
      </c>
      <c r="N350"/>
      <c r="O350" s="23">
        <v>20260819</v>
      </c>
      <c r="P350" s="31">
        <v>202608190000035</v>
      </c>
      <c r="Q350" s="24">
        <v>3900</v>
      </c>
      <c r="R350" s="25"/>
      <c r="S350" s="24" t="s">
        <v>167</v>
      </c>
      <c r="T350" s="24" t="s">
        <v>323</v>
      </c>
      <c r="U350" s="24">
        <v>311.49200000000002</v>
      </c>
    </row>
    <row r="351" spans="1:21" ht="16.5" hidden="1" customHeight="1" thickBot="1">
      <c r="A351" s="92" t="s">
        <v>172</v>
      </c>
      <c r="B351" s="93">
        <v>46253</v>
      </c>
      <c r="C351" s="92" t="s">
        <v>233</v>
      </c>
      <c r="D351" s="92" t="s">
        <v>3112</v>
      </c>
      <c r="E351" s="92"/>
      <c r="F351" s="92" t="s">
        <v>165</v>
      </c>
      <c r="G351" s="88">
        <v>4000</v>
      </c>
      <c r="H351" s="88"/>
      <c r="I351" s="88">
        <v>4000</v>
      </c>
      <c r="J351" s="88">
        <v>0</v>
      </c>
      <c r="K351" s="88"/>
      <c r="L351" s="92"/>
      <c r="M351" s="92" t="s">
        <v>175</v>
      </c>
      <c r="O351" s="26">
        <v>20260819</v>
      </c>
      <c r="P351" s="32">
        <v>202608190000036</v>
      </c>
      <c r="Q351" s="27">
        <v>4000</v>
      </c>
      <c r="R351" s="28"/>
      <c r="S351" s="27" t="s">
        <v>167</v>
      </c>
      <c r="T351" s="27" t="s">
        <v>208</v>
      </c>
      <c r="U351" s="27">
        <v>315.49200000000002</v>
      </c>
    </row>
    <row r="352" spans="1:21" ht="16.5" hidden="1" customHeight="1" thickBot="1">
      <c r="A352" s="92" t="s">
        <v>162</v>
      </c>
      <c r="B352" s="93">
        <v>46253</v>
      </c>
      <c r="C352" s="92" t="s">
        <v>657</v>
      </c>
      <c r="D352" s="92" t="s">
        <v>658</v>
      </c>
      <c r="E352" s="92"/>
      <c r="F352" s="92" t="s">
        <v>165</v>
      </c>
      <c r="G352" s="88">
        <v>3850</v>
      </c>
      <c r="H352" s="88"/>
      <c r="I352" s="88">
        <v>3850</v>
      </c>
      <c r="J352" s="88">
        <v>0</v>
      </c>
      <c r="K352" s="88"/>
      <c r="L352" s="92"/>
      <c r="M352" s="92" t="s">
        <v>166</v>
      </c>
      <c r="O352" s="23">
        <v>20260819</v>
      </c>
      <c r="P352" s="31">
        <v>202608190000037</v>
      </c>
      <c r="Q352" s="24">
        <v>3850</v>
      </c>
      <c r="R352" s="25"/>
      <c r="S352" s="24" t="s">
        <v>167</v>
      </c>
      <c r="T352" s="24" t="s">
        <v>670</v>
      </c>
      <c r="U352" s="24">
        <v>319.34199999999998</v>
      </c>
    </row>
    <row r="353" spans="1:21" ht="16.5" hidden="1" customHeight="1" thickBot="1">
      <c r="A353" s="92" t="s">
        <v>162</v>
      </c>
      <c r="B353" s="93">
        <v>46253</v>
      </c>
      <c r="C353" s="92" t="s">
        <v>465</v>
      </c>
      <c r="D353" s="92" t="s">
        <v>466</v>
      </c>
      <c r="E353" s="92"/>
      <c r="F353" s="92" t="s">
        <v>165</v>
      </c>
      <c r="G353" s="88">
        <v>2800</v>
      </c>
      <c r="H353" s="88"/>
      <c r="I353" s="88">
        <v>2800</v>
      </c>
      <c r="J353" s="88">
        <v>0</v>
      </c>
      <c r="K353" s="88"/>
      <c r="L353" s="92"/>
      <c r="M353" s="92" t="s">
        <v>166</v>
      </c>
      <c r="N353"/>
      <c r="O353" s="26">
        <v>20260819</v>
      </c>
      <c r="P353" s="32">
        <v>202608190000038</v>
      </c>
      <c r="Q353" s="27">
        <v>2800</v>
      </c>
      <c r="R353" s="28"/>
      <c r="S353" s="27" t="s">
        <v>167</v>
      </c>
      <c r="T353" s="27" t="s">
        <v>470</v>
      </c>
      <c r="U353" s="27">
        <v>322.142</v>
      </c>
    </row>
    <row r="354" spans="1:21" ht="16.5" hidden="1" customHeight="1" thickBot="1">
      <c r="A354" s="92" t="s">
        <v>162</v>
      </c>
      <c r="B354" s="93">
        <v>46253</v>
      </c>
      <c r="C354" s="92" t="s">
        <v>758</v>
      </c>
      <c r="D354" s="92" t="s">
        <v>759</v>
      </c>
      <c r="E354" s="92"/>
      <c r="F354" s="92" t="s">
        <v>165</v>
      </c>
      <c r="G354" s="88">
        <v>3850</v>
      </c>
      <c r="H354" s="88"/>
      <c r="I354" s="88">
        <v>3850</v>
      </c>
      <c r="J354" s="88">
        <v>0</v>
      </c>
      <c r="K354" s="88"/>
      <c r="L354" s="92"/>
      <c r="M354" s="92" t="s">
        <v>166</v>
      </c>
      <c r="N354"/>
      <c r="O354" s="23">
        <v>20260819</v>
      </c>
      <c r="P354" s="31">
        <v>202608190000039</v>
      </c>
      <c r="Q354" s="24">
        <v>3850</v>
      </c>
      <c r="R354" s="25"/>
      <c r="S354" s="24" t="s">
        <v>359</v>
      </c>
      <c r="T354" s="24" t="s">
        <v>851</v>
      </c>
      <c r="U354" s="24">
        <v>325.99200000000002</v>
      </c>
    </row>
    <row r="355" spans="1:21" ht="16.5" hidden="1" customHeight="1" thickBot="1">
      <c r="A355" s="92" t="s">
        <v>172</v>
      </c>
      <c r="B355" s="93">
        <v>46253</v>
      </c>
      <c r="C355" s="92" t="s">
        <v>432</v>
      </c>
      <c r="D355" s="92" t="s">
        <v>433</v>
      </c>
      <c r="E355" s="92"/>
      <c r="F355" s="92" t="s">
        <v>165</v>
      </c>
      <c r="G355" s="88">
        <v>4000</v>
      </c>
      <c r="H355" s="88"/>
      <c r="I355" s="88">
        <v>4000</v>
      </c>
      <c r="J355" s="88">
        <v>0</v>
      </c>
      <c r="K355" s="88"/>
      <c r="L355" s="92"/>
      <c r="M355" s="92" t="s">
        <v>175</v>
      </c>
      <c r="N355"/>
      <c r="O355" s="26">
        <v>20260819</v>
      </c>
      <c r="P355" s="32">
        <v>202608190000040</v>
      </c>
      <c r="Q355" s="27">
        <v>4000</v>
      </c>
      <c r="R355" s="28"/>
      <c r="S355" s="27" t="s">
        <v>359</v>
      </c>
      <c r="T355" s="27" t="s">
        <v>1040</v>
      </c>
      <c r="U355" s="27">
        <v>329.99200000000002</v>
      </c>
    </row>
    <row r="356" spans="1:21" ht="16.5" hidden="1" customHeight="1" thickBot="1">
      <c r="A356" s="92" t="s">
        <v>172</v>
      </c>
      <c r="B356" s="93">
        <v>46253</v>
      </c>
      <c r="C356" s="92" t="s">
        <v>2835</v>
      </c>
      <c r="D356" s="92" t="s">
        <v>2836</v>
      </c>
      <c r="E356" s="92"/>
      <c r="F356" s="92" t="s">
        <v>165</v>
      </c>
      <c r="G356" s="88">
        <v>2800</v>
      </c>
      <c r="H356" s="88"/>
      <c r="I356" s="88">
        <v>2800</v>
      </c>
      <c r="J356" s="88">
        <v>0</v>
      </c>
      <c r="K356" s="88"/>
      <c r="L356" s="92"/>
      <c r="M356" s="92" t="s">
        <v>175</v>
      </c>
      <c r="N356"/>
      <c r="O356" s="23">
        <v>20260819</v>
      </c>
      <c r="P356" s="31">
        <v>202608190000041</v>
      </c>
      <c r="Q356" s="24">
        <v>2800</v>
      </c>
      <c r="R356" s="25"/>
      <c r="S356" s="24" t="s">
        <v>167</v>
      </c>
      <c r="T356" s="24" t="s">
        <v>208</v>
      </c>
      <c r="U356" s="24">
        <v>332.79199999999997</v>
      </c>
    </row>
    <row r="357" spans="1:21" ht="16.5" hidden="1" customHeight="1" thickBot="1">
      <c r="A357" s="92" t="s">
        <v>172</v>
      </c>
      <c r="B357" s="93">
        <v>46254</v>
      </c>
      <c r="C357" s="92" t="s">
        <v>2936</v>
      </c>
      <c r="D357" s="92" t="s">
        <v>2937</v>
      </c>
      <c r="E357" s="92"/>
      <c r="F357" s="92" t="s">
        <v>165</v>
      </c>
      <c r="G357" s="88">
        <v>2800</v>
      </c>
      <c r="H357" s="88"/>
      <c r="I357" s="88">
        <v>2800</v>
      </c>
      <c r="J357" s="88">
        <v>0</v>
      </c>
      <c r="K357" s="88"/>
      <c r="L357" s="92"/>
      <c r="M357" s="92" t="s">
        <v>175</v>
      </c>
      <c r="N357"/>
      <c r="O357" s="26">
        <v>20260820</v>
      </c>
      <c r="P357" s="32">
        <v>202608200000001</v>
      </c>
      <c r="Q357" s="27">
        <v>2800</v>
      </c>
      <c r="R357" s="28"/>
      <c r="S357" s="27" t="s">
        <v>167</v>
      </c>
      <c r="T357" s="27" t="s">
        <v>2245</v>
      </c>
      <c r="U357" s="27">
        <v>335.59199999999998</v>
      </c>
    </row>
    <row r="358" spans="1:21" ht="16.5" hidden="1" customHeight="1" thickBot="1">
      <c r="A358" s="92" t="s">
        <v>162</v>
      </c>
      <c r="B358" s="93">
        <v>46254</v>
      </c>
      <c r="C358" s="92" t="s">
        <v>849</v>
      </c>
      <c r="D358" s="92" t="s">
        <v>850</v>
      </c>
      <c r="E358" s="92"/>
      <c r="F358" s="92" t="s">
        <v>165</v>
      </c>
      <c r="G358" s="88">
        <v>3850</v>
      </c>
      <c r="H358" s="88"/>
      <c r="I358" s="88">
        <v>3850</v>
      </c>
      <c r="J358" s="88">
        <v>0</v>
      </c>
      <c r="K358" s="88"/>
      <c r="L358" s="92"/>
      <c r="M358" s="92" t="s">
        <v>166</v>
      </c>
      <c r="N358"/>
      <c r="O358" s="23">
        <v>20260820</v>
      </c>
      <c r="P358" s="31">
        <v>202608200000002</v>
      </c>
      <c r="Q358" s="24">
        <v>3850</v>
      </c>
      <c r="R358" s="25"/>
      <c r="S358" s="24" t="s">
        <v>167</v>
      </c>
      <c r="T358" s="24" t="s">
        <v>775</v>
      </c>
      <c r="U358" s="24">
        <v>339.44200000000001</v>
      </c>
    </row>
    <row r="359" spans="1:21" ht="16.5" hidden="1" customHeight="1" thickBot="1">
      <c r="A359" s="92" t="s">
        <v>162</v>
      </c>
      <c r="B359" s="93">
        <v>46254</v>
      </c>
      <c r="C359" s="92" t="s">
        <v>534</v>
      </c>
      <c r="D359" s="92" t="s">
        <v>535</v>
      </c>
      <c r="E359" s="92"/>
      <c r="F359" s="92" t="s">
        <v>165</v>
      </c>
      <c r="G359" s="88">
        <v>4200</v>
      </c>
      <c r="H359" s="88"/>
      <c r="I359" s="88">
        <v>4200</v>
      </c>
      <c r="J359" s="88">
        <v>0</v>
      </c>
      <c r="K359" s="88"/>
      <c r="L359" s="92"/>
      <c r="M359" s="92" t="s">
        <v>166</v>
      </c>
      <c r="N359"/>
      <c r="O359" s="26">
        <v>20260820</v>
      </c>
      <c r="P359" s="32">
        <v>202608200000003</v>
      </c>
      <c r="Q359" s="27">
        <v>4200</v>
      </c>
      <c r="R359" s="28"/>
      <c r="S359" s="27" t="s">
        <v>167</v>
      </c>
      <c r="T359" s="27" t="s">
        <v>2472</v>
      </c>
      <c r="U359" s="27">
        <v>343.642</v>
      </c>
    </row>
    <row r="360" spans="1:21" ht="16.5" customHeight="1" thickBot="1">
      <c r="A360" s="92" t="s">
        <v>172</v>
      </c>
      <c r="B360" s="93">
        <v>46254</v>
      </c>
      <c r="C360" s="92" t="s">
        <v>2963</v>
      </c>
      <c r="D360" s="92" t="s">
        <v>2964</v>
      </c>
      <c r="E360" s="92"/>
      <c r="F360" s="92" t="s">
        <v>179</v>
      </c>
      <c r="G360" s="88">
        <v>3790</v>
      </c>
      <c r="H360" s="88">
        <v>3790</v>
      </c>
      <c r="I360" s="88">
        <v>0</v>
      </c>
      <c r="J360" s="88">
        <v>0</v>
      </c>
      <c r="K360" s="88"/>
      <c r="L360" s="92"/>
      <c r="M360" s="92" t="s">
        <v>175</v>
      </c>
      <c r="N360" t="s">
        <v>4167</v>
      </c>
      <c r="O360" s="23">
        <v>20260820</v>
      </c>
      <c r="P360" s="31">
        <v>202608200000004</v>
      </c>
      <c r="Q360" s="24">
        <v>3790</v>
      </c>
      <c r="R360" s="25"/>
      <c r="S360" s="24" t="s">
        <v>167</v>
      </c>
      <c r="T360" s="24" t="s">
        <v>2473</v>
      </c>
      <c r="U360" s="24">
        <v>347.43200000000002</v>
      </c>
    </row>
    <row r="361" spans="1:21" ht="16.5" hidden="1" customHeight="1" thickBot="1">
      <c r="A361" s="92" t="s">
        <v>172</v>
      </c>
      <c r="B361" s="93">
        <v>46254</v>
      </c>
      <c r="C361" s="92" t="s">
        <v>3113</v>
      </c>
      <c r="D361" s="92" t="s">
        <v>3114</v>
      </c>
      <c r="E361" s="92"/>
      <c r="F361" s="92" t="s">
        <v>165</v>
      </c>
      <c r="G361" s="88">
        <v>8295</v>
      </c>
      <c r="H361" s="88">
        <v>3000</v>
      </c>
      <c r="I361" s="88">
        <v>5295</v>
      </c>
      <c r="J361" s="88">
        <v>0</v>
      </c>
      <c r="K361" s="88"/>
      <c r="L361" s="92"/>
      <c r="M361" s="92" t="s">
        <v>175</v>
      </c>
      <c r="N361"/>
      <c r="O361" s="26">
        <v>20260820</v>
      </c>
      <c r="P361" s="32">
        <v>202608200000005</v>
      </c>
      <c r="Q361" s="27">
        <v>8295</v>
      </c>
      <c r="R361" s="28"/>
      <c r="S361" s="27" t="s">
        <v>167</v>
      </c>
      <c r="T361" s="27" t="s">
        <v>2474</v>
      </c>
      <c r="U361" s="27">
        <v>355.72699999999998</v>
      </c>
    </row>
    <row r="362" spans="1:21" ht="16.5" hidden="1" customHeight="1" thickBot="1">
      <c r="A362" s="92" t="s">
        <v>172</v>
      </c>
      <c r="B362" s="93">
        <v>46254</v>
      </c>
      <c r="C362" s="92" t="s">
        <v>3115</v>
      </c>
      <c r="D362" s="92" t="s">
        <v>3116</v>
      </c>
      <c r="E362" s="92"/>
      <c r="F362" s="92" t="s">
        <v>165</v>
      </c>
      <c r="G362" s="88">
        <v>5215</v>
      </c>
      <c r="H362" s="88">
        <v>3000</v>
      </c>
      <c r="I362" s="88">
        <v>2215</v>
      </c>
      <c r="J362" s="88">
        <v>0</v>
      </c>
      <c r="K362" s="88"/>
      <c r="L362" s="92"/>
      <c r="M362" s="92" t="s">
        <v>175</v>
      </c>
      <c r="N362"/>
      <c r="O362" s="23">
        <v>20260820</v>
      </c>
      <c r="P362" s="31">
        <v>202608200000006</v>
      </c>
      <c r="Q362" s="24">
        <v>5215</v>
      </c>
      <c r="R362" s="25"/>
      <c r="S362" s="24" t="s">
        <v>167</v>
      </c>
      <c r="T362" s="24" t="s">
        <v>2475</v>
      </c>
      <c r="U362" s="24">
        <v>360.94200000000001</v>
      </c>
    </row>
    <row r="363" spans="1:21" ht="16.5" hidden="1" customHeight="1" thickBot="1">
      <c r="A363" s="92" t="s">
        <v>172</v>
      </c>
      <c r="B363" s="93">
        <v>46254</v>
      </c>
      <c r="C363" s="92" t="s">
        <v>3117</v>
      </c>
      <c r="D363" s="92" t="s">
        <v>3118</v>
      </c>
      <c r="E363" s="92"/>
      <c r="F363" s="92" t="s">
        <v>165</v>
      </c>
      <c r="G363" s="88">
        <v>4690</v>
      </c>
      <c r="H363" s="88">
        <v>3000</v>
      </c>
      <c r="I363" s="88">
        <v>1690</v>
      </c>
      <c r="J363" s="88">
        <v>0</v>
      </c>
      <c r="K363" s="88"/>
      <c r="L363" s="92"/>
      <c r="M363" s="92" t="s">
        <v>175</v>
      </c>
      <c r="N363"/>
      <c r="O363" s="26">
        <v>20260820</v>
      </c>
      <c r="P363" s="32">
        <v>202608200000007</v>
      </c>
      <c r="Q363" s="27">
        <v>4690</v>
      </c>
      <c r="R363" s="28"/>
      <c r="S363" s="27" t="s">
        <v>167</v>
      </c>
      <c r="T363" s="27" t="s">
        <v>2476</v>
      </c>
      <c r="U363" s="27">
        <v>365.63200000000001</v>
      </c>
    </row>
    <row r="364" spans="1:21" ht="16.5" hidden="1" customHeight="1" thickBot="1">
      <c r="A364" s="92" t="s">
        <v>172</v>
      </c>
      <c r="B364" s="93">
        <v>46254</v>
      </c>
      <c r="C364" s="92" t="s">
        <v>3119</v>
      </c>
      <c r="D364" s="92" t="s">
        <v>3120</v>
      </c>
      <c r="E364" s="92"/>
      <c r="F364" s="92" t="s">
        <v>165</v>
      </c>
      <c r="G364" s="88">
        <v>4690</v>
      </c>
      <c r="H364" s="88">
        <v>3000</v>
      </c>
      <c r="I364" s="88">
        <v>1690</v>
      </c>
      <c r="J364" s="88">
        <v>0</v>
      </c>
      <c r="K364" s="88"/>
      <c r="L364" s="92"/>
      <c r="M364" s="92" t="s">
        <v>175</v>
      </c>
      <c r="N364"/>
      <c r="O364" s="23">
        <v>20260820</v>
      </c>
      <c r="P364" s="31">
        <v>202608200000008</v>
      </c>
      <c r="Q364" s="24">
        <v>4690</v>
      </c>
      <c r="R364" s="25"/>
      <c r="S364" s="24" t="s">
        <v>167</v>
      </c>
      <c r="T364" s="24" t="s">
        <v>2477</v>
      </c>
      <c r="U364" s="24">
        <v>370.322</v>
      </c>
    </row>
    <row r="365" spans="1:21" ht="16.5" hidden="1" customHeight="1" thickBot="1">
      <c r="A365" s="92" t="s">
        <v>172</v>
      </c>
      <c r="B365" s="93">
        <v>46254</v>
      </c>
      <c r="C365" s="92" t="s">
        <v>3121</v>
      </c>
      <c r="D365" s="92" t="s">
        <v>3122</v>
      </c>
      <c r="E365" s="92"/>
      <c r="F365" s="92" t="s">
        <v>165</v>
      </c>
      <c r="G365" s="88">
        <v>6290</v>
      </c>
      <c r="H365" s="88">
        <v>4000</v>
      </c>
      <c r="I365" s="88">
        <v>2290</v>
      </c>
      <c r="J365" s="88">
        <v>0</v>
      </c>
      <c r="K365" s="88"/>
      <c r="L365" s="92"/>
      <c r="M365" s="92" t="s">
        <v>175</v>
      </c>
      <c r="N365"/>
      <c r="O365" s="26">
        <v>20260820</v>
      </c>
      <c r="P365" s="32">
        <v>202608200000009</v>
      </c>
      <c r="Q365" s="27">
        <v>6290</v>
      </c>
      <c r="R365" s="28"/>
      <c r="S365" s="27" t="s">
        <v>167</v>
      </c>
      <c r="T365" s="27" t="s">
        <v>2478</v>
      </c>
      <c r="U365" s="27">
        <v>376.61200000000002</v>
      </c>
    </row>
    <row r="366" spans="1:21" ht="16.5" hidden="1" customHeight="1" thickBot="1">
      <c r="A366" s="92" t="s">
        <v>172</v>
      </c>
      <c r="B366" s="93">
        <v>46254</v>
      </c>
      <c r="C366" s="92" t="s">
        <v>3123</v>
      </c>
      <c r="D366" s="92" t="s">
        <v>3124</v>
      </c>
      <c r="E366" s="92"/>
      <c r="F366" s="92" t="s">
        <v>165</v>
      </c>
      <c r="G366" s="88">
        <v>6290</v>
      </c>
      <c r="H366" s="88">
        <v>4000</v>
      </c>
      <c r="I366" s="88">
        <v>2290</v>
      </c>
      <c r="J366" s="88">
        <v>0</v>
      </c>
      <c r="K366" s="88"/>
      <c r="L366" s="92"/>
      <c r="M366" s="92" t="s">
        <v>175</v>
      </c>
      <c r="N366"/>
      <c r="O366" s="23">
        <v>20260820</v>
      </c>
      <c r="P366" s="31">
        <v>202608200000010</v>
      </c>
      <c r="Q366" s="24">
        <v>6290</v>
      </c>
      <c r="R366" s="25"/>
      <c r="S366" s="24" t="s">
        <v>167</v>
      </c>
      <c r="T366" s="24" t="s">
        <v>2479</v>
      </c>
      <c r="U366" s="24">
        <v>382.90199999999999</v>
      </c>
    </row>
    <row r="367" spans="1:21" ht="16.5" hidden="1" customHeight="1" thickBot="1">
      <c r="A367" s="92" t="s">
        <v>180</v>
      </c>
      <c r="B367" s="93">
        <v>46254</v>
      </c>
      <c r="C367" s="92" t="s">
        <v>3125</v>
      </c>
      <c r="D367" s="92" t="s">
        <v>3126</v>
      </c>
      <c r="E367" s="92"/>
      <c r="F367" s="92" t="s">
        <v>165</v>
      </c>
      <c r="G367" s="88">
        <v>9797</v>
      </c>
      <c r="H367" s="88">
        <v>4000</v>
      </c>
      <c r="I367" s="88">
        <v>5797</v>
      </c>
      <c r="J367" s="88">
        <v>0</v>
      </c>
      <c r="K367" s="88"/>
      <c r="L367" s="92"/>
      <c r="M367" s="92" t="s">
        <v>175</v>
      </c>
      <c r="N367"/>
      <c r="O367" s="26">
        <v>20260820</v>
      </c>
      <c r="P367" s="32">
        <v>202608200000011</v>
      </c>
      <c r="Q367" s="27">
        <v>9797</v>
      </c>
      <c r="R367" s="28"/>
      <c r="S367" s="27" t="s">
        <v>167</v>
      </c>
      <c r="T367" s="27" t="s">
        <v>2480</v>
      </c>
      <c r="U367" s="27">
        <v>392.69900000000001</v>
      </c>
    </row>
    <row r="368" spans="1:21" ht="16.5" hidden="1" customHeight="1" thickBot="1">
      <c r="A368" s="92" t="s">
        <v>162</v>
      </c>
      <c r="B368" s="93">
        <v>46254</v>
      </c>
      <c r="C368" s="92" t="s">
        <v>773</v>
      </c>
      <c r="D368" s="92" t="s">
        <v>774</v>
      </c>
      <c r="E368" s="92"/>
      <c r="F368" s="92" t="s">
        <v>165</v>
      </c>
      <c r="G368" s="88">
        <v>3850</v>
      </c>
      <c r="H368" s="88"/>
      <c r="I368" s="88">
        <v>3850</v>
      </c>
      <c r="J368" s="88">
        <v>0</v>
      </c>
      <c r="K368" s="88"/>
      <c r="L368" s="92"/>
      <c r="M368" s="92" t="s">
        <v>166</v>
      </c>
      <c r="N368"/>
      <c r="O368" s="23">
        <v>20260820</v>
      </c>
      <c r="P368" s="31">
        <v>202608200000012</v>
      </c>
      <c r="Q368" s="24">
        <v>3850</v>
      </c>
      <c r="R368" s="25"/>
      <c r="S368" s="24" t="s">
        <v>167</v>
      </c>
      <c r="T368" s="24" t="s">
        <v>208</v>
      </c>
      <c r="U368" s="24">
        <v>396.54899999999998</v>
      </c>
    </row>
    <row r="369" spans="1:21" ht="16.5" hidden="1" customHeight="1" thickBot="1">
      <c r="A369" s="92" t="s">
        <v>162</v>
      </c>
      <c r="B369" s="93">
        <v>46254</v>
      </c>
      <c r="C369" s="92" t="s">
        <v>626</v>
      </c>
      <c r="D369" s="92" t="s">
        <v>627</v>
      </c>
      <c r="E369" s="92"/>
      <c r="F369" s="92" t="s">
        <v>165</v>
      </c>
      <c r="G369" s="88">
        <v>3316</v>
      </c>
      <c r="H369" s="88"/>
      <c r="I369" s="88">
        <v>3316</v>
      </c>
      <c r="J369" s="88">
        <v>0</v>
      </c>
      <c r="K369" s="88"/>
      <c r="L369" s="92"/>
      <c r="M369" s="92" t="s">
        <v>166</v>
      </c>
      <c r="N369"/>
      <c r="O369" s="26">
        <v>20260820</v>
      </c>
      <c r="P369" s="32">
        <v>202608200000013</v>
      </c>
      <c r="Q369" s="27">
        <v>3316</v>
      </c>
      <c r="R369" s="28"/>
      <c r="S369" s="27" t="s">
        <v>184</v>
      </c>
      <c r="T369" s="27" t="s">
        <v>628</v>
      </c>
      <c r="U369" s="27">
        <v>399.86500000000001</v>
      </c>
    </row>
    <row r="370" spans="1:21" ht="16.5" customHeight="1" thickBot="1">
      <c r="A370" s="92" t="s">
        <v>176</v>
      </c>
      <c r="B370" s="93">
        <v>46254</v>
      </c>
      <c r="C370" s="92" t="s">
        <v>214</v>
      </c>
      <c r="D370" s="92" t="s">
        <v>215</v>
      </c>
      <c r="E370" s="92"/>
      <c r="F370" s="92" t="s">
        <v>179</v>
      </c>
      <c r="G370" s="88">
        <v>6850</v>
      </c>
      <c r="H370" s="88">
        <v>6850</v>
      </c>
      <c r="I370" s="88">
        <v>0</v>
      </c>
      <c r="J370" s="88">
        <v>0</v>
      </c>
      <c r="K370" s="88"/>
      <c r="L370" s="92"/>
      <c r="M370" s="92" t="s">
        <v>175</v>
      </c>
      <c r="N370" t="s">
        <v>4264</v>
      </c>
      <c r="O370" s="23">
        <v>20260820</v>
      </c>
      <c r="P370" s="31">
        <v>202608200000014</v>
      </c>
      <c r="Q370" s="24">
        <v>6850</v>
      </c>
      <c r="R370" s="25"/>
      <c r="S370" s="24" t="s">
        <v>167</v>
      </c>
      <c r="T370" s="24" t="s">
        <v>2481</v>
      </c>
      <c r="U370" s="24">
        <v>406.71499999999997</v>
      </c>
    </row>
    <row r="371" spans="1:21" ht="16.5" hidden="1" customHeight="1" thickBot="1">
      <c r="A371" s="92" t="s">
        <v>162</v>
      </c>
      <c r="B371" s="93">
        <v>46254</v>
      </c>
      <c r="C371" s="92" t="s">
        <v>3127</v>
      </c>
      <c r="D371" s="92" t="s">
        <v>3128</v>
      </c>
      <c r="E371" s="92"/>
      <c r="F371" s="92" t="s">
        <v>165</v>
      </c>
      <c r="G371" s="88">
        <v>11200</v>
      </c>
      <c r="H371" s="88"/>
      <c r="I371" s="88">
        <v>11200</v>
      </c>
      <c r="J371" s="88">
        <v>0</v>
      </c>
      <c r="K371" s="88"/>
      <c r="L371" s="92"/>
      <c r="M371" s="92" t="s">
        <v>166</v>
      </c>
      <c r="N371"/>
      <c r="O371" s="26">
        <v>20260820</v>
      </c>
      <c r="P371" s="32">
        <v>202608200000015</v>
      </c>
      <c r="Q371" s="27">
        <v>11200</v>
      </c>
      <c r="R371" s="28"/>
      <c r="S371" s="27" t="s">
        <v>167</v>
      </c>
      <c r="T371" s="27" t="s">
        <v>706</v>
      </c>
      <c r="U371" s="27">
        <v>417.91500000000002</v>
      </c>
    </row>
    <row r="372" spans="1:21" ht="16.5" hidden="1" customHeight="1" thickBot="1">
      <c r="A372" s="92" t="s">
        <v>162</v>
      </c>
      <c r="B372" s="93">
        <v>46254</v>
      </c>
      <c r="C372" s="92" t="s">
        <v>527</v>
      </c>
      <c r="D372" s="92" t="s">
        <v>528</v>
      </c>
      <c r="E372" s="92"/>
      <c r="F372" s="92" t="s">
        <v>165</v>
      </c>
      <c r="G372" s="88">
        <v>3850</v>
      </c>
      <c r="H372" s="88"/>
      <c r="I372" s="88">
        <v>3850</v>
      </c>
      <c r="J372" s="88">
        <v>0</v>
      </c>
      <c r="K372" s="88"/>
      <c r="L372" s="92"/>
      <c r="M372" s="92" t="s">
        <v>166</v>
      </c>
      <c r="N372"/>
      <c r="O372" s="26">
        <v>20260820</v>
      </c>
      <c r="P372" s="32">
        <v>202608200000016</v>
      </c>
      <c r="Q372" s="27">
        <v>3850</v>
      </c>
      <c r="R372" s="28"/>
      <c r="S372" s="27" t="s">
        <v>167</v>
      </c>
      <c r="T372" s="27" t="s">
        <v>516</v>
      </c>
      <c r="U372" s="27">
        <v>421.76499999999999</v>
      </c>
    </row>
    <row r="373" spans="1:21" ht="16.5" hidden="1" customHeight="1" thickBot="1">
      <c r="A373" s="92" t="s">
        <v>162</v>
      </c>
      <c r="B373" s="93">
        <v>46254</v>
      </c>
      <c r="C373" s="92" t="s">
        <v>481</v>
      </c>
      <c r="D373" s="92" t="s">
        <v>482</v>
      </c>
      <c r="E373" s="92"/>
      <c r="F373" s="92" t="s">
        <v>165</v>
      </c>
      <c r="G373" s="88">
        <v>3850</v>
      </c>
      <c r="H373" s="88"/>
      <c r="I373" s="88">
        <v>3850</v>
      </c>
      <c r="J373" s="88">
        <v>0</v>
      </c>
      <c r="K373" s="88"/>
      <c r="L373" s="92"/>
      <c r="M373" s="92" t="s">
        <v>166</v>
      </c>
      <c r="N373"/>
      <c r="O373" s="23">
        <v>20260820</v>
      </c>
      <c r="P373" s="31">
        <v>202608200000017</v>
      </c>
      <c r="Q373" s="24">
        <v>3850</v>
      </c>
      <c r="R373" s="25"/>
      <c r="S373" s="24" t="s">
        <v>167</v>
      </c>
      <c r="T373" s="24" t="s">
        <v>208</v>
      </c>
      <c r="U373" s="24">
        <v>425.61500000000001</v>
      </c>
    </row>
    <row r="374" spans="1:21" ht="16.5" hidden="1" customHeight="1" thickBot="1">
      <c r="A374" s="92" t="s">
        <v>162</v>
      </c>
      <c r="B374" s="93">
        <v>46254</v>
      </c>
      <c r="C374" s="92" t="s">
        <v>206</v>
      </c>
      <c r="D374" s="92" t="s">
        <v>207</v>
      </c>
      <c r="E374" s="92"/>
      <c r="F374" s="92" t="s">
        <v>165</v>
      </c>
      <c r="G374" s="88">
        <v>3850</v>
      </c>
      <c r="H374" s="88"/>
      <c r="I374" s="88">
        <v>3850</v>
      </c>
      <c r="J374" s="88">
        <v>0</v>
      </c>
      <c r="K374" s="88"/>
      <c r="L374" s="92"/>
      <c r="M374" s="92" t="s">
        <v>166</v>
      </c>
      <c r="N374"/>
      <c r="O374" s="26">
        <v>20260820</v>
      </c>
      <c r="P374" s="32">
        <v>202608200000018</v>
      </c>
      <c r="Q374" s="27">
        <v>3850</v>
      </c>
      <c r="R374" s="28"/>
      <c r="S374" s="27" t="s">
        <v>167</v>
      </c>
      <c r="T374" s="27" t="s">
        <v>488</v>
      </c>
      <c r="U374" s="27">
        <v>429.46499999999997</v>
      </c>
    </row>
    <row r="375" spans="1:21" ht="16.5" hidden="1" customHeight="1" thickBot="1">
      <c r="A375" s="92" t="s">
        <v>162</v>
      </c>
      <c r="B375" s="93">
        <v>46254</v>
      </c>
      <c r="C375" s="92" t="s">
        <v>830</v>
      </c>
      <c r="D375" s="92" t="s">
        <v>831</v>
      </c>
      <c r="E375" s="92"/>
      <c r="F375" s="92" t="s">
        <v>165</v>
      </c>
      <c r="G375" s="88">
        <v>3850</v>
      </c>
      <c r="H375" s="88"/>
      <c r="I375" s="88">
        <v>3850</v>
      </c>
      <c r="J375" s="88">
        <v>0</v>
      </c>
      <c r="K375" s="88"/>
      <c r="L375" s="92"/>
      <c r="M375" s="92" t="s">
        <v>166</v>
      </c>
      <c r="N375"/>
      <c r="O375" s="23">
        <v>20260820</v>
      </c>
      <c r="P375" s="31">
        <v>202608200000019</v>
      </c>
      <c r="Q375" s="24">
        <v>3850</v>
      </c>
      <c r="R375" s="25"/>
      <c r="S375" s="24" t="s">
        <v>167</v>
      </c>
      <c r="T375" s="24" t="s">
        <v>832</v>
      </c>
      <c r="U375" s="24">
        <v>433.315</v>
      </c>
    </row>
    <row r="376" spans="1:21" ht="16.5" hidden="1" customHeight="1" thickBot="1">
      <c r="A376" s="92" t="s">
        <v>172</v>
      </c>
      <c r="B376" s="93">
        <v>46254</v>
      </c>
      <c r="C376" s="92" t="s">
        <v>471</v>
      </c>
      <c r="D376" s="92" t="s">
        <v>472</v>
      </c>
      <c r="E376" s="92"/>
      <c r="F376" s="92" t="s">
        <v>165</v>
      </c>
      <c r="G376" s="88">
        <v>4200</v>
      </c>
      <c r="H376" s="88"/>
      <c r="I376" s="88">
        <v>4200</v>
      </c>
      <c r="J376" s="88">
        <v>0</v>
      </c>
      <c r="K376" s="88"/>
      <c r="L376" s="92"/>
      <c r="M376" s="92" t="s">
        <v>175</v>
      </c>
      <c r="N376"/>
      <c r="O376" s="26">
        <v>20260820</v>
      </c>
      <c r="P376" s="32">
        <v>202608200000020</v>
      </c>
      <c r="Q376" s="27">
        <v>4200</v>
      </c>
      <c r="R376" s="28"/>
      <c r="S376" s="27" t="s">
        <v>167</v>
      </c>
      <c r="T376" s="27" t="s">
        <v>473</v>
      </c>
      <c r="U376" s="27">
        <v>437.51499999999999</v>
      </c>
    </row>
    <row r="377" spans="1:21" ht="16.5" hidden="1" customHeight="1" thickBot="1">
      <c r="A377" s="92" t="s">
        <v>162</v>
      </c>
      <c r="B377" s="93">
        <v>46254</v>
      </c>
      <c r="C377" s="92" t="s">
        <v>756</v>
      </c>
      <c r="D377" s="92" t="s">
        <v>757</v>
      </c>
      <c r="E377" s="92"/>
      <c r="F377" s="92" t="s">
        <v>165</v>
      </c>
      <c r="G377" s="88">
        <v>3850</v>
      </c>
      <c r="H377" s="88"/>
      <c r="I377" s="88">
        <v>3850</v>
      </c>
      <c r="J377" s="88">
        <v>0</v>
      </c>
      <c r="K377" s="88"/>
      <c r="L377" s="92"/>
      <c r="M377" s="92" t="s">
        <v>166</v>
      </c>
      <c r="N377"/>
      <c r="O377" s="23">
        <v>20260820</v>
      </c>
      <c r="P377" s="31">
        <v>202608200000021</v>
      </c>
      <c r="Q377" s="24">
        <v>3850</v>
      </c>
      <c r="R377" s="25"/>
      <c r="S377" s="24" t="s">
        <v>167</v>
      </c>
      <c r="T377" s="24" t="s">
        <v>2482</v>
      </c>
      <c r="U377" s="24">
        <v>441.36500000000001</v>
      </c>
    </row>
    <row r="378" spans="1:21" ht="16.5" hidden="1" customHeight="1" thickBot="1">
      <c r="A378" s="92" t="s">
        <v>172</v>
      </c>
      <c r="B378" s="93">
        <v>46254</v>
      </c>
      <c r="C378" s="92" t="s">
        <v>1072</v>
      </c>
      <c r="D378" s="92" t="s">
        <v>1073</v>
      </c>
      <c r="E378" s="92"/>
      <c r="F378" s="92" t="s">
        <v>165</v>
      </c>
      <c r="G378" s="88">
        <v>3850</v>
      </c>
      <c r="H378" s="88"/>
      <c r="I378" s="88">
        <v>3850</v>
      </c>
      <c r="J378" s="88">
        <v>0</v>
      </c>
      <c r="K378" s="88"/>
      <c r="L378" s="92"/>
      <c r="M378" s="92" t="s">
        <v>175</v>
      </c>
      <c r="O378" s="26">
        <v>20260820</v>
      </c>
      <c r="P378" s="32">
        <v>202608200000022</v>
      </c>
      <c r="Q378" s="27">
        <v>3850</v>
      </c>
      <c r="R378" s="28"/>
      <c r="S378" s="27" t="s">
        <v>184</v>
      </c>
      <c r="T378" s="27" t="s">
        <v>2483</v>
      </c>
      <c r="U378" s="27">
        <v>445.21499999999997</v>
      </c>
    </row>
    <row r="379" spans="1:21" ht="16.5" hidden="1" customHeight="1" thickBot="1">
      <c r="A379" s="92" t="s">
        <v>3295</v>
      </c>
      <c r="B379" s="93">
        <v>46254</v>
      </c>
      <c r="C379" s="92" t="e">
        <v>#N/A</v>
      </c>
      <c r="D379" s="92"/>
      <c r="E379" s="92"/>
      <c r="F379" s="92" t="s">
        <v>188</v>
      </c>
      <c r="G379" s="88">
        <v>493</v>
      </c>
      <c r="H379" s="88"/>
      <c r="I379" s="88">
        <v>0</v>
      </c>
      <c r="J379" s="88">
        <v>493</v>
      </c>
      <c r="K379" s="88"/>
      <c r="L379" s="92"/>
      <c r="M379" s="92" t="s">
        <v>187</v>
      </c>
      <c r="O379" s="23">
        <v>20260820</v>
      </c>
      <c r="P379" s="31">
        <v>202608200000023</v>
      </c>
      <c r="Q379" s="24">
        <v>493</v>
      </c>
      <c r="R379" s="25"/>
      <c r="S379" s="24" t="s">
        <v>167</v>
      </c>
      <c r="T379" s="24" t="s">
        <v>2163</v>
      </c>
      <c r="U379" s="24">
        <v>445.70800000000003</v>
      </c>
    </row>
    <row r="380" spans="1:21" ht="16.5" hidden="1" customHeight="1" thickBot="1">
      <c r="A380" s="92" t="s">
        <v>162</v>
      </c>
      <c r="B380" s="93">
        <v>46254</v>
      </c>
      <c r="C380" s="92" t="s">
        <v>786</v>
      </c>
      <c r="D380" s="92" t="s">
        <v>787</v>
      </c>
      <c r="E380" s="92"/>
      <c r="F380" s="92" t="s">
        <v>165</v>
      </c>
      <c r="G380" s="88">
        <v>2800</v>
      </c>
      <c r="H380" s="88"/>
      <c r="I380" s="88">
        <v>2800</v>
      </c>
      <c r="J380" s="88">
        <v>0</v>
      </c>
      <c r="K380" s="88"/>
      <c r="L380" s="92"/>
      <c r="M380" s="92" t="s">
        <v>166</v>
      </c>
      <c r="O380" s="26">
        <v>20260820</v>
      </c>
      <c r="P380" s="32">
        <v>202608200000024</v>
      </c>
      <c r="Q380" s="27">
        <v>2800</v>
      </c>
      <c r="R380" s="28"/>
      <c r="S380" s="27" t="s">
        <v>167</v>
      </c>
      <c r="T380" s="27" t="s">
        <v>788</v>
      </c>
      <c r="U380" s="27">
        <v>448.50799999999998</v>
      </c>
    </row>
    <row r="381" spans="1:21" ht="16.5" hidden="1" customHeight="1" thickBot="1">
      <c r="A381" s="92" t="s">
        <v>172</v>
      </c>
      <c r="B381" s="93">
        <v>46254</v>
      </c>
      <c r="C381" s="92" t="s">
        <v>3129</v>
      </c>
      <c r="D381" s="92" t="s">
        <v>3130</v>
      </c>
      <c r="E381" s="92"/>
      <c r="F381" s="92" t="s">
        <v>165</v>
      </c>
      <c r="G381" s="88">
        <v>8005</v>
      </c>
      <c r="H381" s="88">
        <v>3000</v>
      </c>
      <c r="I381" s="88">
        <v>5005</v>
      </c>
      <c r="J381" s="88">
        <v>0</v>
      </c>
      <c r="K381" s="88"/>
      <c r="L381" s="92"/>
      <c r="M381" s="92" t="s">
        <v>175</v>
      </c>
      <c r="N381"/>
      <c r="O381" s="20">
        <v>20260820</v>
      </c>
      <c r="P381" s="30">
        <v>202608200000025</v>
      </c>
      <c r="Q381" s="21">
        <v>8005</v>
      </c>
      <c r="R381" s="22"/>
      <c r="S381" s="21" t="s">
        <v>167</v>
      </c>
      <c r="T381" s="21" t="s">
        <v>190</v>
      </c>
      <c r="U381" s="21">
        <v>456.51299999999998</v>
      </c>
    </row>
    <row r="382" spans="1:21" ht="16.5" hidden="1" customHeight="1" thickBot="1">
      <c r="A382" s="92" t="s">
        <v>162</v>
      </c>
      <c r="B382" s="93">
        <v>46254</v>
      </c>
      <c r="C382" s="92" t="s">
        <v>664</v>
      </c>
      <c r="D382" s="92" t="s">
        <v>665</v>
      </c>
      <c r="E382" s="92"/>
      <c r="F382" s="92" t="s">
        <v>165</v>
      </c>
      <c r="G382" s="88">
        <v>2800</v>
      </c>
      <c r="H382" s="88"/>
      <c r="I382" s="88">
        <v>2800</v>
      </c>
      <c r="J382" s="88">
        <v>0</v>
      </c>
      <c r="K382" s="88"/>
      <c r="L382" s="92"/>
      <c r="M382" s="92" t="s">
        <v>166</v>
      </c>
      <c r="N382"/>
      <c r="O382" s="26">
        <v>20260820</v>
      </c>
      <c r="P382" s="32">
        <v>202608200000026</v>
      </c>
      <c r="Q382" s="27">
        <v>2800</v>
      </c>
      <c r="R382" s="28"/>
      <c r="S382" s="27" t="s">
        <v>167</v>
      </c>
      <c r="T382" s="27" t="s">
        <v>666</v>
      </c>
      <c r="U382" s="27">
        <v>459.31299999999999</v>
      </c>
    </row>
    <row r="383" spans="1:21" ht="16.5" hidden="1" customHeight="1" thickBot="1">
      <c r="A383" s="92" t="s">
        <v>162</v>
      </c>
      <c r="B383" s="93">
        <v>46254</v>
      </c>
      <c r="C383" s="92" t="s">
        <v>841</v>
      </c>
      <c r="D383" s="92" t="s">
        <v>842</v>
      </c>
      <c r="E383" s="92"/>
      <c r="F383" s="92" t="s">
        <v>165</v>
      </c>
      <c r="G383" s="88">
        <v>3850</v>
      </c>
      <c r="H383" s="88"/>
      <c r="I383" s="88">
        <v>3850</v>
      </c>
      <c r="J383" s="88">
        <v>0</v>
      </c>
      <c r="K383" s="88"/>
      <c r="L383" s="92"/>
      <c r="M383" s="92" t="s">
        <v>166</v>
      </c>
      <c r="N383"/>
      <c r="O383" s="23">
        <v>20260820</v>
      </c>
      <c r="P383" s="31">
        <v>202608200000027</v>
      </c>
      <c r="Q383" s="24">
        <v>3850</v>
      </c>
      <c r="R383" s="25"/>
      <c r="S383" s="24" t="s">
        <v>167</v>
      </c>
      <c r="T383" s="24" t="s">
        <v>2484</v>
      </c>
      <c r="U383" s="24">
        <v>463.16300000000001</v>
      </c>
    </row>
    <row r="384" spans="1:21" ht="16.5" hidden="1" customHeight="1" thickBot="1">
      <c r="A384" s="92" t="s">
        <v>162</v>
      </c>
      <c r="B384" s="93">
        <v>46254</v>
      </c>
      <c r="C384" s="92" t="s">
        <v>576</v>
      </c>
      <c r="D384" s="92" t="s">
        <v>577</v>
      </c>
      <c r="E384" s="92"/>
      <c r="F384" s="92" t="s">
        <v>165</v>
      </c>
      <c r="G384" s="88">
        <v>3850</v>
      </c>
      <c r="H384" s="88"/>
      <c r="I384" s="88">
        <v>3850</v>
      </c>
      <c r="J384" s="88">
        <v>0</v>
      </c>
      <c r="K384" s="88"/>
      <c r="L384" s="92"/>
      <c r="M384" s="92" t="s">
        <v>166</v>
      </c>
      <c r="N384"/>
      <c r="O384" s="26">
        <v>20260820</v>
      </c>
      <c r="P384" s="32">
        <v>202608200000028</v>
      </c>
      <c r="Q384" s="27">
        <v>3850</v>
      </c>
      <c r="R384" s="28"/>
      <c r="S384" s="27" t="s">
        <v>167</v>
      </c>
      <c r="T384" s="27" t="s">
        <v>193</v>
      </c>
      <c r="U384" s="27">
        <v>467.01299999999998</v>
      </c>
    </row>
    <row r="385" spans="1:21" ht="16.5" customHeight="1" thickBot="1">
      <c r="A385" s="92" t="s">
        <v>176</v>
      </c>
      <c r="B385" s="93">
        <v>46254</v>
      </c>
      <c r="C385" s="92" t="s">
        <v>214</v>
      </c>
      <c r="D385" s="92" t="s">
        <v>215</v>
      </c>
      <c r="E385" s="92"/>
      <c r="F385" s="92" t="s">
        <v>179</v>
      </c>
      <c r="G385" s="88">
        <v>6850</v>
      </c>
      <c r="H385" s="88">
        <v>6850</v>
      </c>
      <c r="I385" s="88">
        <v>0</v>
      </c>
      <c r="J385" s="88">
        <v>0</v>
      </c>
      <c r="K385" s="88"/>
      <c r="L385" s="92"/>
      <c r="M385" s="92" t="s">
        <v>175</v>
      </c>
      <c r="N385" t="s">
        <v>4266</v>
      </c>
      <c r="O385" s="23">
        <v>20260820</v>
      </c>
      <c r="P385" s="31">
        <v>202608200000029</v>
      </c>
      <c r="Q385" s="24">
        <v>6850</v>
      </c>
      <c r="R385" s="25"/>
      <c r="S385" s="24" t="s">
        <v>167</v>
      </c>
      <c r="T385" s="24" t="s">
        <v>2485</v>
      </c>
      <c r="U385" s="24">
        <v>473.863</v>
      </c>
    </row>
    <row r="386" spans="1:21" ht="16.5" hidden="1" customHeight="1" thickBot="1">
      <c r="A386" s="92" t="s">
        <v>172</v>
      </c>
      <c r="B386" s="93">
        <v>46254</v>
      </c>
      <c r="C386" s="92" t="s">
        <v>1063</v>
      </c>
      <c r="D386" s="92" t="s">
        <v>1064</v>
      </c>
      <c r="E386" s="92"/>
      <c r="F386" s="92" t="s">
        <v>165</v>
      </c>
      <c r="G386" s="88">
        <v>4000</v>
      </c>
      <c r="H386" s="88"/>
      <c r="I386" s="88">
        <v>4000</v>
      </c>
      <c r="J386" s="88">
        <v>0</v>
      </c>
      <c r="K386" s="88"/>
      <c r="L386" s="92"/>
      <c r="M386" s="92" t="s">
        <v>175</v>
      </c>
      <c r="N386"/>
      <c r="O386" s="26">
        <v>20260820</v>
      </c>
      <c r="P386" s="32">
        <v>202608200000030</v>
      </c>
      <c r="Q386" s="27">
        <v>4000</v>
      </c>
      <c r="R386" s="28"/>
      <c r="S386" s="27" t="s">
        <v>167</v>
      </c>
      <c r="T386" s="27" t="s">
        <v>286</v>
      </c>
      <c r="U386" s="27">
        <v>477.863</v>
      </c>
    </row>
    <row r="387" spans="1:21" ht="16.5" hidden="1" customHeight="1" thickBot="1">
      <c r="A387" s="92" t="s">
        <v>162</v>
      </c>
      <c r="B387" s="93">
        <v>46254</v>
      </c>
      <c r="C387" s="92" t="s">
        <v>593</v>
      </c>
      <c r="D387" s="92" t="s">
        <v>594</v>
      </c>
      <c r="E387" s="92"/>
      <c r="F387" s="92" t="s">
        <v>165</v>
      </c>
      <c r="G387" s="88">
        <v>3850</v>
      </c>
      <c r="H387" s="88"/>
      <c r="I387" s="88">
        <v>3850</v>
      </c>
      <c r="J387" s="88">
        <v>0</v>
      </c>
      <c r="K387" s="88"/>
      <c r="L387" s="92"/>
      <c r="M387" s="92" t="s">
        <v>166</v>
      </c>
      <c r="N387"/>
      <c r="O387" s="23">
        <v>20260820</v>
      </c>
      <c r="P387" s="31">
        <v>202608200000031</v>
      </c>
      <c r="Q387" s="24">
        <v>3850</v>
      </c>
      <c r="R387" s="25"/>
      <c r="S387" s="24" t="s">
        <v>167</v>
      </c>
      <c r="T387" s="24" t="s">
        <v>205</v>
      </c>
      <c r="U387" s="24">
        <v>481.71300000000002</v>
      </c>
    </row>
    <row r="388" spans="1:21" ht="16.5" hidden="1" customHeight="1" thickBot="1">
      <c r="A388" s="92" t="s">
        <v>176</v>
      </c>
      <c r="B388" s="93">
        <v>46254</v>
      </c>
      <c r="C388" s="92" t="s">
        <v>637</v>
      </c>
      <c r="D388" s="92" t="s">
        <v>638</v>
      </c>
      <c r="E388" s="92"/>
      <c r="F388" s="92" t="s">
        <v>165</v>
      </c>
      <c r="G388" s="88">
        <v>15400</v>
      </c>
      <c r="H388" s="88"/>
      <c r="I388" s="88">
        <v>15400</v>
      </c>
      <c r="J388" s="88">
        <v>0</v>
      </c>
      <c r="K388" s="88"/>
      <c r="L388" s="92"/>
      <c r="M388" s="92" t="s">
        <v>175</v>
      </c>
      <c r="N388"/>
      <c r="O388" s="26">
        <v>20260820</v>
      </c>
      <c r="P388" s="32">
        <v>202608200000032</v>
      </c>
      <c r="Q388" s="27">
        <v>15400</v>
      </c>
      <c r="R388" s="28"/>
      <c r="S388" s="27" t="s">
        <v>167</v>
      </c>
      <c r="T388" s="27" t="s">
        <v>2486</v>
      </c>
      <c r="U388" s="27">
        <v>497.113</v>
      </c>
    </row>
    <row r="389" spans="1:21" ht="16.5" hidden="1" customHeight="1" thickBot="1">
      <c r="A389" s="92" t="s">
        <v>162</v>
      </c>
      <c r="B389" s="93">
        <v>46254</v>
      </c>
      <c r="C389" s="92" t="s">
        <v>617</v>
      </c>
      <c r="D389" s="92" t="s">
        <v>618</v>
      </c>
      <c r="E389" s="92"/>
      <c r="F389" s="92" t="s">
        <v>165</v>
      </c>
      <c r="G389" s="88">
        <v>4200</v>
      </c>
      <c r="H389" s="88"/>
      <c r="I389" s="88">
        <v>4200</v>
      </c>
      <c r="J389" s="88">
        <v>0</v>
      </c>
      <c r="K389" s="88"/>
      <c r="L389" s="92"/>
      <c r="M389" s="92" t="s">
        <v>166</v>
      </c>
      <c r="N389"/>
      <c r="O389" s="23">
        <v>20260820</v>
      </c>
      <c r="P389" s="31">
        <v>202608200000033</v>
      </c>
      <c r="Q389" s="24">
        <v>4200</v>
      </c>
      <c r="R389" s="25"/>
      <c r="S389" s="24" t="s">
        <v>167</v>
      </c>
      <c r="T389" s="24" t="s">
        <v>2487</v>
      </c>
      <c r="U389" s="24">
        <v>501.31299999999999</v>
      </c>
    </row>
    <row r="390" spans="1:21" ht="32.25" hidden="1" customHeight="1" thickBot="1">
      <c r="A390" s="92" t="s">
        <v>162</v>
      </c>
      <c r="B390" s="93">
        <v>46254</v>
      </c>
      <c r="C390" s="92" t="s">
        <v>634</v>
      </c>
      <c r="D390" s="92" t="s">
        <v>635</v>
      </c>
      <c r="E390" s="92"/>
      <c r="F390" s="92" t="s">
        <v>165</v>
      </c>
      <c r="G390" s="88">
        <v>3850</v>
      </c>
      <c r="H390" s="88"/>
      <c r="I390" s="88">
        <v>3850</v>
      </c>
      <c r="J390" s="88">
        <v>0</v>
      </c>
      <c r="K390" s="88"/>
      <c r="L390" s="92"/>
      <c r="M390" s="92" t="s">
        <v>166</v>
      </c>
      <c r="N390"/>
      <c r="O390" s="26">
        <v>20260820</v>
      </c>
      <c r="P390" s="32">
        <v>202608200000034</v>
      </c>
      <c r="Q390" s="27">
        <v>3850</v>
      </c>
      <c r="R390" s="28"/>
      <c r="S390" s="27" t="s">
        <v>167</v>
      </c>
      <c r="T390" s="27" t="s">
        <v>636</v>
      </c>
      <c r="U390" s="27">
        <v>505.16300000000001</v>
      </c>
    </row>
    <row r="391" spans="1:21" ht="16.5" hidden="1" customHeight="1" thickBot="1">
      <c r="A391" s="92" t="s">
        <v>162</v>
      </c>
      <c r="B391" s="93">
        <v>46254</v>
      </c>
      <c r="C391" s="92" t="s">
        <v>415</v>
      </c>
      <c r="D391" s="92" t="s">
        <v>416</v>
      </c>
      <c r="E391" s="92"/>
      <c r="F391" s="92" t="s">
        <v>165</v>
      </c>
      <c r="G391" s="88">
        <v>3850</v>
      </c>
      <c r="H391" s="88"/>
      <c r="I391" s="88">
        <v>3850</v>
      </c>
      <c r="J391" s="88">
        <v>0</v>
      </c>
      <c r="K391" s="88"/>
      <c r="L391" s="92"/>
      <c r="M391" s="92" t="s">
        <v>166</v>
      </c>
      <c r="N391"/>
      <c r="O391" s="23">
        <v>20260820</v>
      </c>
      <c r="P391" s="31">
        <v>202608200000035</v>
      </c>
      <c r="Q391" s="24">
        <v>3850</v>
      </c>
      <c r="R391" s="25"/>
      <c r="S391" s="24" t="s">
        <v>167</v>
      </c>
      <c r="T391" s="24" t="s">
        <v>208</v>
      </c>
      <c r="U391" s="24">
        <v>509.01299999999998</v>
      </c>
    </row>
    <row r="392" spans="1:21" ht="16.5" hidden="1" customHeight="1" thickBot="1">
      <c r="A392" s="92" t="s">
        <v>162</v>
      </c>
      <c r="B392" s="93">
        <v>46254</v>
      </c>
      <c r="C392" s="92" t="s">
        <v>499</v>
      </c>
      <c r="D392" s="92" t="s">
        <v>500</v>
      </c>
      <c r="E392" s="92"/>
      <c r="F392" s="92" t="s">
        <v>165</v>
      </c>
      <c r="G392" s="88">
        <v>653</v>
      </c>
      <c r="H392" s="88"/>
      <c r="I392" s="88">
        <v>653</v>
      </c>
      <c r="J392" s="88">
        <v>0</v>
      </c>
      <c r="K392" s="88"/>
      <c r="L392" s="92"/>
      <c r="M392" s="92" t="s">
        <v>166</v>
      </c>
      <c r="N392"/>
      <c r="O392" s="26">
        <v>20260820</v>
      </c>
      <c r="P392" s="32">
        <v>202608200000036</v>
      </c>
      <c r="Q392" s="27">
        <v>653</v>
      </c>
      <c r="R392" s="28"/>
      <c r="S392" s="27" t="s">
        <v>167</v>
      </c>
      <c r="T392" s="27" t="s">
        <v>501</v>
      </c>
      <c r="U392" s="27">
        <v>509.666</v>
      </c>
    </row>
    <row r="393" spans="1:21" ht="16.5" hidden="1" customHeight="1" thickBot="1">
      <c r="A393" s="92" t="s">
        <v>162</v>
      </c>
      <c r="B393" s="93">
        <v>46254</v>
      </c>
      <c r="C393" s="92" t="s">
        <v>489</v>
      </c>
      <c r="D393" s="92" t="s">
        <v>490</v>
      </c>
      <c r="E393" s="92"/>
      <c r="F393" s="92" t="s">
        <v>165</v>
      </c>
      <c r="G393" s="88">
        <v>3850</v>
      </c>
      <c r="H393" s="88"/>
      <c r="I393" s="88">
        <v>3850</v>
      </c>
      <c r="J393" s="88">
        <v>0</v>
      </c>
      <c r="K393" s="88"/>
      <c r="L393" s="92"/>
      <c r="M393" s="92" t="s">
        <v>166</v>
      </c>
      <c r="N393"/>
      <c r="O393" s="23">
        <v>20260820</v>
      </c>
      <c r="P393" s="31">
        <v>202608200000037</v>
      </c>
      <c r="Q393" s="24">
        <v>3850</v>
      </c>
      <c r="R393" s="25"/>
      <c r="S393" s="24" t="s">
        <v>167</v>
      </c>
      <c r="T393" s="24" t="s">
        <v>2488</v>
      </c>
      <c r="U393" s="24">
        <v>513.51599999999996</v>
      </c>
    </row>
    <row r="394" spans="1:21" ht="16.5" hidden="1" customHeight="1" thickBot="1">
      <c r="A394" s="92" t="s">
        <v>162</v>
      </c>
      <c r="B394" s="93">
        <v>46255</v>
      </c>
      <c r="C394" s="92" t="s">
        <v>739</v>
      </c>
      <c r="D394" s="92" t="s">
        <v>740</v>
      </c>
      <c r="E394" s="92"/>
      <c r="F394" s="92" t="s">
        <v>165</v>
      </c>
      <c r="G394" s="88">
        <v>3850</v>
      </c>
      <c r="H394" s="88"/>
      <c r="I394" s="88">
        <v>3850</v>
      </c>
      <c r="J394" s="88">
        <v>0</v>
      </c>
      <c r="K394" s="88"/>
      <c r="L394" s="92"/>
      <c r="M394" s="92" t="s">
        <v>166</v>
      </c>
      <c r="N394"/>
      <c r="O394" s="26">
        <v>20260821</v>
      </c>
      <c r="P394" s="32">
        <v>202608210000001</v>
      </c>
      <c r="Q394" s="27">
        <v>3850</v>
      </c>
      <c r="R394" s="28"/>
      <c r="S394" s="27" t="s">
        <v>167</v>
      </c>
      <c r="T394" s="27" t="s">
        <v>412</v>
      </c>
      <c r="U394" s="27">
        <v>517.36599999999999</v>
      </c>
    </row>
    <row r="395" spans="1:21" ht="16.5" hidden="1" customHeight="1" thickBot="1">
      <c r="A395" s="92" t="s">
        <v>162</v>
      </c>
      <c r="B395" s="93">
        <v>46255</v>
      </c>
      <c r="C395" s="92" t="s">
        <v>629</v>
      </c>
      <c r="D395" s="92" t="s">
        <v>630</v>
      </c>
      <c r="E395" s="92"/>
      <c r="F395" s="92" t="s">
        <v>165</v>
      </c>
      <c r="G395" s="88">
        <v>2800</v>
      </c>
      <c r="H395" s="88"/>
      <c r="I395" s="88">
        <v>2800</v>
      </c>
      <c r="J395" s="88">
        <v>0</v>
      </c>
      <c r="K395" s="88"/>
      <c r="L395" s="92"/>
      <c r="M395" s="92" t="s">
        <v>166</v>
      </c>
      <c r="N395"/>
      <c r="O395" s="23">
        <v>20260821</v>
      </c>
      <c r="P395" s="31">
        <v>202608210000002</v>
      </c>
      <c r="Q395" s="24">
        <v>2800</v>
      </c>
      <c r="R395" s="25"/>
      <c r="S395" s="24" t="s">
        <v>167</v>
      </c>
      <c r="T395" s="24" t="s">
        <v>205</v>
      </c>
      <c r="U395" s="24">
        <v>520.16600000000005</v>
      </c>
    </row>
    <row r="396" spans="1:21" ht="32.25" hidden="1" customHeight="1" thickBot="1">
      <c r="A396" s="92" t="s">
        <v>162</v>
      </c>
      <c r="B396" s="93">
        <v>46255</v>
      </c>
      <c r="C396" s="92" t="s">
        <v>537</v>
      </c>
      <c r="D396" s="92" t="s">
        <v>538</v>
      </c>
      <c r="E396" s="92"/>
      <c r="F396" s="92" t="s">
        <v>165</v>
      </c>
      <c r="G396" s="88">
        <v>1077</v>
      </c>
      <c r="H396" s="88"/>
      <c r="I396" s="88">
        <v>1077</v>
      </c>
      <c r="J396" s="88">
        <v>0</v>
      </c>
      <c r="K396" s="88"/>
      <c r="L396" s="92"/>
      <c r="M396" s="92" t="s">
        <v>166</v>
      </c>
      <c r="N396"/>
      <c r="O396" s="26">
        <v>20260821</v>
      </c>
      <c r="P396" s="32">
        <v>202608210000003</v>
      </c>
      <c r="Q396" s="27">
        <v>1077</v>
      </c>
      <c r="R396" s="28"/>
      <c r="S396" s="27" t="s">
        <v>167</v>
      </c>
      <c r="T396" s="27" t="s">
        <v>2489</v>
      </c>
      <c r="U396" s="27">
        <v>521.24300000000005</v>
      </c>
    </row>
    <row r="397" spans="1:21" ht="16.5" hidden="1" customHeight="1" thickBot="1">
      <c r="A397" s="92" t="s">
        <v>162</v>
      </c>
      <c r="B397" s="93">
        <v>46255</v>
      </c>
      <c r="C397" s="92" t="s">
        <v>699</v>
      </c>
      <c r="D397" s="92" t="s">
        <v>700</v>
      </c>
      <c r="E397" s="92"/>
      <c r="F397" s="92" t="s">
        <v>165</v>
      </c>
      <c r="G397" s="88">
        <v>3850</v>
      </c>
      <c r="H397" s="88"/>
      <c r="I397" s="88">
        <v>3850</v>
      </c>
      <c r="J397" s="88">
        <v>0</v>
      </c>
      <c r="K397" s="88"/>
      <c r="L397" s="92"/>
      <c r="M397" s="92" t="s">
        <v>166</v>
      </c>
      <c r="N397"/>
      <c r="O397" s="23">
        <v>20260821</v>
      </c>
      <c r="P397" s="31">
        <v>202608210000004</v>
      </c>
      <c r="Q397" s="24">
        <v>3850</v>
      </c>
      <c r="R397" s="25"/>
      <c r="S397" s="24" t="s">
        <v>167</v>
      </c>
      <c r="T397" s="24" t="s">
        <v>557</v>
      </c>
      <c r="U397" s="24">
        <v>525.09299999999996</v>
      </c>
    </row>
    <row r="398" spans="1:21" ht="16.5" hidden="1" customHeight="1" thickBot="1">
      <c r="A398" s="92" t="s">
        <v>162</v>
      </c>
      <c r="B398" s="93">
        <v>46255</v>
      </c>
      <c r="C398" s="92" t="s">
        <v>555</v>
      </c>
      <c r="D398" s="92" t="s">
        <v>556</v>
      </c>
      <c r="E398" s="92"/>
      <c r="F398" s="92" t="s">
        <v>165</v>
      </c>
      <c r="G398" s="88">
        <v>3850</v>
      </c>
      <c r="H398" s="88"/>
      <c r="I398" s="88">
        <v>3850</v>
      </c>
      <c r="J398" s="88">
        <v>0</v>
      </c>
      <c r="K398" s="88"/>
      <c r="L398" s="92"/>
      <c r="M398" s="92" t="s">
        <v>166</v>
      </c>
      <c r="N398"/>
      <c r="O398" s="26">
        <v>20260821</v>
      </c>
      <c r="P398" s="32">
        <v>202608210000005</v>
      </c>
      <c r="Q398" s="27">
        <v>3850</v>
      </c>
      <c r="R398" s="28"/>
      <c r="S398" s="27" t="s">
        <v>167</v>
      </c>
      <c r="T398" s="27" t="s">
        <v>234</v>
      </c>
      <c r="U398" s="27">
        <v>528.94299999999998</v>
      </c>
    </row>
    <row r="399" spans="1:21" ht="16.5" hidden="1" customHeight="1" thickBot="1">
      <c r="A399" s="92" t="s">
        <v>172</v>
      </c>
      <c r="B399" s="93">
        <v>46255</v>
      </c>
      <c r="C399" s="92" t="s">
        <v>240</v>
      </c>
      <c r="D399" s="92" t="s">
        <v>241</v>
      </c>
      <c r="E399" s="92"/>
      <c r="F399" s="92" t="s">
        <v>165</v>
      </c>
      <c r="G399" s="88">
        <v>3850</v>
      </c>
      <c r="H399" s="88"/>
      <c r="I399" s="88">
        <v>3850</v>
      </c>
      <c r="J399" s="88">
        <v>0</v>
      </c>
      <c r="K399" s="88"/>
      <c r="L399" s="92"/>
      <c r="M399" s="92" t="s">
        <v>175</v>
      </c>
      <c r="N399"/>
      <c r="O399" s="23">
        <v>20260821</v>
      </c>
      <c r="P399" s="31">
        <v>202608210000006</v>
      </c>
      <c r="Q399" s="24">
        <v>3850</v>
      </c>
      <c r="R399" s="25"/>
      <c r="S399" s="24" t="s">
        <v>184</v>
      </c>
      <c r="T399" s="24" t="s">
        <v>741</v>
      </c>
      <c r="U399" s="24">
        <v>532.79300000000001</v>
      </c>
    </row>
    <row r="400" spans="1:21" ht="16.5" hidden="1" customHeight="1" thickBot="1">
      <c r="A400" s="92" t="s">
        <v>180</v>
      </c>
      <c r="B400" s="93">
        <v>46255</v>
      </c>
      <c r="C400" s="92" t="s">
        <v>1617</v>
      </c>
      <c r="D400" s="92" t="s">
        <v>1618</v>
      </c>
      <c r="E400" s="92"/>
      <c r="F400" s="92" t="s">
        <v>165</v>
      </c>
      <c r="G400" s="88">
        <v>4197</v>
      </c>
      <c r="H400" s="88">
        <v>3000</v>
      </c>
      <c r="I400" s="88">
        <v>1197</v>
      </c>
      <c r="J400" s="88">
        <v>0</v>
      </c>
      <c r="K400" s="88"/>
      <c r="L400" s="92"/>
      <c r="M400" s="92" t="s">
        <v>175</v>
      </c>
      <c r="N400"/>
      <c r="O400" s="26">
        <v>20260821</v>
      </c>
      <c r="P400" s="32">
        <v>202608210000007</v>
      </c>
      <c r="Q400" s="27">
        <v>4197</v>
      </c>
      <c r="R400" s="28"/>
      <c r="S400" s="27" t="s">
        <v>167</v>
      </c>
      <c r="T400" s="27" t="s">
        <v>2490</v>
      </c>
      <c r="U400" s="27">
        <v>536.99</v>
      </c>
    </row>
    <row r="401" spans="1:21" ht="16.5" customHeight="1" thickBot="1">
      <c r="A401" s="92" t="s">
        <v>172</v>
      </c>
      <c r="B401" s="93">
        <v>46255</v>
      </c>
      <c r="C401" s="92" t="s">
        <v>3131</v>
      </c>
      <c r="D401" s="92" t="s">
        <v>3132</v>
      </c>
      <c r="E401" s="92"/>
      <c r="F401" s="92" t="s">
        <v>179</v>
      </c>
      <c r="G401" s="88">
        <v>4290</v>
      </c>
      <c r="H401" s="88">
        <v>4000</v>
      </c>
      <c r="I401" s="88">
        <v>290</v>
      </c>
      <c r="J401" s="88">
        <v>0</v>
      </c>
      <c r="K401" s="88"/>
      <c r="L401" s="92"/>
      <c r="M401" s="92" t="s">
        <v>175</v>
      </c>
      <c r="N401" t="s">
        <v>4212</v>
      </c>
      <c r="O401" s="23">
        <v>20260821</v>
      </c>
      <c r="P401" s="31">
        <v>202608210000008</v>
      </c>
      <c r="Q401" s="24">
        <v>4290</v>
      </c>
      <c r="R401" s="25"/>
      <c r="S401" s="24" t="s">
        <v>167</v>
      </c>
      <c r="T401" s="24" t="s">
        <v>2491</v>
      </c>
      <c r="U401" s="24">
        <v>541.28</v>
      </c>
    </row>
    <row r="402" spans="1:21" ht="16.5" hidden="1" customHeight="1" thickBot="1">
      <c r="A402" s="92" t="s">
        <v>172</v>
      </c>
      <c r="B402" s="93">
        <v>46255</v>
      </c>
      <c r="C402" s="92" t="s">
        <v>3133</v>
      </c>
      <c r="D402" s="92" t="s">
        <v>3134</v>
      </c>
      <c r="E402" s="92"/>
      <c r="F402" s="92" t="s">
        <v>165</v>
      </c>
      <c r="G402" s="88">
        <v>5215</v>
      </c>
      <c r="H402" s="88">
        <v>3000</v>
      </c>
      <c r="I402" s="88">
        <v>2215</v>
      </c>
      <c r="J402" s="88">
        <v>0</v>
      </c>
      <c r="K402" s="88"/>
      <c r="L402" s="92"/>
      <c r="M402" s="92" t="s">
        <v>175</v>
      </c>
      <c r="N402"/>
      <c r="O402" s="26">
        <v>20260821</v>
      </c>
      <c r="P402" s="32">
        <v>202608210000009</v>
      </c>
      <c r="Q402" s="27">
        <v>5215</v>
      </c>
      <c r="R402" s="28"/>
      <c r="S402" s="27" t="s">
        <v>167</v>
      </c>
      <c r="T402" s="27" t="s">
        <v>2492</v>
      </c>
      <c r="U402" s="27">
        <v>546.495</v>
      </c>
    </row>
    <row r="403" spans="1:21" ht="16.5" customHeight="1" thickBot="1">
      <c r="A403" s="92" t="s">
        <v>172</v>
      </c>
      <c r="B403" s="93">
        <v>46255</v>
      </c>
      <c r="C403" s="92" t="s">
        <v>3135</v>
      </c>
      <c r="D403" s="92" t="s">
        <v>3136</v>
      </c>
      <c r="E403" s="92"/>
      <c r="F403" s="92" t="s">
        <v>179</v>
      </c>
      <c r="G403" s="88">
        <v>3797</v>
      </c>
      <c r="H403" s="88">
        <v>3304</v>
      </c>
      <c r="I403" s="88">
        <v>493</v>
      </c>
      <c r="J403" s="88">
        <v>0</v>
      </c>
      <c r="K403" s="88"/>
      <c r="L403" s="92"/>
      <c r="M403" s="92" t="s">
        <v>175</v>
      </c>
      <c r="N403" t="s">
        <v>4220</v>
      </c>
      <c r="O403" s="23">
        <v>20260821</v>
      </c>
      <c r="P403" s="31">
        <v>202608210000010</v>
      </c>
      <c r="Q403" s="24">
        <v>3797</v>
      </c>
      <c r="R403" s="25"/>
      <c r="S403" s="24" t="s">
        <v>167</v>
      </c>
      <c r="T403" s="24" t="s">
        <v>2493</v>
      </c>
      <c r="U403" s="24">
        <v>550.29200000000003</v>
      </c>
    </row>
    <row r="404" spans="1:21" ht="16.5" hidden="1" customHeight="1" thickBot="1">
      <c r="A404" s="92" t="s">
        <v>172</v>
      </c>
      <c r="B404" s="93">
        <v>46255</v>
      </c>
      <c r="C404" s="92" t="s">
        <v>3137</v>
      </c>
      <c r="D404" s="92" t="s">
        <v>3138</v>
      </c>
      <c r="E404" s="92"/>
      <c r="F404" s="92" t="s">
        <v>165</v>
      </c>
      <c r="G404" s="88">
        <v>8295</v>
      </c>
      <c r="H404" s="88">
        <v>3000</v>
      </c>
      <c r="I404" s="88">
        <v>5295</v>
      </c>
      <c r="J404" s="88">
        <v>0</v>
      </c>
      <c r="K404" s="88"/>
      <c r="L404" s="92"/>
      <c r="M404" s="92" t="s">
        <v>175</v>
      </c>
      <c r="N404"/>
      <c r="O404" s="26">
        <v>20260821</v>
      </c>
      <c r="P404" s="32">
        <v>202608210000011</v>
      </c>
      <c r="Q404" s="27">
        <v>8295</v>
      </c>
      <c r="R404" s="28"/>
      <c r="S404" s="27" t="s">
        <v>167</v>
      </c>
      <c r="T404" s="27" t="s">
        <v>2494</v>
      </c>
      <c r="U404" s="27">
        <v>558.58699999999999</v>
      </c>
    </row>
    <row r="405" spans="1:21" ht="16.5" hidden="1" customHeight="1" thickBot="1">
      <c r="A405" s="92" t="s">
        <v>172</v>
      </c>
      <c r="B405" s="93">
        <v>46255</v>
      </c>
      <c r="C405" s="92" t="s">
        <v>3139</v>
      </c>
      <c r="D405" s="92" t="s">
        <v>3140</v>
      </c>
      <c r="E405" s="92"/>
      <c r="F405" s="92" t="s">
        <v>165</v>
      </c>
      <c r="G405" s="88">
        <v>4445</v>
      </c>
      <c r="H405" s="88">
        <v>3000</v>
      </c>
      <c r="I405" s="88">
        <v>1445</v>
      </c>
      <c r="J405" s="88">
        <v>0</v>
      </c>
      <c r="K405" s="88"/>
      <c r="L405" s="92"/>
      <c r="M405" s="92" t="s">
        <v>175</v>
      </c>
      <c r="N405"/>
      <c r="O405" s="23">
        <v>20260821</v>
      </c>
      <c r="P405" s="31">
        <v>202608210000012</v>
      </c>
      <c r="Q405" s="24">
        <v>4445</v>
      </c>
      <c r="R405" s="25"/>
      <c r="S405" s="24" t="s">
        <v>167</v>
      </c>
      <c r="T405" s="24" t="s">
        <v>2495</v>
      </c>
      <c r="U405" s="24">
        <v>563.03200000000004</v>
      </c>
    </row>
    <row r="406" spans="1:21" ht="16.5" hidden="1" customHeight="1" thickBot="1">
      <c r="A406" s="92" t="s">
        <v>176</v>
      </c>
      <c r="B406" s="93">
        <v>46255</v>
      </c>
      <c r="C406" s="92" t="s">
        <v>3141</v>
      </c>
      <c r="D406" s="92" t="s">
        <v>3142</v>
      </c>
      <c r="E406" s="92"/>
      <c r="F406" s="92" t="s">
        <v>165</v>
      </c>
      <c r="G406" s="88">
        <v>9490</v>
      </c>
      <c r="H406" s="88">
        <v>4000</v>
      </c>
      <c r="I406" s="88">
        <v>5490</v>
      </c>
      <c r="J406" s="88">
        <v>0</v>
      </c>
      <c r="K406" s="88"/>
      <c r="L406" s="92"/>
      <c r="M406" s="92" t="s">
        <v>175</v>
      </c>
      <c r="N406"/>
      <c r="O406" s="26">
        <v>20260821</v>
      </c>
      <c r="P406" s="32">
        <v>202608210000013</v>
      </c>
      <c r="Q406" s="27">
        <v>9490</v>
      </c>
      <c r="R406" s="28"/>
      <c r="S406" s="27" t="s">
        <v>167</v>
      </c>
      <c r="T406" s="27" t="s">
        <v>2496</v>
      </c>
      <c r="U406" s="27">
        <v>572.52200000000005</v>
      </c>
    </row>
    <row r="407" spans="1:21" ht="16.5" customHeight="1" thickBot="1">
      <c r="A407" s="92" t="s">
        <v>172</v>
      </c>
      <c r="B407" s="93">
        <v>46255</v>
      </c>
      <c r="C407" s="92" t="s">
        <v>3143</v>
      </c>
      <c r="D407" s="92" t="s">
        <v>3144</v>
      </c>
      <c r="E407" s="92"/>
      <c r="F407" s="92" t="s">
        <v>179</v>
      </c>
      <c r="G407" s="88">
        <v>4290</v>
      </c>
      <c r="H407" s="88">
        <v>4000</v>
      </c>
      <c r="I407" s="88">
        <v>290</v>
      </c>
      <c r="J407" s="88">
        <v>0</v>
      </c>
      <c r="K407" s="88"/>
      <c r="L407" s="92"/>
      <c r="M407" s="92" t="s">
        <v>175</v>
      </c>
      <c r="N407" t="s">
        <v>4218</v>
      </c>
      <c r="O407" s="23">
        <v>20260821</v>
      </c>
      <c r="P407" s="31">
        <v>202608210000014</v>
      </c>
      <c r="Q407" s="24">
        <v>4290</v>
      </c>
      <c r="R407" s="25"/>
      <c r="S407" s="24" t="s">
        <v>167</v>
      </c>
      <c r="T407" s="24" t="s">
        <v>2497</v>
      </c>
      <c r="U407" s="24">
        <v>576.81200000000001</v>
      </c>
    </row>
    <row r="408" spans="1:21" ht="16.5" hidden="1" customHeight="1" thickBot="1">
      <c r="A408" s="92" t="s">
        <v>172</v>
      </c>
      <c r="B408" s="93">
        <v>46255</v>
      </c>
      <c r="C408" s="92" t="s">
        <v>3145</v>
      </c>
      <c r="D408" s="92" t="s">
        <v>3146</v>
      </c>
      <c r="E408" s="92"/>
      <c r="F408" s="92" t="s">
        <v>165</v>
      </c>
      <c r="G408" s="88">
        <v>5215</v>
      </c>
      <c r="H408" s="88">
        <v>3000</v>
      </c>
      <c r="I408" s="88">
        <v>2215</v>
      </c>
      <c r="J408" s="88">
        <v>0</v>
      </c>
      <c r="K408" s="88"/>
      <c r="L408" s="92"/>
      <c r="M408" s="92" t="s">
        <v>175</v>
      </c>
      <c r="N408"/>
      <c r="O408" s="26">
        <v>20260821</v>
      </c>
      <c r="P408" s="32">
        <v>202608210000015</v>
      </c>
      <c r="Q408" s="27">
        <v>5215</v>
      </c>
      <c r="R408" s="28"/>
      <c r="S408" s="27" t="s">
        <v>167</v>
      </c>
      <c r="T408" s="27" t="s">
        <v>2498</v>
      </c>
      <c r="U408" s="27">
        <v>582.02700000000004</v>
      </c>
    </row>
    <row r="409" spans="1:21" ht="16.5" hidden="1" customHeight="1" thickBot="1">
      <c r="A409" s="92" t="s">
        <v>162</v>
      </c>
      <c r="B409" s="93">
        <v>46255</v>
      </c>
      <c r="C409" s="92" t="s">
        <v>185</v>
      </c>
      <c r="D409" s="92" t="s">
        <v>186</v>
      </c>
      <c r="E409" s="92"/>
      <c r="F409" s="92" t="s">
        <v>165</v>
      </c>
      <c r="G409" s="88">
        <v>3850</v>
      </c>
      <c r="H409" s="88"/>
      <c r="I409" s="88">
        <v>3850</v>
      </c>
      <c r="J409" s="88">
        <v>0</v>
      </c>
      <c r="K409" s="88"/>
      <c r="L409" s="92"/>
      <c r="M409" s="92" t="s">
        <v>166</v>
      </c>
      <c r="N409"/>
      <c r="O409" s="26">
        <v>20260821</v>
      </c>
      <c r="P409" s="32">
        <v>202608210000016</v>
      </c>
      <c r="Q409" s="27">
        <v>3850</v>
      </c>
      <c r="R409" s="28"/>
      <c r="S409" s="27" t="s">
        <v>167</v>
      </c>
      <c r="T409" s="27" t="s">
        <v>193</v>
      </c>
      <c r="U409" s="27">
        <v>585.87699999999995</v>
      </c>
    </row>
    <row r="410" spans="1:21" ht="16.5" hidden="1" customHeight="1" thickBot="1">
      <c r="A410" s="92" t="s">
        <v>162</v>
      </c>
      <c r="B410" s="93">
        <v>46255</v>
      </c>
      <c r="C410" s="92" t="s">
        <v>668</v>
      </c>
      <c r="D410" s="92" t="s">
        <v>669</v>
      </c>
      <c r="E410" s="92"/>
      <c r="F410" s="92" t="s">
        <v>165</v>
      </c>
      <c r="G410" s="88">
        <v>3850</v>
      </c>
      <c r="H410" s="88"/>
      <c r="I410" s="88">
        <v>3850</v>
      </c>
      <c r="J410" s="88">
        <v>0</v>
      </c>
      <c r="K410" s="88"/>
      <c r="L410" s="92"/>
      <c r="M410" s="92" t="s">
        <v>166</v>
      </c>
      <c r="N410"/>
      <c r="O410" s="23">
        <v>20260821</v>
      </c>
      <c r="P410" s="31">
        <v>202608210000017</v>
      </c>
      <c r="Q410" s="24">
        <v>3850</v>
      </c>
      <c r="R410" s="25"/>
      <c r="S410" s="24" t="s">
        <v>167</v>
      </c>
      <c r="T410" s="24" t="s">
        <v>2499</v>
      </c>
      <c r="U410" s="24">
        <v>589.72699999999998</v>
      </c>
    </row>
    <row r="411" spans="1:21" ht="16.5" hidden="1" customHeight="1" thickBot="1">
      <c r="A411" s="92" t="s">
        <v>162</v>
      </c>
      <c r="B411" s="93">
        <v>46255</v>
      </c>
      <c r="C411" s="92" t="s">
        <v>2112</v>
      </c>
      <c r="D411" s="92" t="s">
        <v>2113</v>
      </c>
      <c r="E411" s="92"/>
      <c r="F411" s="92" t="s">
        <v>165</v>
      </c>
      <c r="G411" s="88">
        <v>3850</v>
      </c>
      <c r="H411" s="88"/>
      <c r="I411" s="88">
        <v>3850</v>
      </c>
      <c r="J411" s="88">
        <v>0</v>
      </c>
      <c r="K411" s="88"/>
      <c r="L411" s="92"/>
      <c r="M411" s="92" t="s">
        <v>166</v>
      </c>
      <c r="N411"/>
      <c r="O411" s="26">
        <v>20260821</v>
      </c>
      <c r="P411" s="32">
        <v>202608210000018</v>
      </c>
      <c r="Q411" s="27">
        <v>3850</v>
      </c>
      <c r="R411" s="28"/>
      <c r="S411" s="27" t="s">
        <v>167</v>
      </c>
      <c r="T411" s="27" t="s">
        <v>2500</v>
      </c>
      <c r="U411" s="27">
        <v>593.577</v>
      </c>
    </row>
    <row r="412" spans="1:21" ht="16.5" hidden="1" customHeight="1" thickBot="1">
      <c r="A412" s="92" t="s">
        <v>162</v>
      </c>
      <c r="B412" s="93">
        <v>46255</v>
      </c>
      <c r="C412" s="92" t="s">
        <v>721</v>
      </c>
      <c r="D412" s="92" t="s">
        <v>722</v>
      </c>
      <c r="E412" s="92"/>
      <c r="F412" s="92" t="s">
        <v>165</v>
      </c>
      <c r="G412" s="88">
        <v>3850</v>
      </c>
      <c r="H412" s="88"/>
      <c r="I412" s="88">
        <v>3850</v>
      </c>
      <c r="J412" s="88">
        <v>0</v>
      </c>
      <c r="K412" s="88"/>
      <c r="L412" s="92"/>
      <c r="M412" s="92" t="s">
        <v>166</v>
      </c>
      <c r="N412"/>
      <c r="O412" s="23">
        <v>20260821</v>
      </c>
      <c r="P412" s="31">
        <v>202608210000019</v>
      </c>
      <c r="Q412" s="24">
        <v>3850</v>
      </c>
      <c r="R412" s="25"/>
      <c r="S412" s="24" t="s">
        <v>167</v>
      </c>
      <c r="T412" s="24" t="s">
        <v>723</v>
      </c>
      <c r="U412" s="24">
        <v>597.42700000000002</v>
      </c>
    </row>
    <row r="413" spans="1:21" ht="16.5" hidden="1" customHeight="1" thickBot="1">
      <c r="A413" s="92" t="s">
        <v>162</v>
      </c>
      <c r="B413" s="93">
        <v>46255</v>
      </c>
      <c r="C413" s="92" t="s">
        <v>3147</v>
      </c>
      <c r="D413" s="92" t="s">
        <v>3148</v>
      </c>
      <c r="E413" s="92"/>
      <c r="F413" s="92" t="s">
        <v>165</v>
      </c>
      <c r="G413" s="88">
        <v>7700</v>
      </c>
      <c r="H413" s="88"/>
      <c r="I413" s="88">
        <v>7700</v>
      </c>
      <c r="J413" s="88">
        <v>0</v>
      </c>
      <c r="K413" s="88"/>
      <c r="L413" s="92"/>
      <c r="M413" s="92" t="s">
        <v>166</v>
      </c>
      <c r="N413"/>
      <c r="O413" s="26">
        <v>20260821</v>
      </c>
      <c r="P413" s="32">
        <v>202608210000020</v>
      </c>
      <c r="Q413" s="27">
        <v>7700</v>
      </c>
      <c r="R413" s="28"/>
      <c r="S413" s="27" t="s">
        <v>359</v>
      </c>
      <c r="T413" s="27" t="s">
        <v>2501</v>
      </c>
      <c r="U413" s="27">
        <v>605.12699999999995</v>
      </c>
    </row>
    <row r="414" spans="1:21" ht="16.5" hidden="1" customHeight="1" thickBot="1">
      <c r="A414" s="92" t="s">
        <v>162</v>
      </c>
      <c r="B414" s="93">
        <v>46255</v>
      </c>
      <c r="C414" s="92" t="s">
        <v>731</v>
      </c>
      <c r="D414" s="92" t="s">
        <v>732</v>
      </c>
      <c r="E414" s="92"/>
      <c r="F414" s="92" t="s">
        <v>165</v>
      </c>
      <c r="G414" s="88">
        <v>3850</v>
      </c>
      <c r="H414" s="88"/>
      <c r="I414" s="88">
        <v>3850</v>
      </c>
      <c r="J414" s="88">
        <v>0</v>
      </c>
      <c r="K414" s="88"/>
      <c r="L414" s="92"/>
      <c r="M414" s="92" t="s">
        <v>166</v>
      </c>
      <c r="O414" s="20">
        <v>20260821</v>
      </c>
      <c r="P414" s="30">
        <v>202608210000021</v>
      </c>
      <c r="Q414" s="21">
        <v>3850</v>
      </c>
      <c r="R414" s="22"/>
      <c r="S414" s="21" t="s">
        <v>167</v>
      </c>
      <c r="T414" s="21" t="s">
        <v>572</v>
      </c>
      <c r="U414" s="21">
        <v>608.97699999999998</v>
      </c>
    </row>
    <row r="415" spans="1:21" ht="16.5" hidden="1" customHeight="1" thickBot="1">
      <c r="A415" s="92" t="s">
        <v>162</v>
      </c>
      <c r="B415" s="93">
        <v>46255</v>
      </c>
      <c r="C415" s="92" t="s">
        <v>3149</v>
      </c>
      <c r="D415" s="92" t="s">
        <v>3150</v>
      </c>
      <c r="E415" s="92"/>
      <c r="F415" s="92" t="s">
        <v>165</v>
      </c>
      <c r="G415" s="88">
        <v>5050</v>
      </c>
      <c r="H415" s="88"/>
      <c r="I415" s="88">
        <v>5050</v>
      </c>
      <c r="J415" s="88">
        <v>0</v>
      </c>
      <c r="K415" s="88"/>
      <c r="L415" s="92"/>
      <c r="M415" s="92" t="s">
        <v>166</v>
      </c>
      <c r="N415"/>
      <c r="O415" s="26">
        <v>20260821</v>
      </c>
      <c r="P415" s="32">
        <v>202608210000022</v>
      </c>
      <c r="Q415" s="27">
        <v>5050</v>
      </c>
      <c r="R415" s="28"/>
      <c r="S415" s="27" t="s">
        <v>167</v>
      </c>
      <c r="T415" s="27" t="s">
        <v>208</v>
      </c>
      <c r="U415" s="27">
        <v>614.02700000000004</v>
      </c>
    </row>
    <row r="416" spans="1:21" ht="16.5" hidden="1" customHeight="1" thickBot="1">
      <c r="A416" s="92" t="s">
        <v>162</v>
      </c>
      <c r="B416" s="93">
        <v>46255</v>
      </c>
      <c r="C416" s="92" t="s">
        <v>737</v>
      </c>
      <c r="D416" s="92" t="s">
        <v>738</v>
      </c>
      <c r="E416" s="92"/>
      <c r="F416" s="92" t="s">
        <v>165</v>
      </c>
      <c r="G416" s="88">
        <v>3850</v>
      </c>
      <c r="H416" s="88"/>
      <c r="I416" s="88">
        <v>3850</v>
      </c>
      <c r="J416" s="88">
        <v>0</v>
      </c>
      <c r="K416" s="88"/>
      <c r="L416" s="92"/>
      <c r="M416" s="92" t="s">
        <v>166</v>
      </c>
      <c r="N416"/>
      <c r="O416" s="23">
        <v>20260821</v>
      </c>
      <c r="P416" s="31">
        <v>202608210000023</v>
      </c>
      <c r="Q416" s="24">
        <v>3850</v>
      </c>
      <c r="R416" s="25"/>
      <c r="S416" s="24" t="s">
        <v>167</v>
      </c>
      <c r="T416" s="24" t="s">
        <v>406</v>
      </c>
      <c r="U416" s="24">
        <v>617.87699999999995</v>
      </c>
    </row>
    <row r="417" spans="1:21" ht="16.5" hidden="1" customHeight="1" thickBot="1">
      <c r="A417" s="92" t="s">
        <v>3293</v>
      </c>
      <c r="B417" s="93">
        <v>46255</v>
      </c>
      <c r="C417" s="92" t="s">
        <v>1116</v>
      </c>
      <c r="D417" s="92" t="s">
        <v>1117</v>
      </c>
      <c r="E417" s="92"/>
      <c r="F417" s="92" t="s">
        <v>165</v>
      </c>
      <c r="G417" s="88">
        <v>4000</v>
      </c>
      <c r="H417" s="88"/>
      <c r="I417" s="88">
        <v>4000</v>
      </c>
      <c r="J417" s="88">
        <v>0</v>
      </c>
      <c r="K417" s="88"/>
      <c r="L417" s="92"/>
      <c r="M417" s="92" t="s">
        <v>175</v>
      </c>
      <c r="N417"/>
      <c r="O417" s="26">
        <v>20260821</v>
      </c>
      <c r="P417" s="32">
        <v>202608210000024</v>
      </c>
      <c r="Q417" s="27">
        <v>4000</v>
      </c>
      <c r="R417" s="28"/>
      <c r="S417" s="27" t="s">
        <v>167</v>
      </c>
      <c r="T417" s="27" t="s">
        <v>734</v>
      </c>
      <c r="U417" s="27">
        <v>621.87699999999995</v>
      </c>
    </row>
    <row r="418" spans="1:21" ht="16.5" customHeight="1" thickBot="1">
      <c r="A418" s="92" t="s">
        <v>3293</v>
      </c>
      <c r="B418" s="93">
        <v>46255</v>
      </c>
      <c r="C418" s="92" t="s">
        <v>214</v>
      </c>
      <c r="D418" s="92" t="s">
        <v>215</v>
      </c>
      <c r="E418" s="92"/>
      <c r="F418" s="92" t="s">
        <v>179</v>
      </c>
      <c r="G418" s="88">
        <v>6850</v>
      </c>
      <c r="H418" s="88">
        <v>6850</v>
      </c>
      <c r="I418" s="88">
        <v>0</v>
      </c>
      <c r="J418" s="88">
        <v>0</v>
      </c>
      <c r="K418" s="88"/>
      <c r="L418" s="92"/>
      <c r="M418" s="92" t="s">
        <v>175</v>
      </c>
      <c r="N418" t="s">
        <v>4268</v>
      </c>
      <c r="O418" s="23">
        <v>20260821</v>
      </c>
      <c r="P418" s="31">
        <v>202608210000025</v>
      </c>
      <c r="Q418" s="24">
        <v>6850</v>
      </c>
      <c r="R418" s="25"/>
      <c r="S418" s="24" t="s">
        <v>167</v>
      </c>
      <c r="T418" s="24" t="s">
        <v>491</v>
      </c>
      <c r="U418" s="24">
        <v>628.72699999999998</v>
      </c>
    </row>
    <row r="419" spans="1:21" ht="16.5" customHeight="1" thickBot="1">
      <c r="A419" s="92" t="s">
        <v>3293</v>
      </c>
      <c r="B419" s="93">
        <v>46255</v>
      </c>
      <c r="C419" s="92" t="s">
        <v>177</v>
      </c>
      <c r="D419" s="92" t="s">
        <v>178</v>
      </c>
      <c r="E419" s="92"/>
      <c r="F419" s="92" t="s">
        <v>179</v>
      </c>
      <c r="G419" s="88">
        <v>6850</v>
      </c>
      <c r="H419" s="88">
        <v>6850</v>
      </c>
      <c r="I419" s="88">
        <v>0</v>
      </c>
      <c r="J419" s="88">
        <v>0</v>
      </c>
      <c r="K419" s="88"/>
      <c r="L419" s="92"/>
      <c r="M419" s="92" t="s">
        <v>175</v>
      </c>
      <c r="N419" t="s">
        <v>4186</v>
      </c>
      <c r="O419" s="26">
        <v>20260821</v>
      </c>
      <c r="P419" s="32">
        <v>202608210000026</v>
      </c>
      <c r="Q419" s="27">
        <v>6850</v>
      </c>
      <c r="R419" s="28"/>
      <c r="S419" s="27" t="s">
        <v>167</v>
      </c>
      <c r="T419" s="27" t="s">
        <v>2502</v>
      </c>
      <c r="U419" s="27">
        <v>635.577</v>
      </c>
    </row>
    <row r="420" spans="1:21" ht="16.5" hidden="1" customHeight="1" thickBot="1">
      <c r="A420" s="92" t="s">
        <v>162</v>
      </c>
      <c r="B420" s="93">
        <v>46255</v>
      </c>
      <c r="C420" s="92" t="s">
        <v>957</v>
      </c>
      <c r="D420" s="92" t="s">
        <v>958</v>
      </c>
      <c r="E420" s="92"/>
      <c r="F420" s="92" t="s">
        <v>165</v>
      </c>
      <c r="G420" s="88">
        <v>3850</v>
      </c>
      <c r="H420" s="88"/>
      <c r="I420" s="88">
        <v>3850</v>
      </c>
      <c r="J420" s="88">
        <v>0</v>
      </c>
      <c r="K420" s="88"/>
      <c r="L420" s="92"/>
      <c r="M420" s="92" t="s">
        <v>166</v>
      </c>
      <c r="O420" s="23">
        <v>20260821</v>
      </c>
      <c r="P420" s="31">
        <v>202608210000027</v>
      </c>
      <c r="Q420" s="24">
        <v>3850</v>
      </c>
      <c r="R420" s="25"/>
      <c r="S420" s="24" t="s">
        <v>167</v>
      </c>
      <c r="T420" s="24" t="s">
        <v>264</v>
      </c>
      <c r="U420" s="24">
        <v>639.42700000000002</v>
      </c>
    </row>
    <row r="421" spans="1:21" ht="16.5" hidden="1" customHeight="1" thickBot="1">
      <c r="A421" s="92" t="s">
        <v>162</v>
      </c>
      <c r="B421" s="93">
        <v>46255</v>
      </c>
      <c r="C421" s="92" t="s">
        <v>514</v>
      </c>
      <c r="D421" s="92" t="s">
        <v>515</v>
      </c>
      <c r="E421" s="92"/>
      <c r="F421" s="92" t="s">
        <v>165</v>
      </c>
      <c r="G421" s="88">
        <v>3850</v>
      </c>
      <c r="H421" s="88"/>
      <c r="I421" s="88">
        <v>3850</v>
      </c>
      <c r="J421" s="88">
        <v>0</v>
      </c>
      <c r="K421" s="88"/>
      <c r="L421" s="92"/>
      <c r="M421" s="92" t="s">
        <v>166</v>
      </c>
      <c r="O421" s="26">
        <v>20260821</v>
      </c>
      <c r="P421" s="32">
        <v>202608210000028</v>
      </c>
      <c r="Q421" s="27">
        <v>3850</v>
      </c>
      <c r="R421" s="28"/>
      <c r="S421" s="27" t="s">
        <v>167</v>
      </c>
      <c r="T421" s="27" t="s">
        <v>208</v>
      </c>
      <c r="U421" s="27">
        <v>643.27700000000004</v>
      </c>
    </row>
    <row r="422" spans="1:21" ht="16.5" hidden="1" customHeight="1" thickBot="1">
      <c r="A422" s="92" t="s">
        <v>162</v>
      </c>
      <c r="B422" s="93">
        <v>46255</v>
      </c>
      <c r="C422" s="92" t="s">
        <v>748</v>
      </c>
      <c r="D422" s="92" t="s">
        <v>749</v>
      </c>
      <c r="E422" s="92"/>
      <c r="F422" s="92" t="s">
        <v>165</v>
      </c>
      <c r="G422" s="88">
        <v>3850</v>
      </c>
      <c r="H422" s="88"/>
      <c r="I422" s="88">
        <v>3850</v>
      </c>
      <c r="J422" s="88">
        <v>0</v>
      </c>
      <c r="K422" s="88"/>
      <c r="L422" s="92"/>
      <c r="M422" s="92" t="s">
        <v>166</v>
      </c>
      <c r="N422"/>
      <c r="O422" s="23">
        <v>20260821</v>
      </c>
      <c r="P422" s="31">
        <v>202608210000029</v>
      </c>
      <c r="Q422" s="24">
        <v>3850</v>
      </c>
      <c r="R422" s="25"/>
      <c r="S422" s="24" t="s">
        <v>167</v>
      </c>
      <c r="T422" s="24" t="s">
        <v>791</v>
      </c>
      <c r="U422" s="24">
        <v>647.12699999999995</v>
      </c>
    </row>
    <row r="423" spans="1:21" ht="16.5" hidden="1" customHeight="1" thickBot="1">
      <c r="A423" s="92" t="s">
        <v>162</v>
      </c>
      <c r="B423" s="93">
        <v>46255</v>
      </c>
      <c r="C423" s="92" t="s">
        <v>789</v>
      </c>
      <c r="D423" s="92" t="s">
        <v>790</v>
      </c>
      <c r="E423" s="92"/>
      <c r="F423" s="92" t="s">
        <v>165</v>
      </c>
      <c r="G423" s="88">
        <v>3850</v>
      </c>
      <c r="H423" s="88"/>
      <c r="I423" s="88">
        <v>3850</v>
      </c>
      <c r="J423" s="88">
        <v>0</v>
      </c>
      <c r="K423" s="88"/>
      <c r="L423" s="92"/>
      <c r="M423" s="92" t="s">
        <v>166</v>
      </c>
      <c r="N423"/>
      <c r="O423" s="26">
        <v>20260821</v>
      </c>
      <c r="P423" s="32">
        <v>202608210000030</v>
      </c>
      <c r="Q423" s="27">
        <v>3850</v>
      </c>
      <c r="R423" s="28"/>
      <c r="S423" s="27" t="s">
        <v>167</v>
      </c>
      <c r="T423" s="27" t="s">
        <v>208</v>
      </c>
      <c r="U423" s="27">
        <v>650.97699999999998</v>
      </c>
    </row>
    <row r="424" spans="1:21" ht="16.5" hidden="1" customHeight="1" thickBot="1">
      <c r="A424" s="92" t="s">
        <v>162</v>
      </c>
      <c r="B424" s="93">
        <v>46255</v>
      </c>
      <c r="C424" s="92" t="s">
        <v>847</v>
      </c>
      <c r="D424" s="92" t="s">
        <v>848</v>
      </c>
      <c r="E424" s="92"/>
      <c r="F424" s="92" t="s">
        <v>165</v>
      </c>
      <c r="G424" s="88">
        <v>2396</v>
      </c>
      <c r="H424" s="88"/>
      <c r="I424" s="88">
        <v>2396</v>
      </c>
      <c r="J424" s="88">
        <v>0</v>
      </c>
      <c r="K424" s="88"/>
      <c r="L424" s="92"/>
      <c r="M424" s="92" t="s">
        <v>166</v>
      </c>
      <c r="N424"/>
      <c r="O424" s="23">
        <v>20260821</v>
      </c>
      <c r="P424" s="31">
        <v>202608210000031</v>
      </c>
      <c r="Q424" s="24">
        <v>2396</v>
      </c>
      <c r="R424" s="25"/>
      <c r="S424" s="24" t="s">
        <v>167</v>
      </c>
      <c r="T424" s="24" t="s">
        <v>491</v>
      </c>
      <c r="U424" s="24">
        <v>653.37300000000005</v>
      </c>
    </row>
    <row r="425" spans="1:21" ht="16.5" hidden="1" customHeight="1" thickBot="1">
      <c r="A425" s="92" t="s">
        <v>162</v>
      </c>
      <c r="B425" s="93">
        <v>46255</v>
      </c>
      <c r="C425" s="92" t="s">
        <v>559</v>
      </c>
      <c r="D425" s="92" t="s">
        <v>560</v>
      </c>
      <c r="E425" s="92"/>
      <c r="F425" s="92" t="s">
        <v>165</v>
      </c>
      <c r="G425" s="88">
        <v>3850</v>
      </c>
      <c r="H425" s="88"/>
      <c r="I425" s="88">
        <v>3850</v>
      </c>
      <c r="J425" s="88">
        <v>0</v>
      </c>
      <c r="K425" s="88"/>
      <c r="L425" s="92"/>
      <c r="M425" s="92" t="s">
        <v>166</v>
      </c>
      <c r="N425"/>
      <c r="O425" s="26">
        <v>20260821</v>
      </c>
      <c r="P425" s="32">
        <v>202608210000032</v>
      </c>
      <c r="Q425" s="27">
        <v>3850</v>
      </c>
      <c r="R425" s="28"/>
      <c r="S425" s="27" t="s">
        <v>167</v>
      </c>
      <c r="T425" s="27" t="s">
        <v>193</v>
      </c>
      <c r="U425" s="27">
        <v>657.22299999999996</v>
      </c>
    </row>
    <row r="426" spans="1:21" ht="16.5" hidden="1" customHeight="1" thickBot="1">
      <c r="A426" s="92" t="s">
        <v>162</v>
      </c>
      <c r="B426" s="93">
        <v>46256</v>
      </c>
      <c r="C426" s="92" t="s">
        <v>684</v>
      </c>
      <c r="D426" s="92" t="s">
        <v>685</v>
      </c>
      <c r="E426" s="92"/>
      <c r="F426" s="92" t="s">
        <v>165</v>
      </c>
      <c r="G426" s="88">
        <v>1077</v>
      </c>
      <c r="H426" s="88"/>
      <c r="I426" s="88">
        <v>1077</v>
      </c>
      <c r="J426" s="88">
        <v>0</v>
      </c>
      <c r="K426" s="88"/>
      <c r="L426" s="92"/>
      <c r="M426" s="92" t="s">
        <v>166</v>
      </c>
      <c r="N426"/>
      <c r="O426" s="23">
        <v>20260822</v>
      </c>
      <c r="P426" s="31">
        <v>202608220000001</v>
      </c>
      <c r="Q426" s="24">
        <v>1077</v>
      </c>
      <c r="R426" s="25"/>
      <c r="S426" s="24" t="s">
        <v>167</v>
      </c>
      <c r="T426" s="24" t="s">
        <v>686</v>
      </c>
      <c r="U426" s="24">
        <v>658.3</v>
      </c>
    </row>
    <row r="427" spans="1:21" ht="16.5" hidden="1" customHeight="1" thickBot="1">
      <c r="A427" s="92" t="s">
        <v>172</v>
      </c>
      <c r="B427" s="93">
        <v>46256</v>
      </c>
      <c r="C427" s="92" t="s">
        <v>383</v>
      </c>
      <c r="D427" s="92" t="s">
        <v>384</v>
      </c>
      <c r="E427" s="92"/>
      <c r="F427" s="92" t="s">
        <v>165</v>
      </c>
      <c r="G427" s="88">
        <v>3850</v>
      </c>
      <c r="H427" s="88"/>
      <c r="I427" s="88">
        <v>3850</v>
      </c>
      <c r="J427" s="88">
        <v>0</v>
      </c>
      <c r="K427" s="88"/>
      <c r="L427" s="92"/>
      <c r="M427" s="92" t="s">
        <v>175</v>
      </c>
      <c r="N427"/>
      <c r="O427" s="26">
        <v>20260822</v>
      </c>
      <c r="P427" s="32">
        <v>202608220000002</v>
      </c>
      <c r="Q427" s="27">
        <v>3850</v>
      </c>
      <c r="R427" s="28"/>
      <c r="S427" s="27" t="s">
        <v>167</v>
      </c>
      <c r="T427" s="27" t="s">
        <v>385</v>
      </c>
      <c r="U427" s="27">
        <v>662.15</v>
      </c>
    </row>
    <row r="428" spans="1:21" ht="16.5" hidden="1" customHeight="1" thickBot="1">
      <c r="A428" s="92" t="s">
        <v>162</v>
      </c>
      <c r="B428" s="93">
        <v>46256</v>
      </c>
      <c r="C428" s="92" t="s">
        <v>1089</v>
      </c>
      <c r="D428" s="92" t="s">
        <v>1090</v>
      </c>
      <c r="E428" s="92"/>
      <c r="F428" s="92" t="s">
        <v>165</v>
      </c>
      <c r="G428" s="88">
        <v>3800</v>
      </c>
      <c r="H428" s="88"/>
      <c r="I428" s="88">
        <v>3800</v>
      </c>
      <c r="J428" s="88">
        <v>0</v>
      </c>
      <c r="K428" s="88"/>
      <c r="L428" s="92"/>
      <c r="M428" s="92" t="s">
        <v>166</v>
      </c>
      <c r="N428"/>
      <c r="O428" s="23">
        <v>20260822</v>
      </c>
      <c r="P428" s="31">
        <v>202608220000003</v>
      </c>
      <c r="Q428" s="24">
        <v>3800</v>
      </c>
      <c r="R428" s="25"/>
      <c r="S428" s="24" t="s">
        <v>167</v>
      </c>
      <c r="T428" s="24" t="s">
        <v>1091</v>
      </c>
      <c r="U428" s="24">
        <v>665.95</v>
      </c>
    </row>
    <row r="429" spans="1:21" ht="16.5" hidden="1" customHeight="1" thickBot="1">
      <c r="A429" s="92" t="s">
        <v>162</v>
      </c>
      <c r="B429" s="93">
        <v>46256</v>
      </c>
      <c r="C429" s="92" t="s">
        <v>858</v>
      </c>
      <c r="D429" s="92" t="s">
        <v>859</v>
      </c>
      <c r="E429" s="92"/>
      <c r="F429" s="92" t="s">
        <v>165</v>
      </c>
      <c r="G429" s="88">
        <v>3850</v>
      </c>
      <c r="H429" s="88"/>
      <c r="I429" s="88">
        <v>3850</v>
      </c>
      <c r="J429" s="88">
        <v>0</v>
      </c>
      <c r="K429" s="88"/>
      <c r="L429" s="92"/>
      <c r="M429" s="92" t="s">
        <v>166</v>
      </c>
      <c r="N429"/>
      <c r="O429" s="26">
        <v>20260822</v>
      </c>
      <c r="P429" s="32">
        <v>202608220000004</v>
      </c>
      <c r="Q429" s="27">
        <v>3850</v>
      </c>
      <c r="R429" s="28"/>
      <c r="S429" s="27" t="s">
        <v>167</v>
      </c>
      <c r="T429" s="27" t="s">
        <v>234</v>
      </c>
      <c r="U429" s="27">
        <v>669.8</v>
      </c>
    </row>
    <row r="430" spans="1:21" ht="16.5" hidden="1" customHeight="1" thickBot="1">
      <c r="A430" s="92" t="s">
        <v>162</v>
      </c>
      <c r="B430" s="93">
        <v>46256</v>
      </c>
      <c r="C430" s="92" t="s">
        <v>671</v>
      </c>
      <c r="D430" s="92" t="s">
        <v>672</v>
      </c>
      <c r="E430" s="92"/>
      <c r="F430" s="92" t="s">
        <v>165</v>
      </c>
      <c r="G430" s="88">
        <v>3850</v>
      </c>
      <c r="H430" s="88"/>
      <c r="I430" s="88">
        <v>3850</v>
      </c>
      <c r="J430" s="88">
        <v>0</v>
      </c>
      <c r="K430" s="88"/>
      <c r="L430" s="92"/>
      <c r="M430" s="92" t="s">
        <v>166</v>
      </c>
      <c r="N430"/>
      <c r="O430" s="20">
        <v>20260822</v>
      </c>
      <c r="P430" s="30">
        <v>202608220000005</v>
      </c>
      <c r="Q430" s="21">
        <v>3850</v>
      </c>
      <c r="R430" s="22"/>
      <c r="S430" s="21" t="s">
        <v>167</v>
      </c>
      <c r="T430" s="21" t="s">
        <v>709</v>
      </c>
      <c r="U430" s="21">
        <v>673.65</v>
      </c>
    </row>
    <row r="431" spans="1:21" ht="16.5" hidden="1" customHeight="1" thickBot="1">
      <c r="A431" s="92" t="s">
        <v>162</v>
      </c>
      <c r="B431" s="93">
        <v>46256</v>
      </c>
      <c r="C431" s="92" t="s">
        <v>687</v>
      </c>
      <c r="D431" s="92" t="s">
        <v>688</v>
      </c>
      <c r="E431" s="92"/>
      <c r="F431" s="92" t="s">
        <v>165</v>
      </c>
      <c r="G431" s="88">
        <v>2093</v>
      </c>
      <c r="H431" s="88"/>
      <c r="I431" s="88">
        <v>2093</v>
      </c>
      <c r="J431" s="88">
        <v>0</v>
      </c>
      <c r="K431" s="88"/>
      <c r="L431" s="92"/>
      <c r="M431" s="92" t="s">
        <v>166</v>
      </c>
      <c r="N431"/>
      <c r="O431" s="26">
        <v>20260822</v>
      </c>
      <c r="P431" s="32">
        <v>202608220000006</v>
      </c>
      <c r="Q431" s="27">
        <v>2093</v>
      </c>
      <c r="R431" s="28"/>
      <c r="S431" s="27" t="s">
        <v>167</v>
      </c>
      <c r="T431" s="27" t="s">
        <v>689</v>
      </c>
      <c r="U431" s="27">
        <v>675.74300000000005</v>
      </c>
    </row>
    <row r="432" spans="1:21" ht="16.5" hidden="1" customHeight="1" thickBot="1">
      <c r="A432" s="92" t="s">
        <v>162</v>
      </c>
      <c r="B432" s="93">
        <v>46256</v>
      </c>
      <c r="C432" s="92" t="s">
        <v>567</v>
      </c>
      <c r="D432" s="92" t="s">
        <v>568</v>
      </c>
      <c r="E432" s="92"/>
      <c r="F432" s="92" t="s">
        <v>165</v>
      </c>
      <c r="G432" s="88">
        <v>3850</v>
      </c>
      <c r="H432" s="88"/>
      <c r="I432" s="88">
        <v>3850</v>
      </c>
      <c r="J432" s="88">
        <v>0</v>
      </c>
      <c r="K432" s="88"/>
      <c r="L432" s="92"/>
      <c r="M432" s="92" t="s">
        <v>166</v>
      </c>
      <c r="N432"/>
      <c r="O432" s="23">
        <v>20260822</v>
      </c>
      <c r="P432" s="31">
        <v>202608220000007</v>
      </c>
      <c r="Q432" s="24">
        <v>6650</v>
      </c>
      <c r="R432" s="25"/>
      <c r="S432" s="24" t="s">
        <v>167</v>
      </c>
      <c r="T432" s="24" t="s">
        <v>569</v>
      </c>
      <c r="U432" s="24">
        <v>682.39300000000003</v>
      </c>
    </row>
    <row r="433" spans="1:21" ht="16.5" hidden="1" customHeight="1" thickBot="1">
      <c r="A433" s="92" t="s">
        <v>162</v>
      </c>
      <c r="B433" s="93">
        <v>46256</v>
      </c>
      <c r="C433" s="92" t="s">
        <v>567</v>
      </c>
      <c r="D433" s="92" t="s">
        <v>568</v>
      </c>
      <c r="E433" s="92"/>
      <c r="F433" s="92" t="s">
        <v>165</v>
      </c>
      <c r="G433" s="88">
        <v>2800</v>
      </c>
      <c r="H433" s="88"/>
      <c r="I433" s="88">
        <v>2800</v>
      </c>
      <c r="J433" s="88">
        <v>0</v>
      </c>
      <c r="K433" s="88"/>
      <c r="L433" s="92"/>
      <c r="M433" s="92" t="s">
        <v>166</v>
      </c>
      <c r="N433"/>
      <c r="O433" s="132"/>
      <c r="P433" s="145"/>
      <c r="Q433" s="25"/>
      <c r="R433" s="25"/>
      <c r="S433" s="25"/>
      <c r="T433" s="25"/>
      <c r="U433" s="25"/>
    </row>
    <row r="434" spans="1:21" ht="16.5" customHeight="1" thickBot="1">
      <c r="A434" s="92" t="s">
        <v>162</v>
      </c>
      <c r="B434" s="93">
        <v>46256</v>
      </c>
      <c r="C434" s="92" t="e">
        <v>#N/A</v>
      </c>
      <c r="D434" s="92"/>
      <c r="E434" s="92"/>
      <c r="F434" s="92" t="s">
        <v>179</v>
      </c>
      <c r="G434" s="88">
        <v>2000</v>
      </c>
      <c r="H434" s="88">
        <v>2000</v>
      </c>
      <c r="I434" s="88">
        <v>0</v>
      </c>
      <c r="J434" s="88">
        <v>0</v>
      </c>
      <c r="K434" s="88"/>
      <c r="L434" s="92"/>
      <c r="M434" s="92" t="s">
        <v>166</v>
      </c>
      <c r="N434" t="s">
        <v>4067</v>
      </c>
      <c r="O434" s="26">
        <v>20260822</v>
      </c>
      <c r="P434" s="32">
        <v>202608220000008</v>
      </c>
      <c r="Q434" s="27">
        <v>2000</v>
      </c>
      <c r="R434" s="28"/>
      <c r="S434" s="27" t="s">
        <v>167</v>
      </c>
      <c r="T434" s="27" t="s">
        <v>2503</v>
      </c>
      <c r="U434" s="27">
        <v>684.39300000000003</v>
      </c>
    </row>
    <row r="435" spans="1:21" ht="32.25" hidden="1" customHeight="1" thickBot="1">
      <c r="A435" s="92" t="s">
        <v>162</v>
      </c>
      <c r="B435" s="93">
        <v>46256</v>
      </c>
      <c r="C435" s="92" t="s">
        <v>661</v>
      </c>
      <c r="D435" s="92" t="s">
        <v>662</v>
      </c>
      <c r="E435" s="92"/>
      <c r="F435" s="92" t="s">
        <v>165</v>
      </c>
      <c r="G435" s="88">
        <v>3850</v>
      </c>
      <c r="H435" s="88"/>
      <c r="I435" s="88">
        <v>3850</v>
      </c>
      <c r="J435" s="88">
        <v>0</v>
      </c>
      <c r="K435" s="88"/>
      <c r="L435" s="92"/>
      <c r="M435" s="92" t="s">
        <v>166</v>
      </c>
      <c r="N435"/>
      <c r="O435" s="23">
        <v>20260822</v>
      </c>
      <c r="P435" s="31">
        <v>202608220000009</v>
      </c>
      <c r="Q435" s="24">
        <v>3850</v>
      </c>
      <c r="R435" s="25"/>
      <c r="S435" s="24" t="s">
        <v>167</v>
      </c>
      <c r="T435" s="24" t="s">
        <v>663</v>
      </c>
      <c r="U435" s="24">
        <v>688.24300000000005</v>
      </c>
    </row>
    <row r="436" spans="1:21" ht="16.5" hidden="1" customHeight="1" thickBot="1">
      <c r="A436" s="92" t="s">
        <v>162</v>
      </c>
      <c r="B436" s="93">
        <v>46256</v>
      </c>
      <c r="C436" s="92" t="s">
        <v>2115</v>
      </c>
      <c r="D436" s="92" t="s">
        <v>2116</v>
      </c>
      <c r="E436" s="92"/>
      <c r="F436" s="92" t="s">
        <v>165</v>
      </c>
      <c r="G436" s="88">
        <v>3850</v>
      </c>
      <c r="H436" s="88"/>
      <c r="I436" s="88">
        <v>3850</v>
      </c>
      <c r="J436" s="88">
        <v>0</v>
      </c>
      <c r="K436" s="88"/>
      <c r="L436" s="92"/>
      <c r="M436" s="92" t="s">
        <v>166</v>
      </c>
      <c r="N436"/>
      <c r="O436" s="26">
        <v>20260822</v>
      </c>
      <c r="P436" s="32">
        <v>202608220000010</v>
      </c>
      <c r="Q436" s="27">
        <v>3850</v>
      </c>
      <c r="R436" s="28"/>
      <c r="S436" s="27" t="s">
        <v>167</v>
      </c>
      <c r="T436" s="27" t="s">
        <v>673</v>
      </c>
      <c r="U436" s="27">
        <v>692.09299999999996</v>
      </c>
    </row>
    <row r="437" spans="1:21" ht="16.5" hidden="1" customHeight="1" thickBot="1">
      <c r="A437" s="92" t="s">
        <v>162</v>
      </c>
      <c r="B437" s="93">
        <v>46256</v>
      </c>
      <c r="C437" s="92" t="s">
        <v>837</v>
      </c>
      <c r="D437" s="92" t="s">
        <v>838</v>
      </c>
      <c r="E437" s="92"/>
      <c r="F437" s="92" t="s">
        <v>165</v>
      </c>
      <c r="G437" s="88">
        <v>3850</v>
      </c>
      <c r="H437" s="88"/>
      <c r="I437" s="88">
        <v>3850</v>
      </c>
      <c r="J437" s="88">
        <v>0</v>
      </c>
      <c r="K437" s="88"/>
      <c r="L437" s="92"/>
      <c r="M437" s="92" t="s">
        <v>166</v>
      </c>
      <c r="N437"/>
      <c r="O437" s="23">
        <v>20260822</v>
      </c>
      <c r="P437" s="31">
        <v>202608220000011</v>
      </c>
      <c r="Q437" s="24">
        <v>3850</v>
      </c>
      <c r="R437" s="25"/>
      <c r="S437" s="24" t="s">
        <v>167</v>
      </c>
      <c r="T437" s="24" t="s">
        <v>782</v>
      </c>
      <c r="U437" s="24">
        <v>695.94299999999998</v>
      </c>
    </row>
    <row r="438" spans="1:21" ht="16.5" hidden="1" customHeight="1" thickBot="1">
      <c r="A438" s="92" t="s">
        <v>162</v>
      </c>
      <c r="B438" s="93">
        <v>46256</v>
      </c>
      <c r="C438" s="92" t="s">
        <v>924</v>
      </c>
      <c r="D438" s="92" t="s">
        <v>925</v>
      </c>
      <c r="E438" s="92"/>
      <c r="F438" s="92" t="s">
        <v>165</v>
      </c>
      <c r="G438" s="88">
        <v>3850</v>
      </c>
      <c r="H438" s="88"/>
      <c r="I438" s="88">
        <v>3850</v>
      </c>
      <c r="J438" s="88">
        <v>0</v>
      </c>
      <c r="K438" s="88"/>
      <c r="L438" s="92"/>
      <c r="M438" s="92" t="s">
        <v>166</v>
      </c>
      <c r="N438"/>
      <c r="O438" s="26">
        <v>20260822</v>
      </c>
      <c r="P438" s="32">
        <v>202608220000012</v>
      </c>
      <c r="Q438" s="27">
        <v>3850</v>
      </c>
      <c r="R438" s="28"/>
      <c r="S438" s="27" t="s">
        <v>184</v>
      </c>
      <c r="T438" s="27" t="s">
        <v>2504</v>
      </c>
      <c r="U438" s="27">
        <v>699.79300000000001</v>
      </c>
    </row>
    <row r="439" spans="1:21" ht="16.5" hidden="1" customHeight="1" thickBot="1">
      <c r="A439" s="92" t="s">
        <v>162</v>
      </c>
      <c r="B439" s="93">
        <v>46256</v>
      </c>
      <c r="C439" s="92" t="s">
        <v>926</v>
      </c>
      <c r="D439" s="92" t="s">
        <v>927</v>
      </c>
      <c r="E439" s="92"/>
      <c r="F439" s="92" t="s">
        <v>165</v>
      </c>
      <c r="G439" s="88">
        <v>3850</v>
      </c>
      <c r="H439" s="88"/>
      <c r="I439" s="88">
        <v>3850</v>
      </c>
      <c r="J439" s="88">
        <v>0</v>
      </c>
      <c r="K439" s="88"/>
      <c r="L439" s="92"/>
      <c r="M439" s="92" t="s">
        <v>166</v>
      </c>
      <c r="N439"/>
      <c r="O439" s="23">
        <v>20260822</v>
      </c>
      <c r="P439" s="31">
        <v>202608220000013</v>
      </c>
      <c r="Q439" s="24">
        <v>3850</v>
      </c>
      <c r="R439" s="25"/>
      <c r="S439" s="24" t="s">
        <v>184</v>
      </c>
      <c r="T439" s="24" t="s">
        <v>2505</v>
      </c>
      <c r="U439" s="24">
        <v>703.64300000000003</v>
      </c>
    </row>
    <row r="440" spans="1:21" ht="16.5" hidden="1" customHeight="1" thickBot="1">
      <c r="A440" s="92" t="s">
        <v>162</v>
      </c>
      <c r="B440" s="93">
        <v>46256</v>
      </c>
      <c r="C440" s="92" t="s">
        <v>505</v>
      </c>
      <c r="D440" s="92" t="s">
        <v>506</v>
      </c>
      <c r="E440" s="92"/>
      <c r="F440" s="92" t="s">
        <v>165</v>
      </c>
      <c r="G440" s="88">
        <v>8000</v>
      </c>
      <c r="H440" s="88"/>
      <c r="I440" s="88">
        <v>8000</v>
      </c>
      <c r="J440" s="88">
        <v>0</v>
      </c>
      <c r="K440" s="88"/>
      <c r="L440" s="92"/>
      <c r="M440" s="92" t="s">
        <v>166</v>
      </c>
      <c r="N440"/>
      <c r="O440" s="26">
        <v>20260822</v>
      </c>
      <c r="P440" s="32">
        <v>202608220000014</v>
      </c>
      <c r="Q440" s="27">
        <v>8000</v>
      </c>
      <c r="R440" s="28"/>
      <c r="S440" s="27" t="s">
        <v>167</v>
      </c>
      <c r="T440" s="27" t="s">
        <v>208</v>
      </c>
      <c r="U440" s="27">
        <v>711.64300000000003</v>
      </c>
    </row>
    <row r="441" spans="1:21" ht="16.5" hidden="1" customHeight="1" thickBot="1">
      <c r="A441" s="92" t="s">
        <v>162</v>
      </c>
      <c r="B441" s="93">
        <v>46256</v>
      </c>
      <c r="C441" s="92" t="s">
        <v>806</v>
      </c>
      <c r="D441" s="92" t="s">
        <v>807</v>
      </c>
      <c r="E441" s="92"/>
      <c r="F441" s="92" t="s">
        <v>165</v>
      </c>
      <c r="G441" s="88">
        <v>3850</v>
      </c>
      <c r="H441" s="88"/>
      <c r="I441" s="88">
        <v>3850</v>
      </c>
      <c r="J441" s="88">
        <v>0</v>
      </c>
      <c r="K441" s="88"/>
      <c r="L441" s="92"/>
      <c r="M441" s="92" t="s">
        <v>166</v>
      </c>
      <c r="N441"/>
      <c r="O441" s="23">
        <v>20260822</v>
      </c>
      <c r="P441" s="31">
        <v>202608220000015</v>
      </c>
      <c r="Q441" s="24">
        <v>3850</v>
      </c>
      <c r="R441" s="25"/>
      <c r="S441" s="24" t="s">
        <v>167</v>
      </c>
      <c r="T441" s="24" t="s">
        <v>808</v>
      </c>
      <c r="U441" s="24">
        <v>715.49300000000005</v>
      </c>
    </row>
    <row r="442" spans="1:21" ht="16.5" hidden="1" customHeight="1" thickBot="1">
      <c r="A442" s="92" t="s">
        <v>162</v>
      </c>
      <c r="B442" s="93">
        <v>46256</v>
      </c>
      <c r="C442" s="92" t="s">
        <v>507</v>
      </c>
      <c r="D442" s="92" t="s">
        <v>508</v>
      </c>
      <c r="E442" s="92"/>
      <c r="F442" s="92" t="s">
        <v>165</v>
      </c>
      <c r="G442" s="88">
        <v>3850</v>
      </c>
      <c r="H442" s="88"/>
      <c r="I442" s="88">
        <v>3850</v>
      </c>
      <c r="J442" s="88">
        <v>0</v>
      </c>
      <c r="K442" s="88"/>
      <c r="L442" s="92"/>
      <c r="M442" s="92" t="s">
        <v>166</v>
      </c>
      <c r="N442"/>
      <c r="O442" s="26">
        <v>20260822</v>
      </c>
      <c r="P442" s="32">
        <v>202608220000016</v>
      </c>
      <c r="Q442" s="27">
        <v>3850</v>
      </c>
      <c r="R442" s="28"/>
      <c r="S442" s="27" t="s">
        <v>167</v>
      </c>
      <c r="T442" s="27" t="s">
        <v>208</v>
      </c>
      <c r="U442" s="27">
        <v>719.34299999999996</v>
      </c>
    </row>
    <row r="443" spans="1:21" ht="16.5" hidden="1" customHeight="1" thickBot="1">
      <c r="A443" s="92" t="s">
        <v>162</v>
      </c>
      <c r="B443" s="93">
        <v>46256</v>
      </c>
      <c r="C443" s="92" t="s">
        <v>548</v>
      </c>
      <c r="D443" s="92" t="s">
        <v>549</v>
      </c>
      <c r="E443" s="92"/>
      <c r="F443" s="92" t="s">
        <v>165</v>
      </c>
      <c r="G443" s="88">
        <v>3850</v>
      </c>
      <c r="H443" s="88"/>
      <c r="I443" s="88">
        <v>3850</v>
      </c>
      <c r="J443" s="88">
        <v>0</v>
      </c>
      <c r="K443" s="88"/>
      <c r="L443" s="92"/>
      <c r="M443" s="92" t="s">
        <v>166</v>
      </c>
      <c r="N443"/>
      <c r="O443" s="23">
        <v>20260822</v>
      </c>
      <c r="P443" s="31">
        <v>202608220000017</v>
      </c>
      <c r="Q443" s="24">
        <v>3850</v>
      </c>
      <c r="R443" s="25"/>
      <c r="S443" s="24" t="s">
        <v>167</v>
      </c>
      <c r="T443" s="24" t="s">
        <v>314</v>
      </c>
      <c r="U443" s="24">
        <v>723.19299999999998</v>
      </c>
    </row>
    <row r="444" spans="1:21" ht="16.5" hidden="1" customHeight="1" thickBot="1">
      <c r="A444" s="92" t="s">
        <v>162</v>
      </c>
      <c r="B444" s="93">
        <v>46256</v>
      </c>
      <c r="C444" s="92" t="s">
        <v>2110</v>
      </c>
      <c r="D444" s="92" t="s">
        <v>2111</v>
      </c>
      <c r="E444" s="92"/>
      <c r="F444" s="92" t="s">
        <v>165</v>
      </c>
      <c r="G444" s="88">
        <v>2195</v>
      </c>
      <c r="H444" s="88"/>
      <c r="I444" s="88">
        <v>2195</v>
      </c>
      <c r="J444" s="88">
        <v>0</v>
      </c>
      <c r="K444" s="88"/>
      <c r="L444" s="92"/>
      <c r="M444" s="92" t="s">
        <v>166</v>
      </c>
      <c r="N444"/>
      <c r="O444" s="26">
        <v>20260822</v>
      </c>
      <c r="P444" s="32">
        <v>202608220000018</v>
      </c>
      <c r="Q444" s="27">
        <v>2195</v>
      </c>
      <c r="R444" s="28"/>
      <c r="S444" s="27" t="s">
        <v>167</v>
      </c>
      <c r="T444" s="27" t="s">
        <v>2506</v>
      </c>
      <c r="U444" s="27">
        <v>725.38800000000003</v>
      </c>
    </row>
    <row r="445" spans="1:21" ht="32.25" hidden="1" customHeight="1" thickBot="1">
      <c r="A445" s="92" t="s">
        <v>162</v>
      </c>
      <c r="B445" s="93">
        <v>46256</v>
      </c>
      <c r="C445" s="92" t="s">
        <v>724</v>
      </c>
      <c r="D445" s="92" t="s">
        <v>725</v>
      </c>
      <c r="E445" s="92"/>
      <c r="F445" s="92" t="s">
        <v>165</v>
      </c>
      <c r="G445" s="88">
        <v>3850</v>
      </c>
      <c r="H445" s="88"/>
      <c r="I445" s="88">
        <v>3850</v>
      </c>
      <c r="J445" s="88">
        <v>0</v>
      </c>
      <c r="K445" s="88"/>
      <c r="L445" s="92"/>
      <c r="M445" s="92" t="s">
        <v>166</v>
      </c>
      <c r="N445"/>
      <c r="O445" s="23">
        <v>20260822</v>
      </c>
      <c r="P445" s="31">
        <v>202608220000019</v>
      </c>
      <c r="Q445" s="24">
        <v>3850</v>
      </c>
      <c r="R445" s="25"/>
      <c r="S445" s="24" t="s">
        <v>167</v>
      </c>
      <c r="T445" s="24" t="s">
        <v>550</v>
      </c>
      <c r="U445" s="24">
        <v>729.23800000000006</v>
      </c>
    </row>
    <row r="446" spans="1:21" ht="32.25" hidden="1" customHeight="1" thickBot="1">
      <c r="A446" s="92" t="s">
        <v>180</v>
      </c>
      <c r="B446" s="93">
        <v>46256</v>
      </c>
      <c r="C446" s="92" t="s">
        <v>312</v>
      </c>
      <c r="D446" s="92" t="s">
        <v>313</v>
      </c>
      <c r="E446" s="92"/>
      <c r="F446" s="92" t="s">
        <v>165</v>
      </c>
      <c r="G446" s="88">
        <v>3850</v>
      </c>
      <c r="H446" s="88"/>
      <c r="I446" s="88">
        <v>3850</v>
      </c>
      <c r="J446" s="88">
        <v>0</v>
      </c>
      <c r="K446" s="88"/>
      <c r="L446" s="92"/>
      <c r="M446" s="92" t="s">
        <v>175</v>
      </c>
      <c r="N446"/>
      <c r="O446" s="26">
        <v>20260822</v>
      </c>
      <c r="P446" s="32">
        <v>202608220000020</v>
      </c>
      <c r="Q446" s="27">
        <v>3850</v>
      </c>
      <c r="R446" s="28"/>
      <c r="S446" s="27" t="s">
        <v>167</v>
      </c>
      <c r="T446" s="27" t="s">
        <v>264</v>
      </c>
      <c r="U446" s="27">
        <v>733.08799999999997</v>
      </c>
    </row>
    <row r="447" spans="1:21" ht="16.5" hidden="1" customHeight="1" thickBot="1">
      <c r="A447" s="92" t="s">
        <v>180</v>
      </c>
      <c r="B447" s="93">
        <v>46256</v>
      </c>
      <c r="C447" s="92" t="s">
        <v>181</v>
      </c>
      <c r="D447" s="92" t="s">
        <v>182</v>
      </c>
      <c r="E447" s="92"/>
      <c r="F447" s="92" t="s">
        <v>165</v>
      </c>
      <c r="G447" s="88">
        <v>4200</v>
      </c>
      <c r="H447" s="88"/>
      <c r="I447" s="88">
        <v>4200</v>
      </c>
      <c r="J447" s="88">
        <v>0</v>
      </c>
      <c r="K447" s="88"/>
      <c r="L447" s="92"/>
      <c r="M447" s="92" t="s">
        <v>175</v>
      </c>
      <c r="N447"/>
      <c r="O447" s="23">
        <v>20260822</v>
      </c>
      <c r="P447" s="31">
        <v>202608220000021</v>
      </c>
      <c r="Q447" s="24">
        <v>4200</v>
      </c>
      <c r="R447" s="25"/>
      <c r="S447" s="24" t="s">
        <v>167</v>
      </c>
      <c r="T447" s="24" t="s">
        <v>183</v>
      </c>
      <c r="U447" s="24">
        <v>737.28800000000001</v>
      </c>
    </row>
    <row r="448" spans="1:21" ht="16.5" hidden="1" customHeight="1" thickBot="1">
      <c r="A448" s="92" t="s">
        <v>162</v>
      </c>
      <c r="B448" s="93">
        <v>46256</v>
      </c>
      <c r="C448" s="92" t="s">
        <v>2114</v>
      </c>
      <c r="D448" s="92" t="s">
        <v>1463</v>
      </c>
      <c r="E448" s="92"/>
      <c r="F448" s="92" t="s">
        <v>165</v>
      </c>
      <c r="G448" s="88">
        <v>2800</v>
      </c>
      <c r="H448" s="88"/>
      <c r="I448" s="88">
        <v>2800</v>
      </c>
      <c r="J448" s="88">
        <v>0</v>
      </c>
      <c r="K448" s="88"/>
      <c r="L448" s="92"/>
      <c r="M448" s="92" t="s">
        <v>166</v>
      </c>
      <c r="N448"/>
      <c r="O448" s="26">
        <v>20260822</v>
      </c>
      <c r="P448" s="32">
        <v>202608220000022</v>
      </c>
      <c r="Q448" s="27">
        <v>2800</v>
      </c>
      <c r="R448" s="28"/>
      <c r="S448" s="27" t="s">
        <v>167</v>
      </c>
      <c r="T448" s="27" t="s">
        <v>252</v>
      </c>
      <c r="U448" s="27">
        <v>740.08799999999997</v>
      </c>
    </row>
    <row r="449" spans="1:21" ht="16.5" hidden="1" customHeight="1" thickBot="1">
      <c r="A449" s="92" t="s">
        <v>162</v>
      </c>
      <c r="B449" s="93">
        <v>46256</v>
      </c>
      <c r="C449" s="92" t="s">
        <v>578</v>
      </c>
      <c r="D449" s="92" t="s">
        <v>579</v>
      </c>
      <c r="E449" s="92"/>
      <c r="F449" s="92" t="s">
        <v>165</v>
      </c>
      <c r="G449" s="88">
        <v>2695</v>
      </c>
      <c r="H449" s="88"/>
      <c r="I449" s="88">
        <v>2695</v>
      </c>
      <c r="J449" s="88">
        <v>0</v>
      </c>
      <c r="K449" s="88"/>
      <c r="L449" s="92"/>
      <c r="M449" s="92" t="s">
        <v>166</v>
      </c>
      <c r="O449" s="23">
        <v>20260822</v>
      </c>
      <c r="P449" s="31">
        <v>202608220000023</v>
      </c>
      <c r="Q449" s="24">
        <v>2695</v>
      </c>
      <c r="R449" s="25"/>
      <c r="S449" s="24" t="s">
        <v>167</v>
      </c>
      <c r="T449" s="24" t="s">
        <v>2507</v>
      </c>
      <c r="U449" s="24">
        <v>742.78300000000002</v>
      </c>
    </row>
    <row r="450" spans="1:21" ht="16.5" hidden="1" customHeight="1" thickBot="1">
      <c r="A450" s="92" t="s">
        <v>162</v>
      </c>
      <c r="B450" s="93">
        <v>46256</v>
      </c>
      <c r="C450" s="92" t="s">
        <v>580</v>
      </c>
      <c r="D450" s="92" t="s">
        <v>581</v>
      </c>
      <c r="E450" s="92"/>
      <c r="F450" s="92" t="s">
        <v>165</v>
      </c>
      <c r="G450" s="88">
        <v>3850</v>
      </c>
      <c r="H450" s="88"/>
      <c r="I450" s="88">
        <v>3850</v>
      </c>
      <c r="J450" s="88">
        <v>0</v>
      </c>
      <c r="K450" s="88"/>
      <c r="L450" s="92"/>
      <c r="M450" s="92" t="s">
        <v>166</v>
      </c>
      <c r="N450"/>
      <c r="O450" s="26">
        <v>20260822</v>
      </c>
      <c r="P450" s="32">
        <v>202608220000024</v>
      </c>
      <c r="Q450" s="27">
        <v>3850</v>
      </c>
      <c r="R450" s="28"/>
      <c r="S450" s="27" t="s">
        <v>167</v>
      </c>
      <c r="T450" s="27" t="s">
        <v>221</v>
      </c>
      <c r="U450" s="27">
        <v>746.63300000000004</v>
      </c>
    </row>
    <row r="451" spans="1:21" ht="16.5" hidden="1" customHeight="1" thickBot="1">
      <c r="A451" s="92" t="s">
        <v>172</v>
      </c>
      <c r="B451" s="93">
        <v>46256</v>
      </c>
      <c r="C451" s="92" t="s">
        <v>173</v>
      </c>
      <c r="D451" s="92" t="s">
        <v>174</v>
      </c>
      <c r="E451" s="92"/>
      <c r="F451" s="92" t="s">
        <v>165</v>
      </c>
      <c r="G451" s="88">
        <v>3850</v>
      </c>
      <c r="H451" s="88"/>
      <c r="I451" s="88">
        <v>3850</v>
      </c>
      <c r="J451" s="88">
        <v>0</v>
      </c>
      <c r="K451" s="88"/>
      <c r="L451" s="92"/>
      <c r="M451" s="92" t="s">
        <v>175</v>
      </c>
      <c r="N451"/>
      <c r="O451" s="23">
        <v>20260822</v>
      </c>
      <c r="P451" s="31">
        <v>202608220000025</v>
      </c>
      <c r="Q451" s="24">
        <v>3850</v>
      </c>
      <c r="R451" s="25"/>
      <c r="S451" s="24" t="s">
        <v>167</v>
      </c>
      <c r="T451" s="24" t="s">
        <v>221</v>
      </c>
      <c r="U451" s="24">
        <v>750.48299999999995</v>
      </c>
    </row>
    <row r="452" spans="1:21" ht="16.5" hidden="1" customHeight="1" thickBot="1">
      <c r="A452" s="92" t="s">
        <v>162</v>
      </c>
      <c r="B452" s="93">
        <v>46256</v>
      </c>
      <c r="C452" s="92" t="s">
        <v>866</v>
      </c>
      <c r="D452" s="92" t="s">
        <v>867</v>
      </c>
      <c r="E452" s="92"/>
      <c r="F452" s="92" t="s">
        <v>165</v>
      </c>
      <c r="G452" s="88">
        <v>3850</v>
      </c>
      <c r="H452" s="88"/>
      <c r="I452" s="88">
        <v>3850</v>
      </c>
      <c r="J452" s="88">
        <v>0</v>
      </c>
      <c r="K452" s="88"/>
      <c r="L452" s="92"/>
      <c r="M452" s="92" t="s">
        <v>166</v>
      </c>
      <c r="O452" s="26">
        <v>20260822</v>
      </c>
      <c r="P452" s="32">
        <v>202608220000026</v>
      </c>
      <c r="Q452" s="27">
        <v>4503</v>
      </c>
      <c r="R452" s="28"/>
      <c r="S452" s="27" t="s">
        <v>167</v>
      </c>
      <c r="T452" s="27" t="s">
        <v>221</v>
      </c>
      <c r="U452" s="27">
        <v>754.98599999999999</v>
      </c>
    </row>
    <row r="453" spans="1:21" ht="16.5" hidden="1" customHeight="1" thickBot="1">
      <c r="A453" s="92" t="s">
        <v>162</v>
      </c>
      <c r="B453" s="93">
        <v>46256</v>
      </c>
      <c r="C453" s="92" t="s">
        <v>866</v>
      </c>
      <c r="D453" s="92" t="s">
        <v>867</v>
      </c>
      <c r="E453" s="92"/>
      <c r="F453" s="92" t="s">
        <v>165</v>
      </c>
      <c r="G453" s="88">
        <v>653</v>
      </c>
      <c r="H453" s="88"/>
      <c r="I453" s="88">
        <v>653</v>
      </c>
      <c r="J453" s="88">
        <v>0</v>
      </c>
      <c r="K453" s="88"/>
      <c r="L453" s="92"/>
      <c r="M453" s="92" t="s">
        <v>166</v>
      </c>
      <c r="O453" s="113"/>
      <c r="P453" s="137"/>
      <c r="Q453" s="28"/>
      <c r="R453" s="28"/>
      <c r="S453" s="28"/>
      <c r="T453" s="28"/>
      <c r="U453" s="28"/>
    </row>
    <row r="454" spans="1:21" ht="16.5" hidden="1" customHeight="1" thickBot="1">
      <c r="A454" s="92" t="s">
        <v>162</v>
      </c>
      <c r="B454" s="93">
        <v>46256</v>
      </c>
      <c r="C454" s="92" t="s">
        <v>707</v>
      </c>
      <c r="D454" s="92" t="s">
        <v>708</v>
      </c>
      <c r="E454" s="92"/>
      <c r="F454" s="92" t="s">
        <v>165</v>
      </c>
      <c r="G454" s="88">
        <v>3850</v>
      </c>
      <c r="H454" s="88"/>
      <c r="I454" s="88">
        <v>3850</v>
      </c>
      <c r="J454" s="88">
        <v>0</v>
      </c>
      <c r="K454" s="88"/>
      <c r="L454" s="92"/>
      <c r="M454" s="92" t="s">
        <v>166</v>
      </c>
      <c r="O454" s="23">
        <v>20260822</v>
      </c>
      <c r="P454" s="31">
        <v>202608220000027</v>
      </c>
      <c r="Q454" s="24">
        <v>3850</v>
      </c>
      <c r="R454" s="25"/>
      <c r="S454" s="24" t="s">
        <v>167</v>
      </c>
      <c r="T454" s="24" t="s">
        <v>221</v>
      </c>
      <c r="U454" s="24">
        <v>758.83600000000001</v>
      </c>
    </row>
    <row r="455" spans="1:21" ht="16.5" hidden="1" customHeight="1" thickBot="1">
      <c r="A455" s="92" t="s">
        <v>162</v>
      </c>
      <c r="B455" s="93">
        <v>46257</v>
      </c>
      <c r="C455" s="92" t="s">
        <v>780</v>
      </c>
      <c r="D455" s="92" t="s">
        <v>781</v>
      </c>
      <c r="E455" s="92"/>
      <c r="F455" s="92" t="s">
        <v>165</v>
      </c>
      <c r="G455" s="88">
        <v>3850</v>
      </c>
      <c r="H455" s="88"/>
      <c r="I455" s="88">
        <v>3850</v>
      </c>
      <c r="J455" s="88">
        <v>0</v>
      </c>
      <c r="K455" s="88"/>
      <c r="L455" s="92"/>
      <c r="M455" s="92" t="s">
        <v>166</v>
      </c>
      <c r="N455"/>
      <c r="O455" s="26">
        <v>20260823</v>
      </c>
      <c r="P455" s="32">
        <v>202608230000001</v>
      </c>
      <c r="Q455" s="27">
        <v>3850</v>
      </c>
      <c r="R455" s="28"/>
      <c r="S455" s="27" t="s">
        <v>167</v>
      </c>
      <c r="T455" s="27" t="s">
        <v>755</v>
      </c>
      <c r="U455" s="27">
        <v>762.68600000000004</v>
      </c>
    </row>
    <row r="456" spans="1:21" ht="16.5" hidden="1" customHeight="1" thickBot="1">
      <c r="A456" s="92" t="s">
        <v>162</v>
      </c>
      <c r="B456" s="93">
        <v>46257</v>
      </c>
      <c r="C456" s="92" t="s">
        <v>541</v>
      </c>
      <c r="D456" s="92" t="s">
        <v>542</v>
      </c>
      <c r="E456" s="92"/>
      <c r="F456" s="92" t="s">
        <v>165</v>
      </c>
      <c r="G456" s="88">
        <v>3850</v>
      </c>
      <c r="H456" s="88"/>
      <c r="I456" s="88">
        <v>3850</v>
      </c>
      <c r="J456" s="88">
        <v>0</v>
      </c>
      <c r="K456" s="88"/>
      <c r="L456" s="92"/>
      <c r="M456" s="92" t="s">
        <v>166</v>
      </c>
      <c r="N456"/>
      <c r="O456" s="23">
        <v>20260823</v>
      </c>
      <c r="P456" s="31">
        <v>202608230000002</v>
      </c>
      <c r="Q456" s="24">
        <v>3850</v>
      </c>
      <c r="R456" s="25"/>
      <c r="S456" s="24" t="s">
        <v>167</v>
      </c>
      <c r="T456" s="24" t="s">
        <v>2508</v>
      </c>
      <c r="U456" s="24">
        <v>766.53599999999994</v>
      </c>
    </row>
    <row r="457" spans="1:21" ht="16.5" hidden="1" customHeight="1" thickBot="1">
      <c r="A457" s="92" t="s">
        <v>162</v>
      </c>
      <c r="B457" s="93">
        <v>46257</v>
      </c>
      <c r="C457" s="92" t="s">
        <v>591</v>
      </c>
      <c r="D457" s="92" t="s">
        <v>592</v>
      </c>
      <c r="E457" s="92"/>
      <c r="F457" s="92" t="s">
        <v>165</v>
      </c>
      <c r="G457" s="88">
        <v>3850</v>
      </c>
      <c r="H457" s="88"/>
      <c r="I457" s="88">
        <v>3850</v>
      </c>
      <c r="J457" s="88">
        <v>0</v>
      </c>
      <c r="K457" s="88"/>
      <c r="L457" s="92"/>
      <c r="M457" s="92" t="s">
        <v>166</v>
      </c>
      <c r="N457"/>
      <c r="O457" s="26">
        <v>20260823</v>
      </c>
      <c r="P457" s="32">
        <v>202608230000003</v>
      </c>
      <c r="Q457" s="27">
        <v>3850</v>
      </c>
      <c r="R457" s="28"/>
      <c r="S457" s="27" t="s">
        <v>167</v>
      </c>
      <c r="T457" s="27" t="s">
        <v>393</v>
      </c>
      <c r="U457" s="27">
        <v>770.38599999999997</v>
      </c>
    </row>
    <row r="458" spans="1:21" ht="16.5" hidden="1" customHeight="1" thickBot="1">
      <c r="A458" s="92" t="s">
        <v>162</v>
      </c>
      <c r="B458" s="93">
        <v>46257</v>
      </c>
      <c r="C458" s="92" t="s">
        <v>619</v>
      </c>
      <c r="D458" s="92" t="s">
        <v>620</v>
      </c>
      <c r="E458" s="92"/>
      <c r="F458" s="92" t="s">
        <v>165</v>
      </c>
      <c r="G458" s="88">
        <v>4200</v>
      </c>
      <c r="H458" s="88"/>
      <c r="I458" s="88">
        <v>4200</v>
      </c>
      <c r="J458" s="88">
        <v>0</v>
      </c>
      <c r="K458" s="88"/>
      <c r="L458" s="92"/>
      <c r="M458" s="92" t="s">
        <v>166</v>
      </c>
      <c r="N458"/>
      <c r="O458" s="23">
        <v>20260823</v>
      </c>
      <c r="P458" s="31">
        <v>202608230000004</v>
      </c>
      <c r="Q458" s="24">
        <v>8050</v>
      </c>
      <c r="R458" s="25"/>
      <c r="S458" s="24" t="s">
        <v>167</v>
      </c>
      <c r="T458" s="24" t="s">
        <v>208</v>
      </c>
      <c r="U458" s="24">
        <v>778.43600000000004</v>
      </c>
    </row>
    <row r="459" spans="1:21" ht="16.5" hidden="1" customHeight="1" thickBot="1">
      <c r="A459" s="92" t="s">
        <v>162</v>
      </c>
      <c r="B459" s="93">
        <v>46257</v>
      </c>
      <c r="C459" s="92" t="s">
        <v>619</v>
      </c>
      <c r="D459" s="92" t="s">
        <v>620</v>
      </c>
      <c r="E459" s="92"/>
      <c r="F459" s="92" t="s">
        <v>165</v>
      </c>
      <c r="G459" s="88">
        <v>3850</v>
      </c>
      <c r="H459" s="88"/>
      <c r="I459" s="88">
        <v>3850</v>
      </c>
      <c r="J459" s="88">
        <v>0</v>
      </c>
      <c r="K459" s="88"/>
      <c r="L459" s="92"/>
      <c r="M459" s="92" t="s">
        <v>166</v>
      </c>
      <c r="N459"/>
      <c r="O459" s="132"/>
      <c r="P459" s="145"/>
      <c r="Q459" s="25"/>
      <c r="R459" s="25"/>
      <c r="S459" s="25"/>
      <c r="T459" s="25"/>
      <c r="U459" s="25"/>
    </row>
    <row r="460" spans="1:21" ht="16.5" hidden="1" customHeight="1" thickBot="1">
      <c r="A460" s="92" t="s">
        <v>172</v>
      </c>
      <c r="B460" s="93">
        <v>46257</v>
      </c>
      <c r="C460" s="92" t="s">
        <v>309</v>
      </c>
      <c r="D460" s="92" t="s">
        <v>310</v>
      </c>
      <c r="E460" s="92"/>
      <c r="F460" s="92" t="s">
        <v>165</v>
      </c>
      <c r="G460" s="88">
        <v>3850</v>
      </c>
      <c r="H460" s="88"/>
      <c r="I460" s="88">
        <v>3850</v>
      </c>
      <c r="J460" s="88">
        <v>0</v>
      </c>
      <c r="K460" s="88"/>
      <c r="L460" s="92"/>
      <c r="M460" s="92" t="s">
        <v>175</v>
      </c>
      <c r="N460"/>
      <c r="O460" s="26">
        <v>20260823</v>
      </c>
      <c r="P460" s="32">
        <v>202608230000005</v>
      </c>
      <c r="Q460" s="27">
        <v>3850</v>
      </c>
      <c r="R460" s="28"/>
      <c r="S460" s="27" t="s">
        <v>167</v>
      </c>
      <c r="T460" s="27" t="s">
        <v>311</v>
      </c>
      <c r="U460" s="27">
        <v>782.28599999999994</v>
      </c>
    </row>
    <row r="461" spans="1:21" ht="16.5" hidden="1" customHeight="1" thickBot="1">
      <c r="A461" s="92" t="s">
        <v>162</v>
      </c>
      <c r="B461" s="93">
        <v>46257</v>
      </c>
      <c r="C461" s="92" t="s">
        <v>853</v>
      </c>
      <c r="D461" s="92" t="s">
        <v>854</v>
      </c>
      <c r="E461" s="92"/>
      <c r="F461" s="92" t="s">
        <v>165</v>
      </c>
      <c r="G461" s="88">
        <v>2800</v>
      </c>
      <c r="H461" s="88"/>
      <c r="I461" s="88">
        <v>2800</v>
      </c>
      <c r="J461" s="88">
        <v>0</v>
      </c>
      <c r="K461" s="88"/>
      <c r="L461" s="92"/>
      <c r="M461" s="92" t="s">
        <v>166</v>
      </c>
      <c r="N461"/>
      <c r="O461" s="23">
        <v>20260823</v>
      </c>
      <c r="P461" s="31">
        <v>202608230000006</v>
      </c>
      <c r="Q461" s="24">
        <v>2800</v>
      </c>
      <c r="R461" s="25"/>
      <c r="S461" s="24" t="s">
        <v>167</v>
      </c>
      <c r="T461" s="24" t="s">
        <v>855</v>
      </c>
      <c r="U461" s="24">
        <v>785.08600000000001</v>
      </c>
    </row>
    <row r="462" spans="1:21" ht="16.5" hidden="1" customHeight="1" thickBot="1">
      <c r="A462" s="92" t="s">
        <v>162</v>
      </c>
      <c r="B462" s="93">
        <v>46257</v>
      </c>
      <c r="C462" s="92" t="s">
        <v>742</v>
      </c>
      <c r="D462" s="92" t="s">
        <v>743</v>
      </c>
      <c r="E462" s="92"/>
      <c r="F462" s="92" t="s">
        <v>165</v>
      </c>
      <c r="G462" s="88">
        <v>7700</v>
      </c>
      <c r="H462" s="88"/>
      <c r="I462" s="88">
        <v>7700</v>
      </c>
      <c r="J462" s="88">
        <v>0</v>
      </c>
      <c r="K462" s="88"/>
      <c r="L462" s="92"/>
      <c r="M462" s="92" t="s">
        <v>166</v>
      </c>
      <c r="N462"/>
      <c r="O462" s="26">
        <v>20260823</v>
      </c>
      <c r="P462" s="32">
        <v>202608230000007</v>
      </c>
      <c r="Q462" s="27">
        <v>7700</v>
      </c>
      <c r="R462" s="28"/>
      <c r="S462" s="27" t="s">
        <v>167</v>
      </c>
      <c r="T462" s="27" t="s">
        <v>779</v>
      </c>
      <c r="U462" s="27">
        <v>792.78599999999994</v>
      </c>
    </row>
    <row r="463" spans="1:21" ht="21.75" hidden="1" customHeight="1" thickBot="1">
      <c r="A463" s="92" t="s">
        <v>162</v>
      </c>
      <c r="B463" s="93">
        <v>46257</v>
      </c>
      <c r="C463" s="92" t="s">
        <v>955</v>
      </c>
      <c r="D463" s="92" t="s">
        <v>956</v>
      </c>
      <c r="E463" s="92"/>
      <c r="F463" s="92" t="s">
        <v>165</v>
      </c>
      <c r="G463" s="88">
        <v>3850</v>
      </c>
      <c r="H463" s="88"/>
      <c r="I463" s="88">
        <v>3850</v>
      </c>
      <c r="J463" s="88">
        <v>0</v>
      </c>
      <c r="K463" s="88"/>
      <c r="L463" s="92"/>
      <c r="M463" s="92" t="s">
        <v>166</v>
      </c>
      <c r="O463" s="23">
        <v>20260823</v>
      </c>
      <c r="P463" s="31">
        <v>202608230000008</v>
      </c>
      <c r="Q463" s="24">
        <v>3850</v>
      </c>
      <c r="R463" s="25"/>
      <c r="S463" s="24" t="s">
        <v>167</v>
      </c>
      <c r="T463" s="24" t="s">
        <v>354</v>
      </c>
      <c r="U463" s="24">
        <v>796.63599999999997</v>
      </c>
    </row>
    <row r="464" spans="1:21" ht="16.5" hidden="1" customHeight="1" thickBot="1">
      <c r="A464" s="92" t="s">
        <v>162</v>
      </c>
      <c r="B464" s="93">
        <v>46257</v>
      </c>
      <c r="C464" s="92" t="s">
        <v>753</v>
      </c>
      <c r="D464" s="92" t="s">
        <v>754</v>
      </c>
      <c r="E464" s="92"/>
      <c r="F464" s="92" t="s">
        <v>165</v>
      </c>
      <c r="G464" s="88">
        <v>3850</v>
      </c>
      <c r="H464" s="88"/>
      <c r="I464" s="88">
        <v>3850</v>
      </c>
      <c r="J464" s="88">
        <v>0</v>
      </c>
      <c r="K464" s="88"/>
      <c r="L464" s="92"/>
      <c r="M464" s="92" t="s">
        <v>166</v>
      </c>
      <c r="N464"/>
      <c r="O464" s="26">
        <v>20260823</v>
      </c>
      <c r="P464" s="32">
        <v>202608230000009</v>
      </c>
      <c r="Q464" s="27">
        <v>3850</v>
      </c>
      <c r="R464" s="28"/>
      <c r="S464" s="27" t="s">
        <v>167</v>
      </c>
      <c r="T464" s="27" t="s">
        <v>434</v>
      </c>
      <c r="U464" s="27">
        <v>800.48599999999999</v>
      </c>
    </row>
    <row r="465" spans="1:21" ht="16.5" hidden="1" customHeight="1" thickBot="1">
      <c r="A465" s="92" t="s">
        <v>162</v>
      </c>
      <c r="B465" s="93">
        <v>46257</v>
      </c>
      <c r="C465" s="92" t="s">
        <v>351</v>
      </c>
      <c r="D465" s="92" t="s">
        <v>352</v>
      </c>
      <c r="E465" s="92"/>
      <c r="F465" s="92" t="s">
        <v>165</v>
      </c>
      <c r="G465" s="88">
        <v>3658</v>
      </c>
      <c r="H465" s="88"/>
      <c r="I465" s="88">
        <v>3658</v>
      </c>
      <c r="J465" s="88">
        <v>0</v>
      </c>
      <c r="K465" s="88"/>
      <c r="L465" s="92"/>
      <c r="M465" s="92" t="s">
        <v>166</v>
      </c>
      <c r="N465"/>
      <c r="O465" s="23">
        <v>20260823</v>
      </c>
      <c r="P465" s="31">
        <v>202608230000010</v>
      </c>
      <c r="Q465" s="24">
        <v>3658</v>
      </c>
      <c r="R465" s="25"/>
      <c r="S465" s="24" t="s">
        <v>167</v>
      </c>
      <c r="T465" s="24" t="s">
        <v>205</v>
      </c>
      <c r="U465" s="24">
        <v>804.14400000000001</v>
      </c>
    </row>
    <row r="466" spans="1:21" ht="16.5" hidden="1" customHeight="1" thickBot="1">
      <c r="A466" s="92" t="s">
        <v>162</v>
      </c>
      <c r="B466" s="93">
        <v>46257</v>
      </c>
      <c r="C466" s="92" t="s">
        <v>606</v>
      </c>
      <c r="D466" s="92" t="s">
        <v>607</v>
      </c>
      <c r="E466" s="92"/>
      <c r="F466" s="92" t="s">
        <v>165</v>
      </c>
      <c r="G466" s="88">
        <v>3850</v>
      </c>
      <c r="H466" s="88"/>
      <c r="I466" s="88">
        <v>3850</v>
      </c>
      <c r="J466" s="88">
        <v>0</v>
      </c>
      <c r="K466" s="88"/>
      <c r="L466" s="92"/>
      <c r="M466" s="92" t="s">
        <v>166</v>
      </c>
      <c r="N466"/>
      <c r="O466" s="26">
        <v>20260823</v>
      </c>
      <c r="P466" s="32">
        <v>202608230000011</v>
      </c>
      <c r="Q466" s="27">
        <v>3850</v>
      </c>
      <c r="R466" s="28"/>
      <c r="S466" s="27" t="s">
        <v>167</v>
      </c>
      <c r="T466" s="27" t="s">
        <v>2509</v>
      </c>
      <c r="U466" s="27">
        <v>807.99400000000003</v>
      </c>
    </row>
    <row r="467" spans="1:21" ht="16.5" hidden="1" customHeight="1" thickBot="1">
      <c r="A467" s="92" t="s">
        <v>162</v>
      </c>
      <c r="B467" s="93">
        <v>46257</v>
      </c>
      <c r="C467" s="92" t="s">
        <v>803</v>
      </c>
      <c r="D467" s="92" t="s">
        <v>804</v>
      </c>
      <c r="E467" s="92"/>
      <c r="F467" s="92" t="s">
        <v>165</v>
      </c>
      <c r="G467" s="88">
        <v>2800</v>
      </c>
      <c r="H467" s="88"/>
      <c r="I467" s="88">
        <v>2800</v>
      </c>
      <c r="J467" s="88">
        <v>0</v>
      </c>
      <c r="K467" s="88"/>
      <c r="L467" s="92"/>
      <c r="M467" s="92" t="s">
        <v>166</v>
      </c>
      <c r="N467"/>
      <c r="O467" s="23">
        <v>20260823</v>
      </c>
      <c r="P467" s="31">
        <v>202608230000012</v>
      </c>
      <c r="Q467" s="24">
        <v>2800</v>
      </c>
      <c r="R467" s="25"/>
      <c r="S467" s="24" t="s">
        <v>167</v>
      </c>
      <c r="T467" s="24" t="s">
        <v>689</v>
      </c>
      <c r="U467" s="24">
        <v>810.79399999999998</v>
      </c>
    </row>
    <row r="468" spans="1:21" ht="16.5" hidden="1" customHeight="1" thickBot="1">
      <c r="A468" s="92" t="s">
        <v>180</v>
      </c>
      <c r="B468" s="93">
        <v>46257</v>
      </c>
      <c r="C468" s="92" t="s">
        <v>439</v>
      </c>
      <c r="D468" s="92" t="s">
        <v>440</v>
      </c>
      <c r="E468" s="92"/>
      <c r="F468" s="92" t="s">
        <v>165</v>
      </c>
      <c r="G468" s="88">
        <v>4000</v>
      </c>
      <c r="H468" s="88"/>
      <c r="I468" s="88">
        <v>4000</v>
      </c>
      <c r="J468" s="88">
        <v>0</v>
      </c>
      <c r="K468" s="88"/>
      <c r="L468" s="92"/>
      <c r="M468" s="92" t="s">
        <v>175</v>
      </c>
      <c r="N468"/>
      <c r="O468" s="26">
        <v>20260823</v>
      </c>
      <c r="P468" s="32">
        <v>202608230000013</v>
      </c>
      <c r="Q468" s="27">
        <v>4000</v>
      </c>
      <c r="R468" s="28"/>
      <c r="S468" s="27" t="s">
        <v>167</v>
      </c>
      <c r="T468" s="27" t="s">
        <v>412</v>
      </c>
      <c r="U468" s="27">
        <v>814.79399999999998</v>
      </c>
    </row>
    <row r="469" spans="1:21" ht="16.5" hidden="1" customHeight="1" thickBot="1">
      <c r="A469" s="92" t="s">
        <v>162</v>
      </c>
      <c r="B469" s="93">
        <v>46257</v>
      </c>
      <c r="C469" s="92" t="s">
        <v>459</v>
      </c>
      <c r="D469" s="92" t="s">
        <v>460</v>
      </c>
      <c r="E469" s="92"/>
      <c r="F469" s="92" t="s">
        <v>165</v>
      </c>
      <c r="G469" s="88">
        <v>3850</v>
      </c>
      <c r="H469" s="88"/>
      <c r="I469" s="88">
        <v>3850</v>
      </c>
      <c r="J469" s="88">
        <v>0</v>
      </c>
      <c r="K469" s="88"/>
      <c r="L469" s="92"/>
      <c r="M469" s="92" t="s">
        <v>166</v>
      </c>
      <c r="N469"/>
      <c r="O469" s="23">
        <v>20260823</v>
      </c>
      <c r="P469" s="31">
        <v>202608230000014</v>
      </c>
      <c r="Q469" s="24">
        <v>3850</v>
      </c>
      <c r="R469" s="25"/>
      <c r="S469" s="24" t="s">
        <v>167</v>
      </c>
      <c r="T469" s="24" t="s">
        <v>412</v>
      </c>
      <c r="U469" s="24">
        <v>818.64400000000001</v>
      </c>
    </row>
    <row r="470" spans="1:21" ht="16.5" hidden="1" customHeight="1" thickBot="1">
      <c r="A470" s="92" t="s">
        <v>162</v>
      </c>
      <c r="B470" s="93">
        <v>46257</v>
      </c>
      <c r="C470" s="92" t="s">
        <v>351</v>
      </c>
      <c r="D470" s="92" t="s">
        <v>352</v>
      </c>
      <c r="E470" s="92"/>
      <c r="F470" s="92" t="s">
        <v>165</v>
      </c>
      <c r="G470" s="88">
        <v>3850</v>
      </c>
      <c r="H470" s="88"/>
      <c r="I470" s="88">
        <v>3850</v>
      </c>
      <c r="J470" s="88">
        <v>0</v>
      </c>
      <c r="K470" s="88"/>
      <c r="L470" s="92"/>
      <c r="M470" s="92" t="s">
        <v>166</v>
      </c>
      <c r="N470"/>
      <c r="O470" s="26">
        <v>20260823</v>
      </c>
      <c r="P470" s="32">
        <v>202608230000015</v>
      </c>
      <c r="Q470" s="27">
        <v>3850</v>
      </c>
      <c r="R470" s="28"/>
      <c r="S470" s="27" t="s">
        <v>167</v>
      </c>
      <c r="T470" s="27" t="s">
        <v>760</v>
      </c>
      <c r="U470" s="27">
        <v>822.49400000000003</v>
      </c>
    </row>
    <row r="471" spans="1:21" ht="16.5" hidden="1" customHeight="1" thickBot="1">
      <c r="A471" s="92" t="s">
        <v>162</v>
      </c>
      <c r="B471" s="93">
        <v>46257</v>
      </c>
      <c r="C471" s="92" t="s">
        <v>696</v>
      </c>
      <c r="D471" s="92" t="s">
        <v>697</v>
      </c>
      <c r="E471" s="92"/>
      <c r="F471" s="92" t="s">
        <v>165</v>
      </c>
      <c r="G471" s="88">
        <v>2100</v>
      </c>
      <c r="H471" s="88"/>
      <c r="I471" s="88">
        <v>2100</v>
      </c>
      <c r="J471" s="88">
        <v>0</v>
      </c>
      <c r="K471" s="88"/>
      <c r="L471" s="92"/>
      <c r="M471" s="92" t="s">
        <v>166</v>
      </c>
      <c r="N471"/>
      <c r="O471" s="23">
        <v>20260823</v>
      </c>
      <c r="P471" s="31">
        <v>202608230000016</v>
      </c>
      <c r="Q471" s="24">
        <v>2100</v>
      </c>
      <c r="R471" s="25"/>
      <c r="S471" s="24" t="s">
        <v>167</v>
      </c>
      <c r="T471" s="24" t="s">
        <v>698</v>
      </c>
      <c r="U471" s="24">
        <v>824.59400000000005</v>
      </c>
    </row>
    <row r="472" spans="1:21" ht="16.5" customHeight="1" thickBot="1">
      <c r="A472" s="92" t="s">
        <v>162</v>
      </c>
      <c r="B472" s="93">
        <v>46257</v>
      </c>
      <c r="C472" s="92" t="e">
        <v>#N/A</v>
      </c>
      <c r="D472" s="92"/>
      <c r="E472" s="92"/>
      <c r="F472" s="92" t="s">
        <v>179</v>
      </c>
      <c r="G472" s="88">
        <v>2000</v>
      </c>
      <c r="H472" s="88">
        <v>2000</v>
      </c>
      <c r="I472" s="88">
        <v>0</v>
      </c>
      <c r="J472" s="88">
        <v>0</v>
      </c>
      <c r="K472" s="88"/>
      <c r="L472" s="92"/>
      <c r="M472" s="92" t="s">
        <v>166</v>
      </c>
      <c r="N472" t="s">
        <v>1125</v>
      </c>
      <c r="O472" s="26">
        <v>20260823</v>
      </c>
      <c r="P472" s="32">
        <v>202608230000017</v>
      </c>
      <c r="Q472" s="27">
        <v>2000</v>
      </c>
      <c r="R472" s="28"/>
      <c r="S472" s="27" t="s">
        <v>167</v>
      </c>
      <c r="T472" s="27" t="s">
        <v>1124</v>
      </c>
      <c r="U472" s="27">
        <v>826.59400000000005</v>
      </c>
    </row>
    <row r="473" spans="1:21" ht="16.5" hidden="1" customHeight="1" thickBot="1">
      <c r="A473" s="92" t="s">
        <v>162</v>
      </c>
      <c r="B473" s="93">
        <v>46257</v>
      </c>
      <c r="C473" s="92" t="s">
        <v>690</v>
      </c>
      <c r="D473" s="92" t="s">
        <v>691</v>
      </c>
      <c r="E473" s="92"/>
      <c r="F473" s="92" t="s">
        <v>165</v>
      </c>
      <c r="G473" s="88">
        <v>7700</v>
      </c>
      <c r="H473" s="88"/>
      <c r="I473" s="88">
        <v>7700</v>
      </c>
      <c r="J473" s="88">
        <v>0</v>
      </c>
      <c r="K473" s="88"/>
      <c r="L473" s="92"/>
      <c r="M473" s="92" t="s">
        <v>166</v>
      </c>
      <c r="N473"/>
      <c r="O473" s="23">
        <v>20260823</v>
      </c>
      <c r="P473" s="31">
        <v>202608230000018</v>
      </c>
      <c r="Q473" s="24">
        <v>7700</v>
      </c>
      <c r="R473" s="25"/>
      <c r="S473" s="24" t="s">
        <v>167</v>
      </c>
      <c r="T473" s="24" t="s">
        <v>193</v>
      </c>
      <c r="U473" s="24">
        <v>834.29399999999998</v>
      </c>
    </row>
    <row r="474" spans="1:21" ht="16.5" hidden="1" customHeight="1" thickBot="1">
      <c r="A474" s="92" t="s">
        <v>162</v>
      </c>
      <c r="B474" s="93">
        <v>46257</v>
      </c>
      <c r="C474" s="92" t="s">
        <v>768</v>
      </c>
      <c r="D474" s="92" t="s">
        <v>769</v>
      </c>
      <c r="E474" s="92"/>
      <c r="F474" s="92" t="s">
        <v>165</v>
      </c>
      <c r="G474" s="88">
        <v>3850</v>
      </c>
      <c r="H474" s="88"/>
      <c r="I474" s="88">
        <v>3850</v>
      </c>
      <c r="J474" s="88">
        <v>0</v>
      </c>
      <c r="K474" s="88"/>
      <c r="L474" s="92"/>
      <c r="M474" s="92" t="s">
        <v>166</v>
      </c>
      <c r="N474"/>
      <c r="O474" s="26">
        <v>20260823</v>
      </c>
      <c r="P474" s="32">
        <v>202608230000019</v>
      </c>
      <c r="Q474" s="27">
        <v>3850</v>
      </c>
      <c r="R474" s="28"/>
      <c r="S474" s="27" t="s">
        <v>359</v>
      </c>
      <c r="T474" s="27" t="s">
        <v>870</v>
      </c>
      <c r="U474" s="27">
        <v>838.14400000000001</v>
      </c>
    </row>
    <row r="475" spans="1:21" ht="21.75" hidden="1" customHeight="1" thickBot="1">
      <c r="A475" s="92" t="s">
        <v>162</v>
      </c>
      <c r="B475" s="93">
        <v>46257</v>
      </c>
      <c r="C475" s="92" t="s">
        <v>2125</v>
      </c>
      <c r="D475" s="92" t="s">
        <v>607</v>
      </c>
      <c r="E475" s="92"/>
      <c r="F475" s="92" t="s">
        <v>165</v>
      </c>
      <c r="G475" s="88">
        <v>3850</v>
      </c>
      <c r="H475" s="88"/>
      <c r="I475" s="88">
        <v>3850</v>
      </c>
      <c r="J475" s="88">
        <v>0</v>
      </c>
      <c r="K475" s="88"/>
      <c r="L475" s="92"/>
      <c r="M475" s="92" t="s">
        <v>166</v>
      </c>
      <c r="O475" s="23">
        <v>20260823</v>
      </c>
      <c r="P475" s="31">
        <v>202608230000020</v>
      </c>
      <c r="Q475" s="24">
        <v>3850</v>
      </c>
      <c r="R475" s="25"/>
      <c r="S475" s="24" t="s">
        <v>167</v>
      </c>
      <c r="T475" s="24" t="s">
        <v>862</v>
      </c>
      <c r="U475" s="24">
        <v>841.99400000000003</v>
      </c>
    </row>
    <row r="476" spans="1:21" ht="16.5" hidden="1" customHeight="1" thickBot="1">
      <c r="A476" s="92" t="s">
        <v>162</v>
      </c>
      <c r="B476" s="93">
        <v>46257</v>
      </c>
      <c r="C476" s="92" t="s">
        <v>1092</v>
      </c>
      <c r="D476" s="92" t="s">
        <v>1093</v>
      </c>
      <c r="E476" s="92"/>
      <c r="F476" s="92" t="s">
        <v>165</v>
      </c>
      <c r="G476" s="88">
        <v>2800</v>
      </c>
      <c r="H476" s="88"/>
      <c r="I476" s="88">
        <v>2800</v>
      </c>
      <c r="J476" s="88">
        <v>0</v>
      </c>
      <c r="K476" s="88"/>
      <c r="L476" s="92"/>
      <c r="M476" s="92" t="s">
        <v>166</v>
      </c>
      <c r="N476"/>
      <c r="O476" s="26">
        <v>20260823</v>
      </c>
      <c r="P476" s="32">
        <v>202608230000021</v>
      </c>
      <c r="Q476" s="27">
        <v>2800</v>
      </c>
      <c r="R476" s="28"/>
      <c r="S476" s="27" t="s">
        <v>167</v>
      </c>
      <c r="T476" s="27" t="s">
        <v>264</v>
      </c>
      <c r="U476" s="27">
        <v>844.79399999999998</v>
      </c>
    </row>
    <row r="477" spans="1:21" ht="16.5" hidden="1" customHeight="1" thickBot="1">
      <c r="A477" s="92" t="s">
        <v>172</v>
      </c>
      <c r="B477" s="93">
        <v>46257</v>
      </c>
      <c r="C477" s="92" t="s">
        <v>222</v>
      </c>
      <c r="D477" s="92" t="s">
        <v>223</v>
      </c>
      <c r="E477" s="92"/>
      <c r="F477" s="92" t="s">
        <v>165</v>
      </c>
      <c r="G477" s="88">
        <v>4000</v>
      </c>
      <c r="H477" s="88"/>
      <c r="I477" s="88">
        <v>4000</v>
      </c>
      <c r="J477" s="88">
        <v>0</v>
      </c>
      <c r="K477" s="88"/>
      <c r="L477" s="92"/>
      <c r="M477" s="92" t="s">
        <v>175</v>
      </c>
      <c r="N477"/>
      <c r="O477" s="23">
        <v>20260823</v>
      </c>
      <c r="P477" s="31">
        <v>202608230000022</v>
      </c>
      <c r="Q477" s="24">
        <v>4000</v>
      </c>
      <c r="R477" s="25"/>
      <c r="S477" s="24" t="s">
        <v>167</v>
      </c>
      <c r="T477" s="24" t="s">
        <v>1041</v>
      </c>
      <c r="U477" s="24">
        <v>848.79399999999998</v>
      </c>
    </row>
    <row r="478" spans="1:21" ht="16.5" hidden="1" customHeight="1" thickBot="1">
      <c r="A478" s="92" t="s">
        <v>162</v>
      </c>
      <c r="B478" s="93">
        <v>46257</v>
      </c>
      <c r="C478" s="92" t="s">
        <v>985</v>
      </c>
      <c r="D478" s="92" t="s">
        <v>986</v>
      </c>
      <c r="E478" s="92"/>
      <c r="F478" s="92" t="s">
        <v>165</v>
      </c>
      <c r="G478" s="88">
        <v>3850</v>
      </c>
      <c r="H478" s="88"/>
      <c r="I478" s="88">
        <v>3850</v>
      </c>
      <c r="J478" s="88">
        <v>0</v>
      </c>
      <c r="K478" s="88"/>
      <c r="L478" s="92"/>
      <c r="M478" s="92" t="s">
        <v>166</v>
      </c>
      <c r="N478"/>
      <c r="O478" s="26">
        <v>20260823</v>
      </c>
      <c r="P478" s="32">
        <v>202608230000023</v>
      </c>
      <c r="Q478" s="27">
        <v>3850</v>
      </c>
      <c r="R478" s="28"/>
      <c r="S478" s="27" t="s">
        <v>167</v>
      </c>
      <c r="T478" s="27" t="s">
        <v>566</v>
      </c>
      <c r="U478" s="27">
        <v>852.64400000000001</v>
      </c>
    </row>
    <row r="479" spans="1:21" ht="16.5" hidden="1" customHeight="1" thickBot="1">
      <c r="A479" s="92" t="s">
        <v>162</v>
      </c>
      <c r="B479" s="93">
        <v>46257</v>
      </c>
      <c r="C479" s="92" t="s">
        <v>2853</v>
      </c>
      <c r="D479" s="92" t="s">
        <v>2854</v>
      </c>
      <c r="E479" s="92"/>
      <c r="F479" s="92" t="s">
        <v>165</v>
      </c>
      <c r="G479" s="88">
        <v>3850</v>
      </c>
      <c r="H479" s="88"/>
      <c r="I479" s="88">
        <v>3850</v>
      </c>
      <c r="J479" s="88">
        <v>0</v>
      </c>
      <c r="K479" s="88"/>
      <c r="L479" s="92"/>
      <c r="M479" s="92" t="s">
        <v>166</v>
      </c>
      <c r="N479"/>
      <c r="O479" s="23">
        <v>20260823</v>
      </c>
      <c r="P479" s="31">
        <v>202608230000024</v>
      </c>
      <c r="Q479" s="24">
        <v>3850</v>
      </c>
      <c r="R479" s="25"/>
      <c r="S479" s="24" t="s">
        <v>167</v>
      </c>
      <c r="T479" s="24" t="s">
        <v>208</v>
      </c>
      <c r="U479" s="24">
        <v>856.49400000000003</v>
      </c>
    </row>
    <row r="480" spans="1:21" ht="16.5" hidden="1" customHeight="1" thickBot="1">
      <c r="A480" s="92" t="s">
        <v>162</v>
      </c>
      <c r="B480" s="93">
        <v>46257</v>
      </c>
      <c r="C480" s="92" t="s">
        <v>3151</v>
      </c>
      <c r="D480" s="92" t="s">
        <v>719</v>
      </c>
      <c r="E480" s="92"/>
      <c r="F480" s="92" t="s">
        <v>165</v>
      </c>
      <c r="G480" s="88">
        <v>5000</v>
      </c>
      <c r="H480" s="88">
        <v>1000</v>
      </c>
      <c r="I480" s="88">
        <v>4000</v>
      </c>
      <c r="J480" s="88">
        <v>0</v>
      </c>
      <c r="K480" s="88"/>
      <c r="L480" s="92"/>
      <c r="M480" s="92" t="s">
        <v>166</v>
      </c>
      <c r="N480"/>
      <c r="O480" s="26">
        <v>20260823</v>
      </c>
      <c r="P480" s="32">
        <v>202608230000025</v>
      </c>
      <c r="Q480" s="27">
        <v>5000</v>
      </c>
      <c r="R480" s="28"/>
      <c r="S480" s="27" t="s">
        <v>184</v>
      </c>
      <c r="T480" s="27" t="s">
        <v>720</v>
      </c>
      <c r="U480" s="27">
        <v>861.49400000000003</v>
      </c>
    </row>
    <row r="481" spans="1:21" ht="16.5" hidden="1" customHeight="1" thickBot="1">
      <c r="A481" s="92" t="s">
        <v>162</v>
      </c>
      <c r="B481" s="93">
        <v>46257</v>
      </c>
      <c r="C481" s="92" t="s">
        <v>564</v>
      </c>
      <c r="D481" s="92" t="s">
        <v>565</v>
      </c>
      <c r="E481" s="92"/>
      <c r="F481" s="92" t="s">
        <v>165</v>
      </c>
      <c r="G481" s="88">
        <v>3850</v>
      </c>
      <c r="H481" s="88"/>
      <c r="I481" s="88">
        <v>3850</v>
      </c>
      <c r="J481" s="88">
        <v>0</v>
      </c>
      <c r="K481" s="88"/>
      <c r="L481" s="92"/>
      <c r="M481" s="92" t="s">
        <v>166</v>
      </c>
      <c r="N481"/>
      <c r="O481" s="23">
        <v>20260823</v>
      </c>
      <c r="P481" s="31">
        <v>202608230000026</v>
      </c>
      <c r="Q481" s="24">
        <v>3850</v>
      </c>
      <c r="R481" s="25"/>
      <c r="S481" s="24" t="s">
        <v>167</v>
      </c>
      <c r="T481" s="24" t="s">
        <v>608</v>
      </c>
      <c r="U481" s="24">
        <v>865.34400000000005</v>
      </c>
    </row>
    <row r="482" spans="1:21" ht="16.5" hidden="1" customHeight="1" thickBot="1">
      <c r="A482" s="92" t="s">
        <v>162</v>
      </c>
      <c r="B482" s="93">
        <v>46257</v>
      </c>
      <c r="C482" s="92" t="s">
        <v>1082</v>
      </c>
      <c r="D482" s="92" t="s">
        <v>1083</v>
      </c>
      <c r="E482" s="92"/>
      <c r="F482" s="92" t="s">
        <v>165</v>
      </c>
      <c r="G482" s="88">
        <v>2800</v>
      </c>
      <c r="H482" s="88"/>
      <c r="I482" s="88">
        <v>2800</v>
      </c>
      <c r="J482" s="88">
        <v>0</v>
      </c>
      <c r="K482" s="88"/>
      <c r="L482" s="92"/>
      <c r="M482" s="92" t="s">
        <v>166</v>
      </c>
      <c r="N482"/>
      <c r="O482" s="26">
        <v>20260823</v>
      </c>
      <c r="P482" s="32">
        <v>202608230000027</v>
      </c>
      <c r="Q482" s="27">
        <v>2800</v>
      </c>
      <c r="R482" s="28"/>
      <c r="S482" s="27" t="s">
        <v>167</v>
      </c>
      <c r="T482" s="27" t="s">
        <v>264</v>
      </c>
      <c r="U482" s="27">
        <v>868.14400000000001</v>
      </c>
    </row>
    <row r="483" spans="1:21" ht="16.5" hidden="1" customHeight="1" thickBot="1">
      <c r="A483" s="92" t="s">
        <v>162</v>
      </c>
      <c r="B483" s="93">
        <v>46257</v>
      </c>
      <c r="C483" s="92" t="s">
        <v>975</v>
      </c>
      <c r="D483" s="92" t="s">
        <v>976</v>
      </c>
      <c r="E483" s="92"/>
      <c r="F483" s="92" t="s">
        <v>165</v>
      </c>
      <c r="G483" s="88">
        <v>7700</v>
      </c>
      <c r="H483" s="88"/>
      <c r="I483" s="88">
        <v>7700</v>
      </c>
      <c r="J483" s="88">
        <v>0</v>
      </c>
      <c r="K483" s="88"/>
      <c r="L483" s="92"/>
      <c r="M483" s="92" t="s">
        <v>166</v>
      </c>
      <c r="N483"/>
      <c r="O483" s="23">
        <v>20260823</v>
      </c>
      <c r="P483" s="31">
        <v>202608230000028</v>
      </c>
      <c r="Q483" s="24">
        <v>7700</v>
      </c>
      <c r="R483" s="25"/>
      <c r="S483" s="24" t="s">
        <v>167</v>
      </c>
      <c r="T483" s="24" t="s">
        <v>358</v>
      </c>
      <c r="U483" s="24">
        <v>875.84400000000005</v>
      </c>
    </row>
    <row r="484" spans="1:21" ht="16.5" hidden="1" customHeight="1" thickBot="1">
      <c r="A484" s="92" t="s">
        <v>162</v>
      </c>
      <c r="B484" s="93">
        <v>46257</v>
      </c>
      <c r="C484" s="92" t="s">
        <v>879</v>
      </c>
      <c r="D484" s="92" t="s">
        <v>880</v>
      </c>
      <c r="E484" s="92"/>
      <c r="F484" s="92" t="s">
        <v>165</v>
      </c>
      <c r="G484" s="88">
        <v>2800</v>
      </c>
      <c r="H484" s="88"/>
      <c r="I484" s="88">
        <v>2800</v>
      </c>
      <c r="J484" s="88">
        <v>0</v>
      </c>
      <c r="K484" s="88"/>
      <c r="L484" s="92"/>
      <c r="M484" s="92" t="s">
        <v>166</v>
      </c>
      <c r="N484"/>
      <c r="O484" s="26">
        <v>20260823</v>
      </c>
      <c r="P484" s="32">
        <v>202608230000029</v>
      </c>
      <c r="Q484" s="27">
        <v>2800</v>
      </c>
      <c r="R484" s="28"/>
      <c r="S484" s="27" t="s">
        <v>167</v>
      </c>
      <c r="T484" s="27" t="s">
        <v>805</v>
      </c>
      <c r="U484" s="27">
        <v>878.64400000000001</v>
      </c>
    </row>
    <row r="485" spans="1:21" ht="16.5" hidden="1" customHeight="1" thickBot="1">
      <c r="A485" s="92" t="s">
        <v>162</v>
      </c>
      <c r="B485" s="93">
        <v>46257</v>
      </c>
      <c r="C485" s="92" t="s">
        <v>888</v>
      </c>
      <c r="D485" s="92" t="s">
        <v>889</v>
      </c>
      <c r="E485" s="92"/>
      <c r="F485" s="92" t="s">
        <v>165</v>
      </c>
      <c r="G485" s="88">
        <v>3850</v>
      </c>
      <c r="H485" s="88"/>
      <c r="I485" s="88">
        <v>3850</v>
      </c>
      <c r="J485" s="88">
        <v>0</v>
      </c>
      <c r="K485" s="88"/>
      <c r="L485" s="92"/>
      <c r="M485" s="92" t="s">
        <v>166</v>
      </c>
      <c r="N485"/>
      <c r="O485" s="23">
        <v>20260823</v>
      </c>
      <c r="P485" s="31">
        <v>202608230000030</v>
      </c>
      <c r="Q485" s="24">
        <v>3850</v>
      </c>
      <c r="R485" s="25"/>
      <c r="S485" s="24" t="s">
        <v>167</v>
      </c>
      <c r="T485" s="24" t="s">
        <v>2510</v>
      </c>
      <c r="U485" s="24">
        <v>882.49400000000003</v>
      </c>
    </row>
    <row r="486" spans="1:21" ht="16.5" customHeight="1" thickBot="1">
      <c r="A486" s="92" t="s">
        <v>3293</v>
      </c>
      <c r="B486" s="93">
        <v>46258</v>
      </c>
      <c r="C486" s="92" t="s">
        <v>214</v>
      </c>
      <c r="D486" s="92" t="s">
        <v>215</v>
      </c>
      <c r="E486" s="92"/>
      <c r="F486" s="92" t="s">
        <v>179</v>
      </c>
      <c r="G486" s="88">
        <v>6850</v>
      </c>
      <c r="H486" s="88">
        <v>6850</v>
      </c>
      <c r="I486" s="88">
        <v>0</v>
      </c>
      <c r="J486" s="88">
        <v>0</v>
      </c>
      <c r="K486" s="88"/>
      <c r="L486" s="92"/>
      <c r="M486" s="92" t="s">
        <v>175</v>
      </c>
      <c r="N486" t="s">
        <v>4205</v>
      </c>
      <c r="O486" s="26">
        <v>20260824</v>
      </c>
      <c r="P486" s="32">
        <v>202608240000001</v>
      </c>
      <c r="Q486" s="27">
        <v>6850</v>
      </c>
      <c r="R486" s="28"/>
      <c r="S486" s="27" t="s">
        <v>167</v>
      </c>
      <c r="T486" s="27" t="s">
        <v>208</v>
      </c>
      <c r="U486" s="27">
        <v>889.34400000000005</v>
      </c>
    </row>
    <row r="487" spans="1:21" ht="16.5" hidden="1" customHeight="1" thickBot="1">
      <c r="A487" s="92" t="s">
        <v>162</v>
      </c>
      <c r="B487" s="93">
        <v>46258</v>
      </c>
      <c r="C487" s="92" t="s">
        <v>845</v>
      </c>
      <c r="D487" s="92" t="s">
        <v>846</v>
      </c>
      <c r="E487" s="92"/>
      <c r="F487" s="92" t="s">
        <v>165</v>
      </c>
      <c r="G487" s="88">
        <v>3850</v>
      </c>
      <c r="H487" s="88"/>
      <c r="I487" s="88">
        <v>3850</v>
      </c>
      <c r="J487" s="88">
        <v>0</v>
      </c>
      <c r="K487" s="88"/>
      <c r="L487" s="92"/>
      <c r="M487" s="92" t="s">
        <v>166</v>
      </c>
      <c r="N487"/>
      <c r="O487" s="23">
        <v>20260824</v>
      </c>
      <c r="P487" s="31">
        <v>202608240000002</v>
      </c>
      <c r="Q487" s="24">
        <v>3850</v>
      </c>
      <c r="R487" s="25"/>
      <c r="S487" s="24" t="s">
        <v>184</v>
      </c>
      <c r="T487" s="24" t="s">
        <v>852</v>
      </c>
      <c r="U487" s="24">
        <v>893.19399999999996</v>
      </c>
    </row>
    <row r="488" spans="1:21" ht="16.5" hidden="1" customHeight="1" thickBot="1">
      <c r="A488" s="92" t="s">
        <v>162</v>
      </c>
      <c r="B488" s="93">
        <v>46258</v>
      </c>
      <c r="C488" s="92" t="s">
        <v>609</v>
      </c>
      <c r="D488" s="92" t="s">
        <v>610</v>
      </c>
      <c r="E488" s="92"/>
      <c r="F488" s="92" t="s">
        <v>165</v>
      </c>
      <c r="G488" s="88">
        <v>3850</v>
      </c>
      <c r="H488" s="88"/>
      <c r="I488" s="88">
        <v>3850</v>
      </c>
      <c r="J488" s="88">
        <v>0</v>
      </c>
      <c r="K488" s="88"/>
      <c r="L488" s="92"/>
      <c r="M488" s="92" t="s">
        <v>166</v>
      </c>
      <c r="N488"/>
      <c r="O488" s="26">
        <v>20260824</v>
      </c>
      <c r="P488" s="32">
        <v>202608240000003</v>
      </c>
      <c r="Q488" s="27">
        <v>3850</v>
      </c>
      <c r="R488" s="28"/>
      <c r="S488" s="27" t="s">
        <v>167</v>
      </c>
      <c r="T488" s="27" t="s">
        <v>208</v>
      </c>
      <c r="U488" s="27">
        <v>897.04399999999998</v>
      </c>
    </row>
    <row r="489" spans="1:21" ht="16.5" hidden="1" customHeight="1" thickBot="1">
      <c r="A489" s="92" t="s">
        <v>162</v>
      </c>
      <c r="B489" s="93">
        <v>46258</v>
      </c>
      <c r="C489" s="92" t="s">
        <v>893</v>
      </c>
      <c r="D489" s="92" t="s">
        <v>894</v>
      </c>
      <c r="E489" s="92"/>
      <c r="F489" s="92" t="s">
        <v>165</v>
      </c>
      <c r="G489" s="88">
        <v>3850</v>
      </c>
      <c r="H489" s="88"/>
      <c r="I489" s="88">
        <v>3850</v>
      </c>
      <c r="J489" s="88">
        <v>0</v>
      </c>
      <c r="K489" s="88"/>
      <c r="L489" s="92"/>
      <c r="M489" s="92" t="s">
        <v>166</v>
      </c>
      <c r="N489"/>
      <c r="O489" s="23">
        <v>20260824</v>
      </c>
      <c r="P489" s="31">
        <v>202608240000004</v>
      </c>
      <c r="Q489" s="24">
        <v>3850</v>
      </c>
      <c r="R489" s="25"/>
      <c r="S489" s="24" t="s">
        <v>359</v>
      </c>
      <c r="T489" s="24" t="s">
        <v>2511</v>
      </c>
      <c r="U489" s="24">
        <v>900.89400000000001</v>
      </c>
    </row>
    <row r="490" spans="1:21" ht="16.5" hidden="1" customHeight="1" thickBot="1">
      <c r="A490" s="92" t="s">
        <v>172</v>
      </c>
      <c r="B490" s="93">
        <v>46258</v>
      </c>
      <c r="C490" s="92" t="s">
        <v>651</v>
      </c>
      <c r="D490" s="92" t="s">
        <v>652</v>
      </c>
      <c r="E490" s="92"/>
      <c r="F490" s="92" t="s">
        <v>165</v>
      </c>
      <c r="G490" s="88">
        <v>2800</v>
      </c>
      <c r="H490" s="88"/>
      <c r="I490" s="88">
        <v>2800</v>
      </c>
      <c r="J490" s="88">
        <v>0</v>
      </c>
      <c r="K490" s="88"/>
      <c r="L490" s="92"/>
      <c r="M490" s="92" t="s">
        <v>175</v>
      </c>
      <c r="N490"/>
      <c r="O490" s="26">
        <v>20260824</v>
      </c>
      <c r="P490" s="32">
        <v>202608240000005</v>
      </c>
      <c r="Q490" s="27">
        <v>2800</v>
      </c>
      <c r="R490" s="28"/>
      <c r="S490" s="27" t="s">
        <v>167</v>
      </c>
      <c r="T490" s="27" t="s">
        <v>2512</v>
      </c>
      <c r="U490" s="27">
        <v>903.69399999999996</v>
      </c>
    </row>
    <row r="491" spans="1:21" ht="16.5" hidden="1" customHeight="1" thickBot="1">
      <c r="A491" s="92" t="s">
        <v>162</v>
      </c>
      <c r="B491" s="93">
        <v>46258</v>
      </c>
      <c r="C491" s="92" t="s">
        <v>868</v>
      </c>
      <c r="D491" s="92" t="s">
        <v>869</v>
      </c>
      <c r="E491" s="92"/>
      <c r="F491" s="92" t="s">
        <v>165</v>
      </c>
      <c r="G491" s="88">
        <v>3850</v>
      </c>
      <c r="H491" s="88"/>
      <c r="I491" s="88">
        <v>3850</v>
      </c>
      <c r="J491" s="88">
        <v>0</v>
      </c>
      <c r="K491" s="88"/>
      <c r="L491" s="92"/>
      <c r="M491" s="92" t="s">
        <v>166</v>
      </c>
      <c r="N491"/>
      <c r="O491" s="23">
        <v>20260824</v>
      </c>
      <c r="P491" s="31">
        <v>202608240000006</v>
      </c>
      <c r="Q491" s="24">
        <v>3850</v>
      </c>
      <c r="R491" s="25"/>
      <c r="S491" s="24" t="s">
        <v>167</v>
      </c>
      <c r="T491" s="24" t="s">
        <v>2513</v>
      </c>
      <c r="U491" s="24">
        <v>907.54399999999998</v>
      </c>
    </row>
    <row r="492" spans="1:21" ht="16.5" hidden="1" customHeight="1" thickBot="1">
      <c r="A492" s="92" t="s">
        <v>162</v>
      </c>
      <c r="B492" s="93">
        <v>46258</v>
      </c>
      <c r="C492" s="92" t="s">
        <v>951</v>
      </c>
      <c r="D492" s="92" t="s">
        <v>952</v>
      </c>
      <c r="E492" s="92"/>
      <c r="F492" s="92" t="s">
        <v>165</v>
      </c>
      <c r="G492" s="88">
        <v>3850</v>
      </c>
      <c r="H492" s="88"/>
      <c r="I492" s="88">
        <v>3850</v>
      </c>
      <c r="J492" s="88">
        <v>0</v>
      </c>
      <c r="K492" s="88"/>
      <c r="L492" s="92"/>
      <c r="M492" s="92" t="s">
        <v>166</v>
      </c>
      <c r="N492"/>
      <c r="O492" s="26">
        <v>20260824</v>
      </c>
      <c r="P492" s="32">
        <v>202608240000007</v>
      </c>
      <c r="Q492" s="27">
        <v>3850</v>
      </c>
      <c r="R492" s="28"/>
      <c r="S492" s="27" t="s">
        <v>359</v>
      </c>
      <c r="T492" s="27" t="s">
        <v>776</v>
      </c>
      <c r="U492" s="27">
        <v>911.39400000000001</v>
      </c>
    </row>
    <row r="493" spans="1:21" ht="16.5" hidden="1" customHeight="1" thickBot="1">
      <c r="A493" s="92" t="s">
        <v>162</v>
      </c>
      <c r="B493" s="93">
        <v>46258</v>
      </c>
      <c r="C493" s="92" t="s">
        <v>938</v>
      </c>
      <c r="D493" s="92" t="s">
        <v>939</v>
      </c>
      <c r="E493" s="92"/>
      <c r="F493" s="92" t="s">
        <v>165</v>
      </c>
      <c r="G493" s="88">
        <v>1077</v>
      </c>
      <c r="H493" s="88"/>
      <c r="I493" s="88">
        <v>1077</v>
      </c>
      <c r="J493" s="88">
        <v>0</v>
      </c>
      <c r="K493" s="88"/>
      <c r="L493" s="92"/>
      <c r="M493" s="92" t="s">
        <v>166</v>
      </c>
      <c r="N493"/>
      <c r="O493" s="23">
        <v>20260824</v>
      </c>
      <c r="P493" s="31">
        <v>202608240000008</v>
      </c>
      <c r="Q493" s="24">
        <v>1077</v>
      </c>
      <c r="R493" s="25"/>
      <c r="S493" s="24" t="s">
        <v>167</v>
      </c>
      <c r="T493" s="24" t="s">
        <v>940</v>
      </c>
      <c r="U493" s="24">
        <v>912.471</v>
      </c>
    </row>
    <row r="494" spans="1:21" ht="16.5" hidden="1" customHeight="1" thickBot="1">
      <c r="A494" s="92" t="s">
        <v>162</v>
      </c>
      <c r="B494" s="93">
        <v>46258</v>
      </c>
      <c r="C494" s="92" t="s">
        <v>777</v>
      </c>
      <c r="D494" s="92" t="s">
        <v>778</v>
      </c>
      <c r="E494" s="92"/>
      <c r="F494" s="92" t="s">
        <v>165</v>
      </c>
      <c r="G494" s="88">
        <v>7700</v>
      </c>
      <c r="H494" s="88"/>
      <c r="I494" s="88">
        <v>7700</v>
      </c>
      <c r="J494" s="88">
        <v>0</v>
      </c>
      <c r="K494" s="88"/>
      <c r="L494" s="92"/>
      <c r="M494" s="92" t="s">
        <v>166</v>
      </c>
      <c r="N494"/>
      <c r="O494" s="26">
        <v>20260824</v>
      </c>
      <c r="P494" s="32">
        <v>202608240000009</v>
      </c>
      <c r="Q494" s="27">
        <v>7700</v>
      </c>
      <c r="R494" s="28"/>
      <c r="S494" s="27" t="s">
        <v>184</v>
      </c>
      <c r="T494" s="27" t="s">
        <v>744</v>
      </c>
      <c r="U494" s="27">
        <v>920.17100000000005</v>
      </c>
    </row>
    <row r="495" spans="1:21" ht="16.5" customHeight="1" thickBot="1">
      <c r="A495" s="92" t="s">
        <v>180</v>
      </c>
      <c r="B495" s="93">
        <v>46258</v>
      </c>
      <c r="C495" s="92" t="s">
        <v>3152</v>
      </c>
      <c r="D495" s="92" t="s">
        <v>3153</v>
      </c>
      <c r="E495" s="92"/>
      <c r="F495" s="92" t="s">
        <v>179</v>
      </c>
      <c r="G495" s="88">
        <v>2797</v>
      </c>
      <c r="H495" s="88">
        <v>2797</v>
      </c>
      <c r="I495" s="88">
        <v>0</v>
      </c>
      <c r="J495" s="88">
        <v>0</v>
      </c>
      <c r="K495" s="88"/>
      <c r="L495" s="92"/>
      <c r="M495" s="92" t="s">
        <v>175</v>
      </c>
      <c r="N495" t="s">
        <v>4191</v>
      </c>
      <c r="O495" s="23">
        <v>20260824</v>
      </c>
      <c r="P495" s="31">
        <v>202608240000010</v>
      </c>
      <c r="Q495" s="24">
        <v>2797</v>
      </c>
      <c r="R495" s="25"/>
      <c r="S495" s="24" t="s">
        <v>167</v>
      </c>
      <c r="T495" s="24" t="s">
        <v>2514</v>
      </c>
      <c r="U495" s="24">
        <v>922.96799999999996</v>
      </c>
    </row>
    <row r="496" spans="1:21" ht="16.5" customHeight="1" thickBot="1">
      <c r="A496" s="92" t="s">
        <v>180</v>
      </c>
      <c r="B496" s="93">
        <v>46258</v>
      </c>
      <c r="C496" s="92" t="s">
        <v>3154</v>
      </c>
      <c r="D496" s="92" t="s">
        <v>3155</v>
      </c>
      <c r="E496" s="92"/>
      <c r="F496" s="92" t="s">
        <v>179</v>
      </c>
      <c r="G496" s="88">
        <v>3292</v>
      </c>
      <c r="H496" s="88">
        <v>3292</v>
      </c>
      <c r="I496" s="88">
        <v>0</v>
      </c>
      <c r="J496" s="88">
        <v>0</v>
      </c>
      <c r="K496" s="88"/>
      <c r="L496" s="92"/>
      <c r="M496" s="92" t="s">
        <v>175</v>
      </c>
      <c r="N496" t="s">
        <v>4211</v>
      </c>
      <c r="O496" s="26">
        <v>20260824</v>
      </c>
      <c r="P496" s="32">
        <v>202608240000011</v>
      </c>
      <c r="Q496" s="27">
        <v>3292</v>
      </c>
      <c r="R496" s="28"/>
      <c r="S496" s="27" t="s">
        <v>167</v>
      </c>
      <c r="T496" s="27" t="s">
        <v>2515</v>
      </c>
      <c r="U496" s="27">
        <v>926.26</v>
      </c>
    </row>
    <row r="497" spans="1:21" ht="16.5" customHeight="1" thickBot="1">
      <c r="A497" s="92" t="s">
        <v>172</v>
      </c>
      <c r="B497" s="93">
        <v>46258</v>
      </c>
      <c r="C497" s="92" t="s">
        <v>3156</v>
      </c>
      <c r="D497" s="92" t="s">
        <v>3157</v>
      </c>
      <c r="E497" s="92"/>
      <c r="F497" s="92" t="s">
        <v>179</v>
      </c>
      <c r="G497" s="88">
        <v>4290</v>
      </c>
      <c r="H497" s="88">
        <v>4000</v>
      </c>
      <c r="I497" s="88">
        <v>290</v>
      </c>
      <c r="J497" s="88">
        <v>0</v>
      </c>
      <c r="K497" s="88"/>
      <c r="L497" s="92"/>
      <c r="M497" s="92" t="s">
        <v>175</v>
      </c>
      <c r="N497" t="s">
        <v>4153</v>
      </c>
      <c r="O497" s="23">
        <v>20260824</v>
      </c>
      <c r="P497" s="31">
        <v>202608240000012</v>
      </c>
      <c r="Q497" s="24">
        <v>4290</v>
      </c>
      <c r="R497" s="25"/>
      <c r="S497" s="24" t="s">
        <v>167</v>
      </c>
      <c r="T497" s="24" t="s">
        <v>2516</v>
      </c>
      <c r="U497" s="24">
        <v>930.55</v>
      </c>
    </row>
    <row r="498" spans="1:21" ht="16.5" hidden="1" customHeight="1" thickBot="1">
      <c r="A498" s="92" t="s">
        <v>180</v>
      </c>
      <c r="B498" s="93">
        <v>46258</v>
      </c>
      <c r="C498" s="92" t="s">
        <v>3158</v>
      </c>
      <c r="D498" s="92" t="s">
        <v>3159</v>
      </c>
      <c r="E498" s="92"/>
      <c r="F498" s="92" t="s">
        <v>165</v>
      </c>
      <c r="G498" s="88">
        <v>13992</v>
      </c>
      <c r="H498" s="88">
        <v>6000</v>
      </c>
      <c r="I498" s="88">
        <v>7992</v>
      </c>
      <c r="J498" s="88">
        <v>0</v>
      </c>
      <c r="K498" s="88"/>
      <c r="L498" s="92"/>
      <c r="M498" s="92" t="s">
        <v>175</v>
      </c>
      <c r="N498"/>
      <c r="O498" s="26">
        <v>20260824</v>
      </c>
      <c r="P498" s="32">
        <v>202608240000013</v>
      </c>
      <c r="Q498" s="27">
        <v>13992</v>
      </c>
      <c r="R498" s="28"/>
      <c r="S498" s="27" t="s">
        <v>167</v>
      </c>
      <c r="T498" s="27" t="s">
        <v>2517</v>
      </c>
      <c r="U498" s="27">
        <v>944.54200000000003</v>
      </c>
    </row>
    <row r="499" spans="1:21" ht="16.5" hidden="1" customHeight="1" thickBot="1">
      <c r="A499" s="92" t="s">
        <v>172</v>
      </c>
      <c r="B499" s="93">
        <v>46258</v>
      </c>
      <c r="C499" s="92" t="s">
        <v>3160</v>
      </c>
      <c r="D499" s="92" t="s">
        <v>3161</v>
      </c>
      <c r="E499" s="92"/>
      <c r="F499" s="92" t="s">
        <v>165</v>
      </c>
      <c r="G499" s="88">
        <v>8290</v>
      </c>
      <c r="H499" s="88">
        <v>4000</v>
      </c>
      <c r="I499" s="88">
        <v>4290</v>
      </c>
      <c r="J499" s="88">
        <v>0</v>
      </c>
      <c r="K499" s="88"/>
      <c r="L499" s="92"/>
      <c r="M499" s="92" t="s">
        <v>175</v>
      </c>
      <c r="N499"/>
      <c r="O499" s="23">
        <v>20260824</v>
      </c>
      <c r="P499" s="31">
        <v>202608240000014</v>
      </c>
      <c r="Q499" s="24">
        <v>8290</v>
      </c>
      <c r="R499" s="25"/>
      <c r="S499" s="24" t="s">
        <v>167</v>
      </c>
      <c r="T499" s="24" t="s">
        <v>2518</v>
      </c>
      <c r="U499" s="24">
        <v>952.83199999999999</v>
      </c>
    </row>
    <row r="500" spans="1:21" ht="16.5" hidden="1" customHeight="1" thickBot="1">
      <c r="A500" s="92" t="s">
        <v>172</v>
      </c>
      <c r="B500" s="93">
        <v>46258</v>
      </c>
      <c r="C500" s="92" t="s">
        <v>3162</v>
      </c>
      <c r="D500" s="92" t="s">
        <v>3163</v>
      </c>
      <c r="E500" s="92"/>
      <c r="F500" s="92" t="s">
        <v>165</v>
      </c>
      <c r="G500" s="88">
        <v>8290</v>
      </c>
      <c r="H500" s="88">
        <v>4000</v>
      </c>
      <c r="I500" s="88">
        <v>4290</v>
      </c>
      <c r="J500" s="88">
        <v>0</v>
      </c>
      <c r="K500" s="88"/>
      <c r="L500" s="92"/>
      <c r="M500" s="92" t="s">
        <v>175</v>
      </c>
      <c r="N500"/>
      <c r="O500" s="26">
        <v>20260824</v>
      </c>
      <c r="P500" s="32">
        <v>202608240000015</v>
      </c>
      <c r="Q500" s="27">
        <v>8290</v>
      </c>
      <c r="R500" s="28"/>
      <c r="S500" s="27" t="s">
        <v>167</v>
      </c>
      <c r="T500" s="27" t="s">
        <v>2519</v>
      </c>
      <c r="U500" s="27">
        <v>961.12199999999996</v>
      </c>
    </row>
    <row r="501" spans="1:21" ht="16.5" hidden="1" customHeight="1" thickBot="1">
      <c r="A501" s="92" t="s">
        <v>180</v>
      </c>
      <c r="B501" s="93">
        <v>46258</v>
      </c>
      <c r="C501" s="92" t="s">
        <v>3164</v>
      </c>
      <c r="D501" s="92" t="s">
        <v>3165</v>
      </c>
      <c r="E501" s="92"/>
      <c r="F501" s="92" t="s">
        <v>165</v>
      </c>
      <c r="G501" s="88">
        <v>6437</v>
      </c>
      <c r="H501" s="88">
        <v>2507</v>
      </c>
      <c r="I501" s="88">
        <v>3930</v>
      </c>
      <c r="J501" s="88">
        <v>0</v>
      </c>
      <c r="K501" s="88"/>
      <c r="L501" s="92"/>
      <c r="M501" s="92" t="s">
        <v>175</v>
      </c>
      <c r="N501"/>
      <c r="O501" s="23">
        <v>20260824</v>
      </c>
      <c r="P501" s="31">
        <v>202608240000016</v>
      </c>
      <c r="Q501" s="24">
        <v>6437</v>
      </c>
      <c r="R501" s="25"/>
      <c r="S501" s="24" t="s">
        <v>167</v>
      </c>
      <c r="T501" s="24" t="s">
        <v>2520</v>
      </c>
      <c r="U501" s="24">
        <v>967.55899999999997</v>
      </c>
    </row>
    <row r="502" spans="1:21" ht="16.5" customHeight="1" thickBot="1">
      <c r="A502" s="92" t="s">
        <v>180</v>
      </c>
      <c r="B502" s="93">
        <v>46258</v>
      </c>
      <c r="C502" s="92" t="s">
        <v>3166</v>
      </c>
      <c r="D502" s="92" t="s">
        <v>3167</v>
      </c>
      <c r="E502" s="92"/>
      <c r="F502" s="92" t="s">
        <v>179</v>
      </c>
      <c r="G502" s="88">
        <v>3297</v>
      </c>
      <c r="H502" s="88">
        <v>3297</v>
      </c>
      <c r="I502" s="88">
        <v>0</v>
      </c>
      <c r="J502" s="88">
        <v>0</v>
      </c>
      <c r="K502" s="88"/>
      <c r="L502" s="92"/>
      <c r="M502" s="92" t="s">
        <v>175</v>
      </c>
      <c r="N502" t="s">
        <v>4154</v>
      </c>
      <c r="O502" s="26">
        <v>20260824</v>
      </c>
      <c r="P502" s="32">
        <v>202608240000017</v>
      </c>
      <c r="Q502" s="27">
        <v>3297</v>
      </c>
      <c r="R502" s="28"/>
      <c r="S502" s="27" t="s">
        <v>167</v>
      </c>
      <c r="T502" s="27" t="s">
        <v>2521</v>
      </c>
      <c r="U502" s="27">
        <v>970.85599999999999</v>
      </c>
    </row>
    <row r="503" spans="1:21" ht="16.5" customHeight="1" thickBot="1">
      <c r="A503" s="92" t="s">
        <v>180</v>
      </c>
      <c r="B503" s="93">
        <v>46258</v>
      </c>
      <c r="C503" s="92" t="s">
        <v>3168</v>
      </c>
      <c r="D503" s="92" t="s">
        <v>3169</v>
      </c>
      <c r="E503" s="92"/>
      <c r="F503" s="92" t="s">
        <v>179</v>
      </c>
      <c r="G503" s="88">
        <v>4292</v>
      </c>
      <c r="H503" s="88">
        <v>4000</v>
      </c>
      <c r="I503" s="88">
        <v>292</v>
      </c>
      <c r="J503" s="88">
        <v>0</v>
      </c>
      <c r="K503" s="88"/>
      <c r="L503" s="92"/>
      <c r="M503" s="92" t="s">
        <v>175</v>
      </c>
      <c r="N503" t="s">
        <v>4155</v>
      </c>
      <c r="O503" s="23">
        <v>20260824</v>
      </c>
      <c r="P503" s="31">
        <v>202608240000018</v>
      </c>
      <c r="Q503" s="24">
        <v>4292</v>
      </c>
      <c r="R503" s="25"/>
      <c r="S503" s="24" t="s">
        <v>167</v>
      </c>
      <c r="T503" s="24" t="s">
        <v>2522</v>
      </c>
      <c r="U503" s="24">
        <v>975.14800000000002</v>
      </c>
    </row>
    <row r="504" spans="1:21" ht="16.5" customHeight="1" thickBot="1">
      <c r="A504" s="92" t="s">
        <v>172</v>
      </c>
      <c r="B504" s="93">
        <v>46258</v>
      </c>
      <c r="C504" s="92" t="s">
        <v>3170</v>
      </c>
      <c r="D504" s="92" t="s">
        <v>3171</v>
      </c>
      <c r="E504" s="92"/>
      <c r="F504" s="92" t="s">
        <v>179</v>
      </c>
      <c r="G504" s="88">
        <v>3297</v>
      </c>
      <c r="H504" s="88">
        <v>3297</v>
      </c>
      <c r="I504" s="88">
        <v>0</v>
      </c>
      <c r="J504" s="88">
        <v>0</v>
      </c>
      <c r="K504" s="88"/>
      <c r="L504" s="92"/>
      <c r="M504" s="92" t="s">
        <v>175</v>
      </c>
      <c r="N504" t="s">
        <v>4157</v>
      </c>
      <c r="O504" s="26">
        <v>20260824</v>
      </c>
      <c r="P504" s="32">
        <v>202608240000019</v>
      </c>
      <c r="Q504" s="27">
        <v>3297</v>
      </c>
      <c r="R504" s="28"/>
      <c r="S504" s="27" t="s">
        <v>167</v>
      </c>
      <c r="T504" s="27" t="s">
        <v>2523</v>
      </c>
      <c r="U504" s="27">
        <v>978.44500000000005</v>
      </c>
    </row>
    <row r="505" spans="1:21" ht="16.5" customHeight="1" thickBot="1">
      <c r="A505" s="92" t="s">
        <v>180</v>
      </c>
      <c r="B505" s="93">
        <v>46258</v>
      </c>
      <c r="C505" s="92" t="s">
        <v>3172</v>
      </c>
      <c r="D505" s="92" t="s">
        <v>3173</v>
      </c>
      <c r="E505" s="92"/>
      <c r="F505" s="92" t="s">
        <v>179</v>
      </c>
      <c r="G505" s="88">
        <v>3297</v>
      </c>
      <c r="H505" s="88">
        <v>3297</v>
      </c>
      <c r="I505" s="88">
        <v>0</v>
      </c>
      <c r="J505" s="88">
        <v>0</v>
      </c>
      <c r="K505" s="88"/>
      <c r="L505" s="92"/>
      <c r="M505" s="92" t="s">
        <v>175</v>
      </c>
      <c r="N505" t="s">
        <v>4158</v>
      </c>
      <c r="O505" s="23">
        <v>20260824</v>
      </c>
      <c r="P505" s="31">
        <v>202608240000020</v>
      </c>
      <c r="Q505" s="24">
        <v>3297</v>
      </c>
      <c r="R505" s="25"/>
      <c r="S505" s="24" t="s">
        <v>167</v>
      </c>
      <c r="T505" s="24" t="s">
        <v>2524</v>
      </c>
      <c r="U505" s="24">
        <v>981.74199999999996</v>
      </c>
    </row>
    <row r="506" spans="1:21" ht="16.5" hidden="1" customHeight="1" thickBot="1">
      <c r="A506" s="92" t="s">
        <v>180</v>
      </c>
      <c r="B506" s="93">
        <v>46258</v>
      </c>
      <c r="C506" s="92" t="s">
        <v>3174</v>
      </c>
      <c r="D506" s="92" t="s">
        <v>3175</v>
      </c>
      <c r="E506" s="92"/>
      <c r="F506" s="92" t="s">
        <v>165</v>
      </c>
      <c r="G506" s="88">
        <v>7142</v>
      </c>
      <c r="H506" s="88">
        <v>3000</v>
      </c>
      <c r="I506" s="88">
        <v>4142</v>
      </c>
      <c r="J506" s="88">
        <v>0</v>
      </c>
      <c r="K506" s="88"/>
      <c r="L506" s="92"/>
      <c r="M506" s="92" t="s">
        <v>175</v>
      </c>
      <c r="N506"/>
      <c r="O506" s="26">
        <v>20260824</v>
      </c>
      <c r="P506" s="32">
        <v>202608240000021</v>
      </c>
      <c r="Q506" s="27">
        <v>7142</v>
      </c>
      <c r="R506" s="28"/>
      <c r="S506" s="27" t="s">
        <v>167</v>
      </c>
      <c r="T506" s="27" t="s">
        <v>2525</v>
      </c>
      <c r="U506" s="27">
        <v>988.88400000000001</v>
      </c>
    </row>
    <row r="507" spans="1:21" ht="16.5" hidden="1" customHeight="1" thickBot="1">
      <c r="A507" s="92" t="s">
        <v>172</v>
      </c>
      <c r="B507" s="93">
        <v>46258</v>
      </c>
      <c r="C507" s="92" t="s">
        <v>3176</v>
      </c>
      <c r="D507" s="92" t="s">
        <v>3177</v>
      </c>
      <c r="E507" s="92"/>
      <c r="F507" s="92" t="s">
        <v>165</v>
      </c>
      <c r="G507" s="88">
        <v>8290</v>
      </c>
      <c r="H507" s="88">
        <v>4000</v>
      </c>
      <c r="I507" s="88">
        <v>4290</v>
      </c>
      <c r="J507" s="88">
        <v>0</v>
      </c>
      <c r="K507" s="88"/>
      <c r="L507" s="92"/>
      <c r="M507" s="92" t="s">
        <v>175</v>
      </c>
      <c r="N507"/>
      <c r="O507" s="23">
        <v>20260824</v>
      </c>
      <c r="P507" s="31">
        <v>202608240000022</v>
      </c>
      <c r="Q507" s="24">
        <v>8290</v>
      </c>
      <c r="R507" s="25"/>
      <c r="S507" s="24" t="s">
        <v>167</v>
      </c>
      <c r="T507" s="24" t="s">
        <v>2526</v>
      </c>
      <c r="U507" s="24">
        <v>997.17399999999998</v>
      </c>
    </row>
    <row r="508" spans="1:21" ht="16.5" customHeight="1" thickBot="1">
      <c r="A508" s="92" t="s">
        <v>180</v>
      </c>
      <c r="B508" s="93">
        <v>46258</v>
      </c>
      <c r="C508" s="92" t="s">
        <v>3178</v>
      </c>
      <c r="D508" s="92" t="s">
        <v>3179</v>
      </c>
      <c r="E508" s="92"/>
      <c r="F508" s="92" t="s">
        <v>179</v>
      </c>
      <c r="G508" s="88">
        <v>3297</v>
      </c>
      <c r="H508" s="88">
        <v>3297</v>
      </c>
      <c r="I508" s="88">
        <v>0</v>
      </c>
      <c r="J508" s="88">
        <v>0</v>
      </c>
      <c r="K508" s="88"/>
      <c r="L508" s="92"/>
      <c r="M508" s="92" t="s">
        <v>175</v>
      </c>
      <c r="N508" t="s">
        <v>4161</v>
      </c>
      <c r="O508" s="26">
        <v>20260824</v>
      </c>
      <c r="P508" s="32">
        <v>202608240000023</v>
      </c>
      <c r="Q508" s="27">
        <v>3297</v>
      </c>
      <c r="R508" s="28"/>
      <c r="S508" s="27" t="s">
        <v>167</v>
      </c>
      <c r="T508" s="27" t="s">
        <v>2527</v>
      </c>
      <c r="U508" s="27" t="s">
        <v>2528</v>
      </c>
    </row>
    <row r="509" spans="1:21" ht="16.5" hidden="1" customHeight="1" thickBot="1">
      <c r="A509" s="92" t="s">
        <v>180</v>
      </c>
      <c r="B509" s="93">
        <v>46258</v>
      </c>
      <c r="C509" s="92" t="s">
        <v>3180</v>
      </c>
      <c r="D509" s="92" t="s">
        <v>3181</v>
      </c>
      <c r="E509" s="92"/>
      <c r="F509" s="92" t="s">
        <v>165</v>
      </c>
      <c r="G509" s="88">
        <v>8797</v>
      </c>
      <c r="H509" s="88">
        <v>4507</v>
      </c>
      <c r="I509" s="88">
        <v>4290</v>
      </c>
      <c r="J509" s="88">
        <v>0</v>
      </c>
      <c r="K509" s="88"/>
      <c r="L509" s="92"/>
      <c r="M509" s="92" t="s">
        <v>175</v>
      </c>
      <c r="N509"/>
      <c r="O509" s="23">
        <v>20260824</v>
      </c>
      <c r="P509" s="31">
        <v>202608240000024</v>
      </c>
      <c r="Q509" s="24">
        <v>8797</v>
      </c>
      <c r="R509" s="25"/>
      <c r="S509" s="24" t="s">
        <v>167</v>
      </c>
      <c r="T509" s="24" t="s">
        <v>2529</v>
      </c>
      <c r="U509" s="24" t="s">
        <v>2530</v>
      </c>
    </row>
    <row r="510" spans="1:21" ht="16.5" hidden="1" customHeight="1" thickBot="1">
      <c r="A510" s="92" t="s">
        <v>180</v>
      </c>
      <c r="B510" s="93">
        <v>46258</v>
      </c>
      <c r="C510" s="92" t="s">
        <v>3182</v>
      </c>
      <c r="D510" s="92" t="s">
        <v>3183</v>
      </c>
      <c r="E510" s="92"/>
      <c r="F510" s="92" t="s">
        <v>165</v>
      </c>
      <c r="G510" s="88">
        <v>5217</v>
      </c>
      <c r="H510" s="88">
        <v>3000</v>
      </c>
      <c r="I510" s="88">
        <v>2217</v>
      </c>
      <c r="J510" s="88">
        <v>0</v>
      </c>
      <c r="K510" s="88"/>
      <c r="L510" s="92"/>
      <c r="M510" s="92" t="s">
        <v>175</v>
      </c>
      <c r="N510"/>
      <c r="O510" s="26">
        <v>20260824</v>
      </c>
      <c r="P510" s="32">
        <v>202608240000025</v>
      </c>
      <c r="Q510" s="27">
        <v>5217</v>
      </c>
      <c r="R510" s="28"/>
      <c r="S510" s="27" t="s">
        <v>167</v>
      </c>
      <c r="T510" s="27" t="s">
        <v>2531</v>
      </c>
      <c r="U510" s="27" t="s">
        <v>2532</v>
      </c>
    </row>
    <row r="511" spans="1:21" ht="16.5" hidden="1" customHeight="1" thickBot="1">
      <c r="A511" s="92" t="s">
        <v>172</v>
      </c>
      <c r="B511" s="93">
        <v>46258</v>
      </c>
      <c r="C511" s="92" t="s">
        <v>3184</v>
      </c>
      <c r="D511" s="92" t="s">
        <v>3185</v>
      </c>
      <c r="E511" s="92"/>
      <c r="F511" s="92" t="s">
        <v>165</v>
      </c>
      <c r="G511" s="88">
        <v>9490</v>
      </c>
      <c r="H511" s="88">
        <v>4000</v>
      </c>
      <c r="I511" s="88">
        <v>5490</v>
      </c>
      <c r="J511" s="88">
        <v>0</v>
      </c>
      <c r="K511" s="88"/>
      <c r="L511" s="92"/>
      <c r="M511" s="92" t="s">
        <v>175</v>
      </c>
      <c r="N511"/>
      <c r="O511" s="23">
        <v>20260824</v>
      </c>
      <c r="P511" s="31">
        <v>202608240000026</v>
      </c>
      <c r="Q511" s="24">
        <v>9490</v>
      </c>
      <c r="R511" s="25"/>
      <c r="S511" s="24" t="s">
        <v>167</v>
      </c>
      <c r="T511" s="24" t="s">
        <v>2533</v>
      </c>
      <c r="U511" s="24" t="s">
        <v>2534</v>
      </c>
    </row>
    <row r="512" spans="1:21" ht="16.5" hidden="1" customHeight="1" thickBot="1">
      <c r="A512" s="92" t="s">
        <v>180</v>
      </c>
      <c r="B512" s="93">
        <v>46258</v>
      </c>
      <c r="C512" s="92" t="s">
        <v>3186</v>
      </c>
      <c r="D512" s="92" t="s">
        <v>3187</v>
      </c>
      <c r="E512" s="92"/>
      <c r="F512" s="92" t="s">
        <v>165</v>
      </c>
      <c r="G512" s="88">
        <v>7142</v>
      </c>
      <c r="H512" s="88">
        <v>3000</v>
      </c>
      <c r="I512" s="88">
        <v>4142</v>
      </c>
      <c r="J512" s="88">
        <v>0</v>
      </c>
      <c r="K512" s="88"/>
      <c r="L512" s="92"/>
      <c r="M512" s="92" t="s">
        <v>175</v>
      </c>
      <c r="N512"/>
      <c r="O512" s="26">
        <v>20260824</v>
      </c>
      <c r="P512" s="32">
        <v>202608240000027</v>
      </c>
      <c r="Q512" s="27">
        <v>7142</v>
      </c>
      <c r="R512" s="28"/>
      <c r="S512" s="27" t="s">
        <v>167</v>
      </c>
      <c r="T512" s="27" t="s">
        <v>2535</v>
      </c>
      <c r="U512" s="27" t="s">
        <v>2536</v>
      </c>
    </row>
    <row r="513" spans="1:21" ht="16.5" hidden="1" customHeight="1" thickBot="1">
      <c r="A513" s="92" t="s">
        <v>162</v>
      </c>
      <c r="B513" s="93">
        <v>46258</v>
      </c>
      <c r="C513" s="92" t="s">
        <v>659</v>
      </c>
      <c r="D513" s="92" t="s">
        <v>660</v>
      </c>
      <c r="E513" s="92"/>
      <c r="F513" s="92" t="s">
        <v>165</v>
      </c>
      <c r="G513" s="88">
        <v>3850</v>
      </c>
      <c r="H513" s="88"/>
      <c r="I513" s="88">
        <v>3850</v>
      </c>
      <c r="J513" s="88">
        <v>0</v>
      </c>
      <c r="K513" s="88"/>
      <c r="L513" s="92"/>
      <c r="M513" s="92" t="s">
        <v>166</v>
      </c>
      <c r="N513"/>
      <c r="O513" s="20">
        <v>20260824</v>
      </c>
      <c r="P513" s="30">
        <v>202608240000028</v>
      </c>
      <c r="Q513" s="21">
        <v>3850</v>
      </c>
      <c r="R513" s="22"/>
      <c r="S513" s="21" t="s">
        <v>167</v>
      </c>
      <c r="T513" s="21" t="s">
        <v>2537</v>
      </c>
      <c r="U513" s="21" t="s">
        <v>2538</v>
      </c>
    </row>
    <row r="514" spans="1:21" ht="16.5" hidden="1" customHeight="1" thickBot="1">
      <c r="A514" s="92" t="s">
        <v>172</v>
      </c>
      <c r="B514" s="93">
        <v>46258</v>
      </c>
      <c r="C514" s="92" t="s">
        <v>756</v>
      </c>
      <c r="D514" s="92" t="s">
        <v>757</v>
      </c>
      <c r="E514" s="92"/>
      <c r="F514" s="92" t="s">
        <v>165</v>
      </c>
      <c r="G514" s="88">
        <v>6850</v>
      </c>
      <c r="H514" s="88">
        <v>3000</v>
      </c>
      <c r="I514" s="88">
        <v>3850</v>
      </c>
      <c r="J514" s="88">
        <v>0</v>
      </c>
      <c r="K514" s="88"/>
      <c r="L514" s="92"/>
      <c r="M514" s="92" t="s">
        <v>175</v>
      </c>
      <c r="N514"/>
      <c r="O514" s="26">
        <v>20260824</v>
      </c>
      <c r="P514" s="32">
        <v>202608240000029</v>
      </c>
      <c r="Q514" s="27">
        <v>6850</v>
      </c>
      <c r="R514" s="28"/>
      <c r="S514" s="27" t="s">
        <v>167</v>
      </c>
      <c r="T514" s="27" t="s">
        <v>406</v>
      </c>
      <c r="U514" s="27" t="s">
        <v>2539</v>
      </c>
    </row>
    <row r="515" spans="1:21" ht="16.5" hidden="1" customHeight="1" thickBot="1">
      <c r="A515" s="92" t="s">
        <v>162</v>
      </c>
      <c r="B515" s="93">
        <v>46258</v>
      </c>
      <c r="C515" s="92" t="s">
        <v>931</v>
      </c>
      <c r="D515" s="92" t="s">
        <v>932</v>
      </c>
      <c r="E515" s="92"/>
      <c r="F515" s="92" t="s">
        <v>165</v>
      </c>
      <c r="G515" s="88">
        <v>2800</v>
      </c>
      <c r="H515" s="88"/>
      <c r="I515" s="88">
        <v>2800</v>
      </c>
      <c r="J515" s="88">
        <v>0</v>
      </c>
      <c r="K515" s="88"/>
      <c r="L515" s="92"/>
      <c r="M515" s="92" t="s">
        <v>166</v>
      </c>
      <c r="N515"/>
      <c r="O515" s="26">
        <v>20260824</v>
      </c>
      <c r="P515" s="32">
        <v>202608240000030</v>
      </c>
      <c r="Q515" s="27">
        <v>2800</v>
      </c>
      <c r="R515" s="28"/>
      <c r="S515" s="27" t="s">
        <v>167</v>
      </c>
      <c r="T515" s="27" t="s">
        <v>835</v>
      </c>
      <c r="U515" s="27" t="s">
        <v>2540</v>
      </c>
    </row>
    <row r="516" spans="1:21" ht="16.5" customHeight="1" thickBot="1">
      <c r="A516" s="92" t="s">
        <v>180</v>
      </c>
      <c r="B516" s="93">
        <v>46258</v>
      </c>
      <c r="C516" s="92" t="s">
        <v>3188</v>
      </c>
      <c r="D516" s="92" t="s">
        <v>3189</v>
      </c>
      <c r="E516" s="92"/>
      <c r="F516" s="92" t="s">
        <v>179</v>
      </c>
      <c r="G516" s="88">
        <v>500</v>
      </c>
      <c r="H516" s="88">
        <v>500</v>
      </c>
      <c r="I516" s="88">
        <v>0</v>
      </c>
      <c r="J516" s="88">
        <v>0</v>
      </c>
      <c r="K516" s="88"/>
      <c r="L516" s="92"/>
      <c r="M516" s="92" t="s">
        <v>175</v>
      </c>
      <c r="N516" t="s">
        <v>4255</v>
      </c>
      <c r="O516" s="23">
        <v>20260824</v>
      </c>
      <c r="P516" s="31">
        <v>202608240000031</v>
      </c>
      <c r="Q516" s="24">
        <v>500</v>
      </c>
      <c r="R516" s="25"/>
      <c r="S516" s="24" t="s">
        <v>167</v>
      </c>
      <c r="T516" s="24" t="s">
        <v>2541</v>
      </c>
      <c r="U516" s="24" t="s">
        <v>2542</v>
      </c>
    </row>
    <row r="517" spans="1:21" ht="16.5" hidden="1" customHeight="1" thickBot="1">
      <c r="A517" s="92" t="s">
        <v>172</v>
      </c>
      <c r="B517" s="93">
        <v>46258</v>
      </c>
      <c r="C517" s="92" t="s">
        <v>3007</v>
      </c>
      <c r="D517" s="92" t="s">
        <v>3008</v>
      </c>
      <c r="E517" s="92"/>
      <c r="F517" s="92" t="s">
        <v>165</v>
      </c>
      <c r="G517" s="88">
        <v>3850</v>
      </c>
      <c r="H517" s="88"/>
      <c r="I517" s="88">
        <v>3850</v>
      </c>
      <c r="J517" s="88">
        <v>0</v>
      </c>
      <c r="K517" s="88"/>
      <c r="L517" s="92"/>
      <c r="M517" s="92" t="s">
        <v>175</v>
      </c>
      <c r="N517"/>
      <c r="O517" s="26">
        <v>20260824</v>
      </c>
      <c r="P517" s="32">
        <v>202608240000032</v>
      </c>
      <c r="Q517" s="27">
        <v>3850</v>
      </c>
      <c r="R517" s="28"/>
      <c r="S517" s="27" t="s">
        <v>167</v>
      </c>
      <c r="T517" s="27" t="s">
        <v>890</v>
      </c>
      <c r="U517" s="27" t="s">
        <v>2543</v>
      </c>
    </row>
    <row r="518" spans="1:21" ht="16.5" hidden="1" customHeight="1" thickBot="1">
      <c r="A518" s="92" t="s">
        <v>172</v>
      </c>
      <c r="B518" s="93">
        <v>46258</v>
      </c>
      <c r="C518" s="92" t="s">
        <v>1058</v>
      </c>
      <c r="D518" s="92" t="s">
        <v>1059</v>
      </c>
      <c r="E518" s="92"/>
      <c r="F518" s="92" t="s">
        <v>165</v>
      </c>
      <c r="G518" s="88">
        <v>3850</v>
      </c>
      <c r="H518" s="88"/>
      <c r="I518" s="88">
        <v>3850</v>
      </c>
      <c r="J518" s="88">
        <v>0</v>
      </c>
      <c r="K518" s="88"/>
      <c r="L518" s="92"/>
      <c r="M518" s="92" t="s">
        <v>175</v>
      </c>
      <c r="N518"/>
      <c r="O518" s="23">
        <v>20260824</v>
      </c>
      <c r="P518" s="31">
        <v>202608240000033</v>
      </c>
      <c r="Q518" s="24">
        <v>3850</v>
      </c>
      <c r="R518" s="25"/>
      <c r="S518" s="24" t="s">
        <v>167</v>
      </c>
      <c r="T518" s="24" t="s">
        <v>2544</v>
      </c>
      <c r="U518" s="24" t="s">
        <v>2545</v>
      </c>
    </row>
    <row r="519" spans="1:21" ht="16.5" hidden="1" customHeight="1" thickBot="1">
      <c r="A519" s="92" t="s">
        <v>162</v>
      </c>
      <c r="B519" s="93">
        <v>46258</v>
      </c>
      <c r="C519" s="92" t="s">
        <v>1076</v>
      </c>
      <c r="D519" s="92" t="s">
        <v>1077</v>
      </c>
      <c r="E519" s="92"/>
      <c r="F519" s="92" t="s">
        <v>165</v>
      </c>
      <c r="G519" s="88">
        <v>3850</v>
      </c>
      <c r="H519" s="88"/>
      <c r="I519" s="88">
        <v>3850</v>
      </c>
      <c r="J519" s="88">
        <v>0</v>
      </c>
      <c r="K519" s="88"/>
      <c r="L519" s="92"/>
      <c r="M519" s="92" t="s">
        <v>166</v>
      </c>
      <c r="N519"/>
      <c r="O519" s="26">
        <v>20260824</v>
      </c>
      <c r="P519" s="32">
        <v>202608240000034</v>
      </c>
      <c r="Q519" s="27">
        <v>3850</v>
      </c>
      <c r="R519" s="28"/>
      <c r="S519" s="27" t="s">
        <v>359</v>
      </c>
      <c r="T519" s="27" t="s">
        <v>613</v>
      </c>
      <c r="U519" s="27" t="s">
        <v>2546</v>
      </c>
    </row>
    <row r="520" spans="1:21" ht="16.5" hidden="1" customHeight="1" thickBot="1">
      <c r="A520" s="92" t="s">
        <v>162</v>
      </c>
      <c r="B520" s="93">
        <v>46258</v>
      </c>
      <c r="C520" s="92" t="s">
        <v>422</v>
      </c>
      <c r="D520" s="92" t="s">
        <v>423</v>
      </c>
      <c r="E520" s="92"/>
      <c r="F520" s="92" t="s">
        <v>165</v>
      </c>
      <c r="G520" s="88">
        <v>653</v>
      </c>
      <c r="H520" s="88"/>
      <c r="I520" s="88">
        <v>653</v>
      </c>
      <c r="J520" s="88">
        <v>0</v>
      </c>
      <c r="K520" s="88"/>
      <c r="L520" s="92"/>
      <c r="M520" s="92" t="s">
        <v>166</v>
      </c>
      <c r="N520"/>
      <c r="O520" s="23">
        <v>20260824</v>
      </c>
      <c r="P520" s="31">
        <v>202608240000035</v>
      </c>
      <c r="Q520" s="24">
        <v>653</v>
      </c>
      <c r="R520" s="25"/>
      <c r="S520" s="24" t="s">
        <v>167</v>
      </c>
      <c r="T520" s="24" t="s">
        <v>764</v>
      </c>
      <c r="U520" s="24" t="s">
        <v>2547</v>
      </c>
    </row>
    <row r="521" spans="1:21" ht="16.5" hidden="1" customHeight="1" thickBot="1">
      <c r="A521" s="92" t="s">
        <v>162</v>
      </c>
      <c r="B521" s="93">
        <v>46258</v>
      </c>
      <c r="C521" s="92" t="s">
        <v>1020</v>
      </c>
      <c r="D521" s="92" t="s">
        <v>1021</v>
      </c>
      <c r="E521" s="92"/>
      <c r="F521" s="92" t="s">
        <v>165</v>
      </c>
      <c r="G521" s="88">
        <v>2800</v>
      </c>
      <c r="H521" s="88"/>
      <c r="I521" s="88">
        <v>2800</v>
      </c>
      <c r="J521" s="88">
        <v>0</v>
      </c>
      <c r="K521" s="88"/>
      <c r="L521" s="92"/>
      <c r="M521" s="92" t="s">
        <v>166</v>
      </c>
      <c r="N521"/>
      <c r="O521" s="26">
        <v>20260824</v>
      </c>
      <c r="P521" s="32">
        <v>202608240000036</v>
      </c>
      <c r="Q521" s="27">
        <v>2800</v>
      </c>
      <c r="R521" s="28"/>
      <c r="S521" s="27" t="s">
        <v>167</v>
      </c>
      <c r="T521" s="27" t="s">
        <v>712</v>
      </c>
      <c r="U521" s="27" t="s">
        <v>2548</v>
      </c>
    </row>
    <row r="522" spans="1:21" ht="16.5" hidden="1" customHeight="1" thickBot="1">
      <c r="A522" s="92" t="s">
        <v>180</v>
      </c>
      <c r="B522" s="93">
        <v>46258</v>
      </c>
      <c r="C522" s="92" t="s">
        <v>3190</v>
      </c>
      <c r="D522" s="92" t="s">
        <v>3191</v>
      </c>
      <c r="E522" s="92"/>
      <c r="F522" s="92" t="s">
        <v>165</v>
      </c>
      <c r="G522" s="88">
        <v>493</v>
      </c>
      <c r="H522" s="88">
        <v>493</v>
      </c>
      <c r="I522" s="88">
        <v>0</v>
      </c>
      <c r="J522" s="88">
        <v>0</v>
      </c>
      <c r="K522" s="88"/>
      <c r="L522" s="92"/>
      <c r="M522" s="92" t="s">
        <v>175</v>
      </c>
      <c r="N522"/>
      <c r="O522" s="23">
        <v>20260824</v>
      </c>
      <c r="P522" s="31">
        <v>202608240000037</v>
      </c>
      <c r="Q522" s="24">
        <v>493</v>
      </c>
      <c r="R522" s="25"/>
      <c r="S522" s="24" t="s">
        <v>167</v>
      </c>
      <c r="T522" s="24" t="s">
        <v>2549</v>
      </c>
      <c r="U522" s="24" t="s">
        <v>2550</v>
      </c>
    </row>
    <row r="523" spans="1:21" ht="16.5" hidden="1" customHeight="1" thickBot="1">
      <c r="A523" s="92" t="s">
        <v>162</v>
      </c>
      <c r="B523" s="93">
        <v>46258</v>
      </c>
      <c r="C523" s="92" t="s">
        <v>833</v>
      </c>
      <c r="D523" s="92" t="s">
        <v>834</v>
      </c>
      <c r="E523" s="92"/>
      <c r="F523" s="92" t="s">
        <v>165</v>
      </c>
      <c r="G523" s="88">
        <v>2800</v>
      </c>
      <c r="H523" s="88"/>
      <c r="I523" s="88">
        <v>2800</v>
      </c>
      <c r="J523" s="88">
        <v>0</v>
      </c>
      <c r="K523" s="88"/>
      <c r="L523" s="92"/>
      <c r="M523" s="92" t="s">
        <v>166</v>
      </c>
      <c r="N523"/>
      <c r="O523" s="26">
        <v>20260824</v>
      </c>
      <c r="P523" s="32">
        <v>202608240000038</v>
      </c>
      <c r="Q523" s="27">
        <v>2800</v>
      </c>
      <c r="R523" s="28"/>
      <c r="S523" s="27" t="s">
        <v>184</v>
      </c>
      <c r="T523" s="27" t="s">
        <v>639</v>
      </c>
      <c r="U523" s="27" t="s">
        <v>2551</v>
      </c>
    </row>
    <row r="524" spans="1:21" ht="16.5" hidden="1" customHeight="1" thickBot="1">
      <c r="A524" s="92" t="s">
        <v>162</v>
      </c>
      <c r="B524" s="93">
        <v>46258</v>
      </c>
      <c r="C524" s="92" t="s">
        <v>949</v>
      </c>
      <c r="D524" s="92" t="s">
        <v>950</v>
      </c>
      <c r="E524" s="92"/>
      <c r="F524" s="92" t="s">
        <v>165</v>
      </c>
      <c r="G524" s="88">
        <v>3850</v>
      </c>
      <c r="H524" s="88"/>
      <c r="I524" s="88">
        <v>3850</v>
      </c>
      <c r="J524" s="88">
        <v>0</v>
      </c>
      <c r="K524" s="88"/>
      <c r="L524" s="92"/>
      <c r="M524" s="92" t="s">
        <v>166</v>
      </c>
      <c r="N524"/>
      <c r="O524" s="23">
        <v>20260824</v>
      </c>
      <c r="P524" s="31">
        <v>202608240000039</v>
      </c>
      <c r="Q524" s="24">
        <v>3850</v>
      </c>
      <c r="R524" s="25"/>
      <c r="S524" s="24" t="s">
        <v>167</v>
      </c>
      <c r="T524" s="24" t="s">
        <v>582</v>
      </c>
      <c r="U524" s="24" t="s">
        <v>2552</v>
      </c>
    </row>
    <row r="525" spans="1:21" ht="16.5" hidden="1" customHeight="1" thickBot="1">
      <c r="A525" s="92" t="s">
        <v>162</v>
      </c>
      <c r="B525" s="93">
        <v>46258</v>
      </c>
      <c r="C525" s="92" t="s">
        <v>519</v>
      </c>
      <c r="D525" s="92" t="s">
        <v>520</v>
      </c>
      <c r="E525" s="92"/>
      <c r="F525" s="92" t="s">
        <v>165</v>
      </c>
      <c r="G525" s="88">
        <v>3850</v>
      </c>
      <c r="H525" s="88"/>
      <c r="I525" s="88">
        <v>3850</v>
      </c>
      <c r="J525" s="88">
        <v>0</v>
      </c>
      <c r="K525" s="88"/>
      <c r="L525" s="92"/>
      <c r="M525" s="92" t="s">
        <v>166</v>
      </c>
      <c r="O525" s="26">
        <v>20260824</v>
      </c>
      <c r="P525" s="32">
        <v>202608240000040</v>
      </c>
      <c r="Q525" s="27">
        <v>3850</v>
      </c>
      <c r="R525" s="28"/>
      <c r="S525" s="27" t="s">
        <v>184</v>
      </c>
      <c r="T525" s="27" t="s">
        <v>1054</v>
      </c>
      <c r="U525" s="27" t="s">
        <v>2553</v>
      </c>
    </row>
    <row r="526" spans="1:21" ht="16.5" hidden="1" customHeight="1" thickBot="1">
      <c r="A526" s="92" t="s">
        <v>162</v>
      </c>
      <c r="B526" s="93">
        <v>46258</v>
      </c>
      <c r="C526" s="92" t="s">
        <v>735</v>
      </c>
      <c r="D526" s="92" t="s">
        <v>736</v>
      </c>
      <c r="E526" s="92"/>
      <c r="F526" s="92" t="s">
        <v>165</v>
      </c>
      <c r="G526" s="88">
        <v>3850</v>
      </c>
      <c r="H526" s="88"/>
      <c r="I526" s="88">
        <v>3850</v>
      </c>
      <c r="J526" s="88">
        <v>0</v>
      </c>
      <c r="K526" s="88"/>
      <c r="L526" s="92"/>
      <c r="M526" s="92" t="s">
        <v>166</v>
      </c>
      <c r="N526"/>
      <c r="O526" s="23">
        <v>20260824</v>
      </c>
      <c r="P526" s="31">
        <v>202608240000041</v>
      </c>
      <c r="Q526" s="24">
        <v>3850</v>
      </c>
      <c r="R526" s="25"/>
      <c r="S526" s="24" t="s">
        <v>167</v>
      </c>
      <c r="T526" s="24" t="s">
        <v>208</v>
      </c>
      <c r="U526" s="24" t="s">
        <v>2554</v>
      </c>
    </row>
    <row r="527" spans="1:21" ht="32.25" hidden="1" customHeight="1" thickBot="1">
      <c r="A527" s="92" t="s">
        <v>162</v>
      </c>
      <c r="B527" s="93">
        <v>46258</v>
      </c>
      <c r="C527" s="92" t="s">
        <v>991</v>
      </c>
      <c r="D527" s="92" t="s">
        <v>992</v>
      </c>
      <c r="E527" s="92"/>
      <c r="F527" s="92" t="s">
        <v>165</v>
      </c>
      <c r="G527" s="88">
        <v>3850</v>
      </c>
      <c r="H527" s="88"/>
      <c r="I527" s="88">
        <v>3850</v>
      </c>
      <c r="J527" s="88">
        <v>0</v>
      </c>
      <c r="K527" s="88"/>
      <c r="L527" s="92"/>
      <c r="M527" s="92" t="s">
        <v>166</v>
      </c>
      <c r="N527"/>
      <c r="O527" s="26">
        <v>20260824</v>
      </c>
      <c r="P527" s="32">
        <v>202608240000042</v>
      </c>
      <c r="Q527" s="27">
        <v>3850</v>
      </c>
      <c r="R527" s="28"/>
      <c r="S527" s="27" t="s">
        <v>184</v>
      </c>
      <c r="T527" s="27" t="s">
        <v>770</v>
      </c>
      <c r="U527" s="27" t="s">
        <v>2555</v>
      </c>
    </row>
    <row r="528" spans="1:21" ht="16.5" hidden="1" customHeight="1" thickBot="1">
      <c r="A528" s="92" t="s">
        <v>162</v>
      </c>
      <c r="B528" s="93">
        <v>46258</v>
      </c>
      <c r="C528" s="92" t="s">
        <v>822</v>
      </c>
      <c r="D528" s="92" t="s">
        <v>823</v>
      </c>
      <c r="E528" s="92"/>
      <c r="F528" s="92" t="s">
        <v>165</v>
      </c>
      <c r="G528" s="88">
        <v>3850</v>
      </c>
      <c r="H528" s="88"/>
      <c r="I528" s="88">
        <v>3850</v>
      </c>
      <c r="J528" s="88">
        <v>0</v>
      </c>
      <c r="K528" s="88"/>
      <c r="L528" s="92"/>
      <c r="M528" s="92" t="s">
        <v>166</v>
      </c>
      <c r="N528"/>
      <c r="O528" s="23">
        <v>20260824</v>
      </c>
      <c r="P528" s="31">
        <v>202608240000043</v>
      </c>
      <c r="Q528" s="24">
        <v>3850</v>
      </c>
      <c r="R528" s="25"/>
      <c r="S528" s="24" t="s">
        <v>167</v>
      </c>
      <c r="T528" s="24" t="s">
        <v>431</v>
      </c>
      <c r="U528" s="24" t="s">
        <v>2556</v>
      </c>
    </row>
    <row r="529" spans="1:21" ht="16.5" hidden="1" customHeight="1" thickBot="1">
      <c r="A529" s="92" t="s">
        <v>162</v>
      </c>
      <c r="B529" s="93">
        <v>46258</v>
      </c>
      <c r="C529" s="92" t="s">
        <v>429</v>
      </c>
      <c r="D529" s="92" t="s">
        <v>430</v>
      </c>
      <c r="E529" s="92"/>
      <c r="F529" s="92" t="s">
        <v>165</v>
      </c>
      <c r="G529" s="88">
        <v>3850</v>
      </c>
      <c r="H529" s="88"/>
      <c r="I529" s="88">
        <v>3850</v>
      </c>
      <c r="J529" s="88">
        <v>0</v>
      </c>
      <c r="K529" s="88"/>
      <c r="L529" s="92"/>
      <c r="M529" s="92" t="s">
        <v>166</v>
      </c>
      <c r="N529"/>
      <c r="O529" s="26">
        <v>20260824</v>
      </c>
      <c r="P529" s="32">
        <v>202608240000044</v>
      </c>
      <c r="Q529" s="27">
        <v>3850</v>
      </c>
      <c r="R529" s="28"/>
      <c r="S529" s="27" t="s">
        <v>167</v>
      </c>
      <c r="T529" s="27" t="s">
        <v>802</v>
      </c>
      <c r="U529" s="27" t="s">
        <v>2557</v>
      </c>
    </row>
    <row r="530" spans="1:21" ht="16.5" hidden="1" customHeight="1" thickBot="1">
      <c r="A530" s="92" t="s">
        <v>162</v>
      </c>
      <c r="B530" s="93">
        <v>46258</v>
      </c>
      <c r="C530" s="92" t="s">
        <v>933</v>
      </c>
      <c r="D530" s="92" t="s">
        <v>934</v>
      </c>
      <c r="E530" s="92"/>
      <c r="F530" s="92" t="s">
        <v>165</v>
      </c>
      <c r="G530" s="88">
        <v>3850</v>
      </c>
      <c r="H530" s="88"/>
      <c r="I530" s="88">
        <v>3850</v>
      </c>
      <c r="J530" s="88">
        <v>0</v>
      </c>
      <c r="K530" s="88"/>
      <c r="L530" s="92"/>
      <c r="M530" s="92" t="s">
        <v>166</v>
      </c>
      <c r="N530"/>
      <c r="O530" s="23">
        <v>20260824</v>
      </c>
      <c r="P530" s="31">
        <v>202608240000045</v>
      </c>
      <c r="Q530" s="24">
        <v>3850</v>
      </c>
      <c r="R530" s="25"/>
      <c r="S530" s="24" t="s">
        <v>167</v>
      </c>
      <c r="T530" s="24" t="s">
        <v>2289</v>
      </c>
      <c r="U530" s="24" t="s">
        <v>2558</v>
      </c>
    </row>
    <row r="531" spans="1:21" ht="16.5" hidden="1" customHeight="1" thickBot="1">
      <c r="A531" s="92" t="s">
        <v>162</v>
      </c>
      <c r="B531" s="93">
        <v>46258</v>
      </c>
      <c r="C531" s="92" t="s">
        <v>713</v>
      </c>
      <c r="D531" s="92" t="s">
        <v>714</v>
      </c>
      <c r="E531" s="92"/>
      <c r="F531" s="92" t="s">
        <v>165</v>
      </c>
      <c r="G531" s="88">
        <v>4792</v>
      </c>
      <c r="H531" s="88"/>
      <c r="I531" s="88">
        <v>4792</v>
      </c>
      <c r="J531" s="88">
        <v>0</v>
      </c>
      <c r="K531" s="88"/>
      <c r="L531" s="92"/>
      <c r="M531" s="92" t="s">
        <v>166</v>
      </c>
      <c r="N531"/>
      <c r="O531" s="26">
        <v>20260824</v>
      </c>
      <c r="P531" s="32">
        <v>202608240000046</v>
      </c>
      <c r="Q531" s="27">
        <v>4792</v>
      </c>
      <c r="R531" s="28"/>
      <c r="S531" s="27" t="s">
        <v>167</v>
      </c>
      <c r="T531" s="27" t="s">
        <v>715</v>
      </c>
      <c r="U531" s="27" t="s">
        <v>2559</v>
      </c>
    </row>
    <row r="532" spans="1:21" ht="16.5" hidden="1" customHeight="1" thickBot="1">
      <c r="A532" s="92" t="s">
        <v>162</v>
      </c>
      <c r="B532" s="93">
        <v>46258</v>
      </c>
      <c r="C532" s="92" t="s">
        <v>771</v>
      </c>
      <c r="D532" s="92" t="s">
        <v>772</v>
      </c>
      <c r="E532" s="92"/>
      <c r="F532" s="92" t="s">
        <v>165</v>
      </c>
      <c r="G532" s="88">
        <v>3850</v>
      </c>
      <c r="H532" s="88"/>
      <c r="I532" s="88">
        <v>3850</v>
      </c>
      <c r="J532" s="88">
        <v>0</v>
      </c>
      <c r="K532" s="88"/>
      <c r="L532" s="92"/>
      <c r="M532" s="92" t="s">
        <v>166</v>
      </c>
      <c r="N532"/>
      <c r="O532" s="23">
        <v>20260824</v>
      </c>
      <c r="P532" s="31">
        <v>202608240000047</v>
      </c>
      <c r="Q532" s="24">
        <v>3850</v>
      </c>
      <c r="R532" s="25"/>
      <c r="S532" s="24" t="s">
        <v>167</v>
      </c>
      <c r="T532" s="24" t="s">
        <v>752</v>
      </c>
      <c r="U532" s="24" t="s">
        <v>2560</v>
      </c>
    </row>
    <row r="533" spans="1:21" ht="16.5" hidden="1" customHeight="1" thickBot="1">
      <c r="A533" s="92" t="s">
        <v>162</v>
      </c>
      <c r="B533" s="93">
        <v>46258</v>
      </c>
      <c r="C533" s="92" t="s">
        <v>1464</v>
      </c>
      <c r="D533" s="92" t="s">
        <v>1465</v>
      </c>
      <c r="E533" s="92"/>
      <c r="F533" s="92" t="s">
        <v>165</v>
      </c>
      <c r="G533" s="88">
        <v>3850</v>
      </c>
      <c r="H533" s="88"/>
      <c r="I533" s="88">
        <v>3850</v>
      </c>
      <c r="J533" s="88">
        <v>0</v>
      </c>
      <c r="K533" s="88"/>
      <c r="L533" s="92"/>
      <c r="M533" s="92" t="s">
        <v>166</v>
      </c>
      <c r="N533"/>
      <c r="O533" s="26">
        <v>20260824</v>
      </c>
      <c r="P533" s="32">
        <v>202608240000048</v>
      </c>
      <c r="Q533" s="27">
        <v>3850</v>
      </c>
      <c r="R533" s="28"/>
      <c r="S533" s="27" t="s">
        <v>167</v>
      </c>
      <c r="T533" s="27" t="s">
        <v>252</v>
      </c>
      <c r="U533" s="27" t="s">
        <v>2561</v>
      </c>
    </row>
    <row r="534" spans="1:21" ht="16.5" hidden="1" customHeight="1" thickBot="1">
      <c r="A534" s="92" t="s">
        <v>162</v>
      </c>
      <c r="B534" s="93">
        <v>46258</v>
      </c>
      <c r="C534" s="92" t="s">
        <v>2987</v>
      </c>
      <c r="D534" s="92" t="s">
        <v>2988</v>
      </c>
      <c r="E534" s="92"/>
      <c r="F534" s="92" t="s">
        <v>165</v>
      </c>
      <c r="G534" s="88">
        <v>3850</v>
      </c>
      <c r="H534" s="88"/>
      <c r="I534" s="88">
        <v>3850</v>
      </c>
      <c r="J534" s="88">
        <v>0</v>
      </c>
      <c r="K534" s="88"/>
      <c r="L534" s="92"/>
      <c r="M534" s="92" t="s">
        <v>166</v>
      </c>
      <c r="N534"/>
      <c r="O534" s="23">
        <v>20260824</v>
      </c>
      <c r="P534" s="31">
        <v>202608240000049</v>
      </c>
      <c r="Q534" s="24">
        <v>3850</v>
      </c>
      <c r="R534" s="25"/>
      <c r="S534" s="24" t="s">
        <v>167</v>
      </c>
      <c r="T534" s="24" t="s">
        <v>918</v>
      </c>
      <c r="U534" s="24" t="s">
        <v>2562</v>
      </c>
    </row>
    <row r="535" spans="1:21" ht="16.5" hidden="1" customHeight="1" thickBot="1">
      <c r="A535" s="92" t="s">
        <v>162</v>
      </c>
      <c r="B535" s="93">
        <v>46258</v>
      </c>
      <c r="C535" s="92" t="s">
        <v>794</v>
      </c>
      <c r="D535" s="92" t="s">
        <v>795</v>
      </c>
      <c r="E535" s="92"/>
      <c r="F535" s="92" t="s">
        <v>165</v>
      </c>
      <c r="G535" s="88">
        <v>3850</v>
      </c>
      <c r="H535" s="88"/>
      <c r="I535" s="88">
        <v>3850</v>
      </c>
      <c r="J535" s="88">
        <v>0</v>
      </c>
      <c r="K535" s="88"/>
      <c r="L535" s="92"/>
      <c r="M535" s="92" t="s">
        <v>166</v>
      </c>
      <c r="N535"/>
      <c r="O535" s="26">
        <v>20260824</v>
      </c>
      <c r="P535" s="32">
        <v>202608240000050</v>
      </c>
      <c r="Q535" s="27">
        <v>3850</v>
      </c>
      <c r="R535" s="28"/>
      <c r="S535" s="27" t="s">
        <v>167</v>
      </c>
      <c r="T535" s="27" t="s">
        <v>264</v>
      </c>
      <c r="U535" s="27" t="s">
        <v>2563</v>
      </c>
    </row>
    <row r="536" spans="1:21" ht="16.5" hidden="1" customHeight="1" thickBot="1">
      <c r="A536" s="92" t="s">
        <v>162</v>
      </c>
      <c r="B536" s="93">
        <v>46258</v>
      </c>
      <c r="C536" s="92" t="s">
        <v>750</v>
      </c>
      <c r="D536" s="92" t="s">
        <v>751</v>
      </c>
      <c r="E536" s="92"/>
      <c r="F536" s="92" t="s">
        <v>165</v>
      </c>
      <c r="G536" s="88">
        <v>3850</v>
      </c>
      <c r="H536" s="88"/>
      <c r="I536" s="88">
        <v>3850</v>
      </c>
      <c r="J536" s="88">
        <v>0</v>
      </c>
      <c r="K536" s="88"/>
      <c r="L536" s="92"/>
      <c r="M536" s="92" t="s">
        <v>166</v>
      </c>
      <c r="N536"/>
      <c r="O536" s="23">
        <v>20260824</v>
      </c>
      <c r="P536" s="31">
        <v>202608240000051</v>
      </c>
      <c r="Q536" s="24">
        <v>3850</v>
      </c>
      <c r="R536" s="25"/>
      <c r="S536" s="24" t="s">
        <v>167</v>
      </c>
      <c r="T536" s="24" t="s">
        <v>428</v>
      </c>
      <c r="U536" s="24" t="s">
        <v>2564</v>
      </c>
    </row>
    <row r="537" spans="1:21" ht="16.5" hidden="1" customHeight="1" thickBot="1">
      <c r="A537" s="92" t="s">
        <v>162</v>
      </c>
      <c r="B537" s="93">
        <v>46258</v>
      </c>
      <c r="C537" s="92" t="s">
        <v>895</v>
      </c>
      <c r="D537" s="92" t="s">
        <v>896</v>
      </c>
      <c r="E537" s="92"/>
      <c r="F537" s="92" t="s">
        <v>165</v>
      </c>
      <c r="G537" s="88">
        <v>3850</v>
      </c>
      <c r="H537" s="88"/>
      <c r="I537" s="88">
        <v>3850</v>
      </c>
      <c r="J537" s="88">
        <v>0</v>
      </c>
      <c r="K537" s="88"/>
      <c r="L537" s="92"/>
      <c r="M537" s="92" t="s">
        <v>166</v>
      </c>
      <c r="O537" s="26">
        <v>20260824</v>
      </c>
      <c r="P537" s="32">
        <v>202608240000052</v>
      </c>
      <c r="Q537" s="27">
        <v>3850</v>
      </c>
      <c r="R537" s="28"/>
      <c r="S537" s="27" t="s">
        <v>359</v>
      </c>
      <c r="T537" s="27" t="s">
        <v>2565</v>
      </c>
      <c r="U537" s="27" t="s">
        <v>2566</v>
      </c>
    </row>
    <row r="538" spans="1:21" ht="16.5" hidden="1" customHeight="1" thickBot="1">
      <c r="A538" s="92" t="s">
        <v>162</v>
      </c>
      <c r="B538" s="93">
        <v>46258</v>
      </c>
      <c r="C538" s="92" t="s">
        <v>916</v>
      </c>
      <c r="D538" s="92" t="s">
        <v>917</v>
      </c>
      <c r="E538" s="92"/>
      <c r="F538" s="92" t="s">
        <v>165</v>
      </c>
      <c r="G538" s="88">
        <v>3850</v>
      </c>
      <c r="H538" s="88"/>
      <c r="I538" s="88">
        <v>3850</v>
      </c>
      <c r="J538" s="88">
        <v>0</v>
      </c>
      <c r="K538" s="88"/>
      <c r="L538" s="92"/>
      <c r="M538" s="92" t="s">
        <v>166</v>
      </c>
      <c r="N538"/>
      <c r="O538" s="23">
        <v>20260824</v>
      </c>
      <c r="P538" s="31">
        <v>202608240000053</v>
      </c>
      <c r="Q538" s="24">
        <v>3850</v>
      </c>
      <c r="R538" s="25"/>
      <c r="S538" s="24" t="s">
        <v>167</v>
      </c>
      <c r="T538" s="24" t="s">
        <v>919</v>
      </c>
      <c r="U538" s="24" t="s">
        <v>2567</v>
      </c>
    </row>
    <row r="539" spans="1:21" ht="16.5" hidden="1" customHeight="1" thickBot="1">
      <c r="A539" s="92" t="s">
        <v>162</v>
      </c>
      <c r="B539" s="93">
        <v>46258</v>
      </c>
      <c r="C539" s="92" t="s">
        <v>351</v>
      </c>
      <c r="D539" s="92" t="s">
        <v>352</v>
      </c>
      <c r="E539" s="92"/>
      <c r="F539" s="92" t="s">
        <v>165</v>
      </c>
      <c r="G539" s="88">
        <v>3850</v>
      </c>
      <c r="H539" s="88"/>
      <c r="I539" s="88">
        <v>3850</v>
      </c>
      <c r="J539" s="88">
        <v>0</v>
      </c>
      <c r="K539" s="88"/>
      <c r="L539" s="92"/>
      <c r="M539" s="92" t="s">
        <v>166</v>
      </c>
      <c r="N539"/>
      <c r="O539" s="26">
        <v>20260824</v>
      </c>
      <c r="P539" s="32">
        <v>202608240000054</v>
      </c>
      <c r="Q539" s="27">
        <v>3850</v>
      </c>
      <c r="R539" s="28"/>
      <c r="S539" s="27" t="s">
        <v>167</v>
      </c>
      <c r="T539" s="27" t="s">
        <v>521</v>
      </c>
      <c r="U539" s="27" t="s">
        <v>2568</v>
      </c>
    </row>
    <row r="540" spans="1:21" ht="16.5" hidden="1" customHeight="1" thickBot="1">
      <c r="A540" s="92" t="s">
        <v>162</v>
      </c>
      <c r="B540" s="93">
        <v>46258</v>
      </c>
      <c r="C540" s="92" t="s">
        <v>710</v>
      </c>
      <c r="D540" s="92" t="s">
        <v>711</v>
      </c>
      <c r="E540" s="92"/>
      <c r="F540" s="92" t="s">
        <v>165</v>
      </c>
      <c r="G540" s="88">
        <v>2800</v>
      </c>
      <c r="H540" s="88"/>
      <c r="I540" s="88">
        <v>2800</v>
      </c>
      <c r="J540" s="88">
        <v>0</v>
      </c>
      <c r="K540" s="88"/>
      <c r="L540" s="92"/>
      <c r="M540" s="92" t="s">
        <v>166</v>
      </c>
      <c r="N540"/>
      <c r="O540" s="23">
        <v>20260824</v>
      </c>
      <c r="P540" s="31">
        <v>202608240000055</v>
      </c>
      <c r="Q540" s="24">
        <v>2800</v>
      </c>
      <c r="R540" s="25"/>
      <c r="S540" s="24" t="s">
        <v>167</v>
      </c>
      <c r="T540" s="24" t="s">
        <v>1022</v>
      </c>
      <c r="U540" s="24" t="s">
        <v>2569</v>
      </c>
    </row>
    <row r="541" spans="1:21" ht="16.5" hidden="1" customHeight="1" thickBot="1">
      <c r="A541" s="92" t="s">
        <v>176</v>
      </c>
      <c r="B541" s="93">
        <v>46258</v>
      </c>
      <c r="C541" s="92" t="s">
        <v>2991</v>
      </c>
      <c r="D541" s="92" t="s">
        <v>2992</v>
      </c>
      <c r="E541" s="92"/>
      <c r="F541" s="92" t="s">
        <v>165</v>
      </c>
      <c r="G541" s="88">
        <v>3850</v>
      </c>
      <c r="H541" s="88"/>
      <c r="I541" s="88">
        <v>3850</v>
      </c>
      <c r="J541" s="88">
        <v>0</v>
      </c>
      <c r="K541" s="88"/>
      <c r="L541" s="92"/>
      <c r="M541" s="92" t="s">
        <v>175</v>
      </c>
      <c r="N541"/>
      <c r="O541" s="26">
        <v>20260824</v>
      </c>
      <c r="P541" s="32">
        <v>202608240000056</v>
      </c>
      <c r="Q541" s="27">
        <v>3850</v>
      </c>
      <c r="R541" s="28"/>
      <c r="S541" s="27" t="s">
        <v>167</v>
      </c>
      <c r="T541" s="27" t="s">
        <v>1081</v>
      </c>
      <c r="U541" s="27" t="s">
        <v>2570</v>
      </c>
    </row>
    <row r="542" spans="1:21" ht="16.5" hidden="1" customHeight="1" thickBot="1">
      <c r="A542" s="92" t="s">
        <v>162</v>
      </c>
      <c r="B542" s="93">
        <v>46258</v>
      </c>
      <c r="C542" s="92" t="s">
        <v>694</v>
      </c>
      <c r="D542" s="92" t="s">
        <v>695</v>
      </c>
      <c r="E542" s="92"/>
      <c r="F542" s="92" t="s">
        <v>165</v>
      </c>
      <c r="G542" s="88">
        <v>2800</v>
      </c>
      <c r="H542" s="88"/>
      <c r="I542" s="88">
        <v>2800</v>
      </c>
      <c r="J542" s="88">
        <v>0</v>
      </c>
      <c r="K542" s="88"/>
      <c r="L542" s="92"/>
      <c r="M542" s="92" t="s">
        <v>166</v>
      </c>
      <c r="N542"/>
      <c r="O542" s="23">
        <v>20260824</v>
      </c>
      <c r="P542" s="31">
        <v>202608240000057</v>
      </c>
      <c r="Q542" s="24">
        <v>2800</v>
      </c>
      <c r="R542" s="25"/>
      <c r="S542" s="24" t="s">
        <v>167</v>
      </c>
      <c r="T542" s="24" t="s">
        <v>911</v>
      </c>
      <c r="U542" s="24" t="s">
        <v>2571</v>
      </c>
    </row>
    <row r="543" spans="1:21" ht="16.5" hidden="1" customHeight="1" thickBot="1">
      <c r="A543" s="92" t="s">
        <v>162</v>
      </c>
      <c r="B543" s="93">
        <v>46258</v>
      </c>
      <c r="C543" s="92" t="s">
        <v>909</v>
      </c>
      <c r="D543" s="92" t="s">
        <v>910</v>
      </c>
      <c r="E543" s="92"/>
      <c r="F543" s="92" t="s">
        <v>165</v>
      </c>
      <c r="G543" s="88">
        <v>2800</v>
      </c>
      <c r="H543" s="88"/>
      <c r="I543" s="88">
        <v>2800</v>
      </c>
      <c r="J543" s="88">
        <v>0</v>
      </c>
      <c r="K543" s="88"/>
      <c r="L543" s="92"/>
      <c r="M543" s="92" t="s">
        <v>166</v>
      </c>
      <c r="N543"/>
      <c r="O543" s="26">
        <v>20260824</v>
      </c>
      <c r="P543" s="32">
        <v>202608240000058</v>
      </c>
      <c r="Q543" s="27">
        <v>2800</v>
      </c>
      <c r="R543" s="28"/>
      <c r="S543" s="27" t="s">
        <v>167</v>
      </c>
      <c r="T543" s="27" t="s">
        <v>305</v>
      </c>
      <c r="U543" s="27" t="s">
        <v>2572</v>
      </c>
    </row>
    <row r="544" spans="1:21" ht="16.5" hidden="1" customHeight="1" thickBot="1">
      <c r="A544" s="92" t="s">
        <v>162</v>
      </c>
      <c r="B544" s="93">
        <v>46258</v>
      </c>
      <c r="C544" s="92" t="s">
        <v>914</v>
      </c>
      <c r="D544" s="92" t="s">
        <v>915</v>
      </c>
      <c r="E544" s="92"/>
      <c r="F544" s="92" t="s">
        <v>165</v>
      </c>
      <c r="G544" s="88">
        <v>6750</v>
      </c>
      <c r="H544" s="88"/>
      <c r="I544" s="88">
        <v>6750</v>
      </c>
      <c r="J544" s="88">
        <v>0</v>
      </c>
      <c r="K544" s="88"/>
      <c r="L544" s="92"/>
      <c r="M544" s="92" t="s">
        <v>166</v>
      </c>
      <c r="O544" s="20">
        <v>20260824</v>
      </c>
      <c r="P544" s="30">
        <v>202608240000059</v>
      </c>
      <c r="Q544" s="21">
        <v>6750</v>
      </c>
      <c r="R544" s="22"/>
      <c r="S544" s="21" t="s">
        <v>167</v>
      </c>
      <c r="T544" s="21" t="s">
        <v>608</v>
      </c>
      <c r="U544" s="21" t="s">
        <v>2573</v>
      </c>
    </row>
    <row r="545" spans="1:21" ht="16.5" hidden="1" customHeight="1" thickBot="1">
      <c r="A545" s="92" t="s">
        <v>162</v>
      </c>
      <c r="B545" s="93">
        <v>46258</v>
      </c>
      <c r="C545" s="92" t="s">
        <v>1032</v>
      </c>
      <c r="D545" s="92" t="s">
        <v>1033</v>
      </c>
      <c r="E545" s="92"/>
      <c r="F545" s="92" t="s">
        <v>165</v>
      </c>
      <c r="G545" s="88">
        <v>3850</v>
      </c>
      <c r="H545" s="88"/>
      <c r="I545" s="88">
        <v>3850</v>
      </c>
      <c r="J545" s="88">
        <v>0</v>
      </c>
      <c r="K545" s="88"/>
      <c r="L545" s="92"/>
      <c r="M545" s="92" t="s">
        <v>166</v>
      </c>
      <c r="N545"/>
      <c r="O545" s="26">
        <v>20260824</v>
      </c>
      <c r="P545" s="32">
        <v>202608240000060</v>
      </c>
      <c r="Q545" s="27">
        <v>3850</v>
      </c>
      <c r="R545" s="28"/>
      <c r="S545" s="27" t="s">
        <v>167</v>
      </c>
      <c r="T545" s="27" t="s">
        <v>824</v>
      </c>
      <c r="U545" s="27" t="s">
        <v>2574</v>
      </c>
    </row>
    <row r="546" spans="1:21" ht="16.5" hidden="1" customHeight="1" thickBot="1">
      <c r="A546" s="92" t="s">
        <v>172</v>
      </c>
      <c r="B546" s="93">
        <v>46258</v>
      </c>
      <c r="C546" s="92" t="s">
        <v>2934</v>
      </c>
      <c r="D546" s="92" t="s">
        <v>2935</v>
      </c>
      <c r="E546" s="92"/>
      <c r="F546" s="92" t="s">
        <v>165</v>
      </c>
      <c r="G546" s="88">
        <v>4000</v>
      </c>
      <c r="H546" s="88"/>
      <c r="I546" s="88">
        <v>4000</v>
      </c>
      <c r="J546" s="88">
        <v>0</v>
      </c>
      <c r="K546" s="88"/>
      <c r="L546" s="92"/>
      <c r="M546" s="92" t="s">
        <v>175</v>
      </c>
      <c r="N546"/>
      <c r="O546" s="23">
        <v>20260824</v>
      </c>
      <c r="P546" s="31">
        <v>202608240000061</v>
      </c>
      <c r="Q546" s="24">
        <v>4000</v>
      </c>
      <c r="R546" s="25"/>
      <c r="S546" s="24" t="s">
        <v>184</v>
      </c>
      <c r="T546" s="24" t="s">
        <v>2575</v>
      </c>
      <c r="U546" s="24" t="s">
        <v>2576</v>
      </c>
    </row>
    <row r="547" spans="1:21" ht="32.25" customHeight="1" thickBot="1">
      <c r="A547" s="92" t="s">
        <v>3293</v>
      </c>
      <c r="B547" s="93">
        <v>46258</v>
      </c>
      <c r="C547" s="92" t="s">
        <v>214</v>
      </c>
      <c r="D547" s="92" t="s">
        <v>215</v>
      </c>
      <c r="E547" s="92"/>
      <c r="F547" s="92" t="s">
        <v>179</v>
      </c>
      <c r="G547" s="88">
        <v>6850</v>
      </c>
      <c r="H547" s="88">
        <v>6850</v>
      </c>
      <c r="I547" s="88">
        <v>0</v>
      </c>
      <c r="J547" s="88">
        <v>0</v>
      </c>
      <c r="K547" s="88"/>
      <c r="L547" s="92"/>
      <c r="M547" s="92" t="s">
        <v>175</v>
      </c>
      <c r="N547" t="s">
        <v>4206</v>
      </c>
      <c r="O547" s="26">
        <v>20260824</v>
      </c>
      <c r="P547" s="32">
        <v>202608240000062</v>
      </c>
      <c r="Q547" s="27">
        <v>6850</v>
      </c>
      <c r="R547" s="28"/>
      <c r="S547" s="27" t="s">
        <v>359</v>
      </c>
      <c r="T547" s="27" t="s">
        <v>2577</v>
      </c>
      <c r="U547" s="27" t="s">
        <v>2578</v>
      </c>
    </row>
    <row r="548" spans="1:21" ht="16.5" hidden="1" customHeight="1" thickBot="1">
      <c r="A548" s="92" t="s">
        <v>180</v>
      </c>
      <c r="B548" s="93">
        <v>46258</v>
      </c>
      <c r="C548" s="92" t="s">
        <v>230</v>
      </c>
      <c r="D548" s="92" t="s">
        <v>231</v>
      </c>
      <c r="E548" s="92"/>
      <c r="F548" s="92" t="s">
        <v>165</v>
      </c>
      <c r="G548" s="88">
        <v>4200</v>
      </c>
      <c r="H548" s="88"/>
      <c r="I548" s="88">
        <v>4200</v>
      </c>
      <c r="J548" s="88">
        <v>0</v>
      </c>
      <c r="K548" s="88"/>
      <c r="L548" s="92"/>
      <c r="M548" s="92" t="s">
        <v>175</v>
      </c>
      <c r="N548"/>
      <c r="O548" s="23">
        <v>20260824</v>
      </c>
      <c r="P548" s="31">
        <v>202608240000063</v>
      </c>
      <c r="Q548" s="24">
        <v>4200</v>
      </c>
      <c r="R548" s="25"/>
      <c r="S548" s="24" t="s">
        <v>167</v>
      </c>
      <c r="T548" s="24" t="s">
        <v>232</v>
      </c>
      <c r="U548" s="24" t="s">
        <v>2579</v>
      </c>
    </row>
    <row r="549" spans="1:21" ht="16.5" hidden="1" customHeight="1" thickBot="1">
      <c r="A549" s="92" t="s">
        <v>180</v>
      </c>
      <c r="B549" s="93">
        <v>46258</v>
      </c>
      <c r="C549" s="92" t="s">
        <v>2070</v>
      </c>
      <c r="D549" s="92" t="s">
        <v>2071</v>
      </c>
      <c r="E549" s="92"/>
      <c r="F549" s="92" t="s">
        <v>165</v>
      </c>
      <c r="G549" s="88">
        <v>4000</v>
      </c>
      <c r="H549" s="88"/>
      <c r="I549" s="88">
        <v>4000</v>
      </c>
      <c r="J549" s="88">
        <v>0</v>
      </c>
      <c r="K549" s="88"/>
      <c r="L549" s="92"/>
      <c r="M549" s="92" t="s">
        <v>175</v>
      </c>
      <c r="O549" s="26">
        <v>20260824</v>
      </c>
      <c r="P549" s="32">
        <v>202608240000064</v>
      </c>
      <c r="Q549" s="27">
        <v>4000</v>
      </c>
      <c r="R549" s="28"/>
      <c r="S549" s="27" t="s">
        <v>167</v>
      </c>
      <c r="T549" s="27" t="s">
        <v>2244</v>
      </c>
      <c r="U549" s="27" t="s">
        <v>2580</v>
      </c>
    </row>
    <row r="550" spans="1:21" ht="16.5" hidden="1" customHeight="1" thickBot="1">
      <c r="A550" s="92" t="s">
        <v>162</v>
      </c>
      <c r="B550" s="93">
        <v>46258</v>
      </c>
      <c r="C550" s="92" t="s">
        <v>1771</v>
      </c>
      <c r="D550" s="92" t="s">
        <v>1772</v>
      </c>
      <c r="E550" s="92"/>
      <c r="F550" s="92" t="s">
        <v>165</v>
      </c>
      <c r="G550" s="88">
        <v>2800</v>
      </c>
      <c r="H550" s="88"/>
      <c r="I550" s="88">
        <v>2800</v>
      </c>
      <c r="J550" s="88">
        <v>0</v>
      </c>
      <c r="K550" s="88"/>
      <c r="L550" s="92"/>
      <c r="M550" s="92" t="s">
        <v>166</v>
      </c>
      <c r="N550"/>
      <c r="O550" s="23">
        <v>20260824</v>
      </c>
      <c r="P550" s="31">
        <v>202608240000065</v>
      </c>
      <c r="Q550" s="24">
        <v>2800</v>
      </c>
      <c r="R550" s="25"/>
      <c r="S550" s="24" t="s">
        <v>167</v>
      </c>
      <c r="T550" s="24" t="s">
        <v>2581</v>
      </c>
      <c r="U550" s="24" t="s">
        <v>2582</v>
      </c>
    </row>
    <row r="551" spans="1:21" ht="16.5" hidden="1" customHeight="1" thickBot="1">
      <c r="A551" s="92" t="s">
        <v>162</v>
      </c>
      <c r="B551" s="93">
        <v>46258</v>
      </c>
      <c r="C551" s="92" t="s">
        <v>981</v>
      </c>
      <c r="D551" s="92" t="s">
        <v>982</v>
      </c>
      <c r="E551" s="92"/>
      <c r="F551" s="92" t="s">
        <v>165</v>
      </c>
      <c r="G551" s="88">
        <v>3850</v>
      </c>
      <c r="H551" s="88"/>
      <c r="I551" s="88">
        <v>3850</v>
      </c>
      <c r="J551" s="88">
        <v>0</v>
      </c>
      <c r="K551" s="88"/>
      <c r="L551" s="92"/>
      <c r="M551" s="92" t="s">
        <v>166</v>
      </c>
      <c r="N551"/>
      <c r="O551" s="26">
        <v>20260824</v>
      </c>
      <c r="P551" s="32">
        <v>202608240000066</v>
      </c>
      <c r="Q551" s="27">
        <v>3850</v>
      </c>
      <c r="R551" s="28"/>
      <c r="S551" s="27" t="s">
        <v>167</v>
      </c>
      <c r="T551" s="27" t="s">
        <v>2583</v>
      </c>
      <c r="U551" s="27" t="s">
        <v>2584</v>
      </c>
    </row>
    <row r="552" spans="1:21" ht="16.5" hidden="1" customHeight="1" thickBot="1">
      <c r="A552" s="92" t="s">
        <v>162</v>
      </c>
      <c r="B552" s="93">
        <v>46258</v>
      </c>
      <c r="C552" s="92" t="s">
        <v>1046</v>
      </c>
      <c r="D552" s="92" t="s">
        <v>1047</v>
      </c>
      <c r="E552" s="92"/>
      <c r="F552" s="92" t="s">
        <v>165</v>
      </c>
      <c r="G552" s="88">
        <v>3850</v>
      </c>
      <c r="H552" s="88"/>
      <c r="I552" s="88">
        <v>3850</v>
      </c>
      <c r="J552" s="88">
        <v>0</v>
      </c>
      <c r="K552" s="88"/>
      <c r="L552" s="92"/>
      <c r="M552" s="92" t="s">
        <v>166</v>
      </c>
      <c r="N552"/>
      <c r="O552" s="23">
        <v>20260824</v>
      </c>
      <c r="P552" s="31">
        <v>202608240000067</v>
      </c>
      <c r="Q552" s="24">
        <v>3850</v>
      </c>
      <c r="R552" s="25"/>
      <c r="S552" s="24" t="s">
        <v>167</v>
      </c>
      <c r="T552" s="24" t="s">
        <v>2585</v>
      </c>
      <c r="U552" s="24" t="s">
        <v>2586</v>
      </c>
    </row>
    <row r="553" spans="1:21" ht="32.25" hidden="1" customHeight="1" thickBot="1">
      <c r="A553" s="92" t="s">
        <v>162</v>
      </c>
      <c r="B553" s="93">
        <v>46258</v>
      </c>
      <c r="C553" s="92" t="s">
        <v>1052</v>
      </c>
      <c r="D553" s="92" t="s">
        <v>1053</v>
      </c>
      <c r="E553" s="92"/>
      <c r="F553" s="92" t="s">
        <v>165</v>
      </c>
      <c r="G553" s="88">
        <v>3850</v>
      </c>
      <c r="H553" s="88"/>
      <c r="I553" s="88">
        <v>3850</v>
      </c>
      <c r="J553" s="88">
        <v>0</v>
      </c>
      <c r="K553" s="88"/>
      <c r="L553" s="92"/>
      <c r="M553" s="92" t="s">
        <v>166</v>
      </c>
      <c r="N553"/>
      <c r="O553" s="26">
        <v>20260824</v>
      </c>
      <c r="P553" s="32">
        <v>202608240000068</v>
      </c>
      <c r="Q553" s="27">
        <v>3850</v>
      </c>
      <c r="R553" s="28"/>
      <c r="S553" s="27" t="s">
        <v>167</v>
      </c>
      <c r="T553" s="27" t="s">
        <v>252</v>
      </c>
      <c r="U553" s="27" t="s">
        <v>2587</v>
      </c>
    </row>
    <row r="554" spans="1:21" ht="16.5" hidden="1" customHeight="1" thickBot="1">
      <c r="A554" s="92" t="s">
        <v>162</v>
      </c>
      <c r="B554" s="93">
        <v>46258</v>
      </c>
      <c r="C554" s="92" t="s">
        <v>943</v>
      </c>
      <c r="D554" s="92" t="s">
        <v>944</v>
      </c>
      <c r="E554" s="92"/>
      <c r="F554" s="92" t="s">
        <v>165</v>
      </c>
      <c r="G554" s="88">
        <v>3850</v>
      </c>
      <c r="H554" s="88"/>
      <c r="I554" s="88">
        <v>3850</v>
      </c>
      <c r="J554" s="88">
        <v>0</v>
      </c>
      <c r="K554" s="88"/>
      <c r="L554" s="92"/>
      <c r="M554" s="92" t="s">
        <v>166</v>
      </c>
      <c r="N554"/>
      <c r="O554" s="23">
        <v>20260824</v>
      </c>
      <c r="P554" s="31">
        <v>202608240000069</v>
      </c>
      <c r="Q554" s="24">
        <v>3850</v>
      </c>
      <c r="R554" s="25"/>
      <c r="S554" s="24" t="s">
        <v>167</v>
      </c>
      <c r="T554" s="24" t="s">
        <v>689</v>
      </c>
      <c r="U554" s="24" t="s">
        <v>2588</v>
      </c>
    </row>
    <row r="555" spans="1:21" ht="16.5" hidden="1" customHeight="1" thickBot="1">
      <c r="A555" s="92" t="s">
        <v>162</v>
      </c>
      <c r="B555" s="93">
        <v>46258</v>
      </c>
      <c r="C555" s="92" t="s">
        <v>812</v>
      </c>
      <c r="D555" s="92" t="s">
        <v>813</v>
      </c>
      <c r="E555" s="92"/>
      <c r="F555" s="92" t="s">
        <v>165</v>
      </c>
      <c r="G555" s="88">
        <v>3850</v>
      </c>
      <c r="H555" s="88"/>
      <c r="I555" s="88">
        <v>3850</v>
      </c>
      <c r="J555" s="88">
        <v>0</v>
      </c>
      <c r="K555" s="88"/>
      <c r="L555" s="92"/>
      <c r="M555" s="92" t="s">
        <v>166</v>
      </c>
      <c r="N555"/>
      <c r="O555" s="26">
        <v>20260824</v>
      </c>
      <c r="P555" s="32">
        <v>202608240000070</v>
      </c>
      <c r="Q555" s="27">
        <v>3850</v>
      </c>
      <c r="R555" s="28"/>
      <c r="S555" s="27" t="s">
        <v>184</v>
      </c>
      <c r="T555" s="27" t="s">
        <v>987</v>
      </c>
      <c r="U555" s="27" t="s">
        <v>2589</v>
      </c>
    </row>
    <row r="556" spans="1:21" ht="21.75" hidden="1" customHeight="1" thickBot="1">
      <c r="A556" s="92" t="s">
        <v>162</v>
      </c>
      <c r="B556" s="93">
        <v>46258</v>
      </c>
      <c r="C556" s="92" t="s">
        <v>783</v>
      </c>
      <c r="D556" s="92" t="s">
        <v>784</v>
      </c>
      <c r="E556" s="92"/>
      <c r="F556" s="92" t="s">
        <v>165</v>
      </c>
      <c r="G556" s="88">
        <v>2800</v>
      </c>
      <c r="H556" s="88"/>
      <c r="I556" s="88">
        <v>2800</v>
      </c>
      <c r="J556" s="88">
        <v>0</v>
      </c>
      <c r="K556" s="88"/>
      <c r="L556" s="92"/>
      <c r="M556" s="92" t="s">
        <v>166</v>
      </c>
      <c r="O556" s="23">
        <v>20260824</v>
      </c>
      <c r="P556" s="31">
        <v>202608240000071</v>
      </c>
      <c r="Q556" s="24">
        <v>2800</v>
      </c>
      <c r="R556" s="25"/>
      <c r="S556" s="24" t="s">
        <v>167</v>
      </c>
      <c r="T556" s="24" t="s">
        <v>785</v>
      </c>
      <c r="U556" s="24" t="s">
        <v>2590</v>
      </c>
    </row>
    <row r="557" spans="1:21" ht="16.5" customHeight="1" thickBot="1">
      <c r="A557" s="92" t="s">
        <v>162</v>
      </c>
      <c r="B557" s="93">
        <v>46258</v>
      </c>
      <c r="C557" s="92" t="e">
        <v>#N/A</v>
      </c>
      <c r="D557" s="92"/>
      <c r="E557" s="92"/>
      <c r="F557" s="92" t="s">
        <v>179</v>
      </c>
      <c r="G557" s="88">
        <v>2000</v>
      </c>
      <c r="H557" s="88">
        <v>2000</v>
      </c>
      <c r="I557" s="88">
        <v>0</v>
      </c>
      <c r="J557" s="88">
        <v>0</v>
      </c>
      <c r="K557" s="88"/>
      <c r="L557" s="92"/>
      <c r="M557" s="92" t="s">
        <v>166</v>
      </c>
      <c r="N557" t="s">
        <v>485</v>
      </c>
      <c r="O557" s="26">
        <v>20260824</v>
      </c>
      <c r="P557" s="32">
        <v>202608240000072</v>
      </c>
      <c r="Q557" s="27">
        <v>2000</v>
      </c>
      <c r="R557" s="28"/>
      <c r="S557" s="27" t="s">
        <v>167</v>
      </c>
      <c r="T557" s="27" t="s">
        <v>2591</v>
      </c>
      <c r="U557" s="27" t="s">
        <v>2592</v>
      </c>
    </row>
    <row r="558" spans="1:21" ht="16.5" hidden="1" customHeight="1" thickBot="1">
      <c r="A558" s="92" t="s">
        <v>162</v>
      </c>
      <c r="B558" s="93">
        <v>46258</v>
      </c>
      <c r="C558" s="92" t="s">
        <v>674</v>
      </c>
      <c r="D558" s="92" t="s">
        <v>675</v>
      </c>
      <c r="E558" s="92"/>
      <c r="F558" s="92" t="s">
        <v>165</v>
      </c>
      <c r="G558" s="88">
        <v>2800</v>
      </c>
      <c r="H558" s="88"/>
      <c r="I558" s="88">
        <v>2800</v>
      </c>
      <c r="J558" s="88">
        <v>0</v>
      </c>
      <c r="K558" s="88"/>
      <c r="L558" s="92"/>
      <c r="M558" s="92" t="s">
        <v>166</v>
      </c>
      <c r="N558"/>
      <c r="O558" s="23">
        <v>20260824</v>
      </c>
      <c r="P558" s="31">
        <v>202608240000073</v>
      </c>
      <c r="Q558" s="24">
        <v>2800</v>
      </c>
      <c r="R558" s="25"/>
      <c r="S558" s="24" t="s">
        <v>167</v>
      </c>
      <c r="T558" s="24" t="s">
        <v>676</v>
      </c>
      <c r="U558" s="24" t="s">
        <v>2593</v>
      </c>
    </row>
    <row r="559" spans="1:21" ht="16.5" hidden="1" customHeight="1" thickBot="1">
      <c r="A559" s="92" t="s">
        <v>162</v>
      </c>
      <c r="B559" s="93">
        <v>46258</v>
      </c>
      <c r="C559" s="92" t="s">
        <v>502</v>
      </c>
      <c r="D559" s="92" t="s">
        <v>503</v>
      </c>
      <c r="E559" s="92"/>
      <c r="F559" s="92" t="s">
        <v>165</v>
      </c>
      <c r="G559" s="88">
        <v>3850</v>
      </c>
      <c r="H559" s="88"/>
      <c r="I559" s="88">
        <v>3850</v>
      </c>
      <c r="J559" s="88">
        <v>0</v>
      </c>
      <c r="K559" s="88"/>
      <c r="L559" s="92"/>
      <c r="M559" s="92" t="s">
        <v>166</v>
      </c>
      <c r="N559"/>
      <c r="O559" s="26">
        <v>20260824</v>
      </c>
      <c r="P559" s="32">
        <v>202608240000074</v>
      </c>
      <c r="Q559" s="27">
        <v>3850</v>
      </c>
      <c r="R559" s="28"/>
      <c r="S559" s="27" t="s">
        <v>167</v>
      </c>
      <c r="T559" s="27" t="s">
        <v>767</v>
      </c>
      <c r="U559" s="27" t="s">
        <v>2594</v>
      </c>
    </row>
    <row r="560" spans="1:21" ht="16.5" hidden="1" customHeight="1" thickBot="1">
      <c r="A560" s="92" t="s">
        <v>162</v>
      </c>
      <c r="B560" s="93">
        <v>46258</v>
      </c>
      <c r="C560" s="92" t="s">
        <v>941</v>
      </c>
      <c r="D560" s="92" t="s">
        <v>942</v>
      </c>
      <c r="E560" s="92"/>
      <c r="F560" s="92" t="s">
        <v>165</v>
      </c>
      <c r="G560" s="88">
        <v>2800</v>
      </c>
      <c r="H560" s="88"/>
      <c r="I560" s="88">
        <v>2800</v>
      </c>
      <c r="J560" s="88">
        <v>0</v>
      </c>
      <c r="K560" s="88"/>
      <c r="L560" s="92"/>
      <c r="M560" s="92" t="s">
        <v>166</v>
      </c>
      <c r="N560"/>
      <c r="O560" s="23">
        <v>20260824</v>
      </c>
      <c r="P560" s="31">
        <v>202608240000075</v>
      </c>
      <c r="Q560" s="24">
        <v>2800</v>
      </c>
      <c r="R560" s="25"/>
      <c r="S560" s="24" t="s">
        <v>167</v>
      </c>
      <c r="T560" s="24" t="s">
        <v>330</v>
      </c>
      <c r="U560" s="24" t="s">
        <v>2595</v>
      </c>
    </row>
    <row r="561" spans="1:21" ht="16.5" hidden="1" customHeight="1" thickBot="1">
      <c r="A561" s="92" t="s">
        <v>162</v>
      </c>
      <c r="B561" s="93">
        <v>46258</v>
      </c>
      <c r="C561" s="92" t="s">
        <v>816</v>
      </c>
      <c r="D561" s="92" t="s">
        <v>817</v>
      </c>
      <c r="E561" s="92"/>
      <c r="F561" s="92" t="s">
        <v>165</v>
      </c>
      <c r="G561" s="88">
        <v>2800</v>
      </c>
      <c r="H561" s="88"/>
      <c r="I561" s="88">
        <v>2800</v>
      </c>
      <c r="J561" s="88">
        <v>0</v>
      </c>
      <c r="K561" s="88"/>
      <c r="L561" s="92"/>
      <c r="M561" s="92" t="s">
        <v>166</v>
      </c>
      <c r="N561"/>
      <c r="O561" s="26">
        <v>20260824</v>
      </c>
      <c r="P561" s="32">
        <v>202608240000076</v>
      </c>
      <c r="Q561" s="27">
        <v>2800</v>
      </c>
      <c r="R561" s="28"/>
      <c r="S561" s="27" t="s">
        <v>167</v>
      </c>
      <c r="T561" s="27" t="s">
        <v>2596</v>
      </c>
      <c r="U561" s="27" t="s">
        <v>2597</v>
      </c>
    </row>
    <row r="562" spans="1:21" ht="16.5" hidden="1" customHeight="1" thickBot="1">
      <c r="A562" s="92" t="s">
        <v>162</v>
      </c>
      <c r="B562" s="93">
        <v>46258</v>
      </c>
      <c r="C562" s="92" t="s">
        <v>1011</v>
      </c>
      <c r="D562" s="92" t="s">
        <v>1012</v>
      </c>
      <c r="E562" s="92"/>
      <c r="F562" s="92" t="s">
        <v>165</v>
      </c>
      <c r="G562" s="88">
        <v>3850</v>
      </c>
      <c r="H562" s="88"/>
      <c r="I562" s="88">
        <v>3850</v>
      </c>
      <c r="J562" s="88">
        <v>0</v>
      </c>
      <c r="K562" s="88"/>
      <c r="L562" s="92"/>
      <c r="M562" s="92" t="s">
        <v>166</v>
      </c>
      <c r="O562" s="23">
        <v>20260824</v>
      </c>
      <c r="P562" s="31">
        <v>202608240000077</v>
      </c>
      <c r="Q562" s="24">
        <v>3850</v>
      </c>
      <c r="R562" s="25"/>
      <c r="S562" s="24" t="s">
        <v>167</v>
      </c>
      <c r="T562" s="24" t="s">
        <v>2598</v>
      </c>
      <c r="U562" s="24" t="s">
        <v>2599</v>
      </c>
    </row>
    <row r="563" spans="1:21" ht="16.5" hidden="1" customHeight="1" thickBot="1">
      <c r="A563" s="92" t="s">
        <v>162</v>
      </c>
      <c r="B563" s="93">
        <v>46258</v>
      </c>
      <c r="C563" s="92" t="s">
        <v>587</v>
      </c>
      <c r="D563" s="92" t="s">
        <v>588</v>
      </c>
      <c r="E563" s="92"/>
      <c r="F563" s="92" t="s">
        <v>165</v>
      </c>
      <c r="G563" s="88">
        <v>3850</v>
      </c>
      <c r="H563" s="88"/>
      <c r="I563" s="88">
        <v>3850</v>
      </c>
      <c r="J563" s="88">
        <v>0</v>
      </c>
      <c r="K563" s="88"/>
      <c r="L563" s="92"/>
      <c r="M563" s="92" t="s">
        <v>166</v>
      </c>
      <c r="N563"/>
      <c r="O563" s="26">
        <v>20260824</v>
      </c>
      <c r="P563" s="32">
        <v>202608240000078</v>
      </c>
      <c r="Q563" s="27">
        <v>3850</v>
      </c>
      <c r="R563" s="28"/>
      <c r="S563" s="27" t="s">
        <v>167</v>
      </c>
      <c r="T563" s="27" t="s">
        <v>983</v>
      </c>
      <c r="U563" s="27" t="s">
        <v>2600</v>
      </c>
    </row>
    <row r="564" spans="1:21" ht="16.5" hidden="1" customHeight="1" thickBot="1">
      <c r="A564" s="92" t="s">
        <v>162</v>
      </c>
      <c r="B564" s="93">
        <v>46258</v>
      </c>
      <c r="C564" s="92" t="s">
        <v>920</v>
      </c>
      <c r="D564" s="92" t="s">
        <v>921</v>
      </c>
      <c r="E564" s="92"/>
      <c r="F564" s="92" t="s">
        <v>165</v>
      </c>
      <c r="G564" s="88">
        <v>3850</v>
      </c>
      <c r="H564" s="88"/>
      <c r="I564" s="88">
        <v>3850</v>
      </c>
      <c r="J564" s="88">
        <v>0</v>
      </c>
      <c r="K564" s="88"/>
      <c r="L564" s="92"/>
      <c r="M564" s="92" t="s">
        <v>166</v>
      </c>
      <c r="N564"/>
      <c r="O564" s="23">
        <v>20260824</v>
      </c>
      <c r="P564" s="31">
        <v>202608240000079</v>
      </c>
      <c r="Q564" s="24">
        <v>3850</v>
      </c>
      <c r="R564" s="25"/>
      <c r="S564" s="24" t="s">
        <v>167</v>
      </c>
      <c r="T564" s="24" t="s">
        <v>1048</v>
      </c>
      <c r="U564" s="24" t="s">
        <v>2601</v>
      </c>
    </row>
    <row r="565" spans="1:21" ht="16.5" hidden="1" customHeight="1" thickBot="1">
      <c r="A565" s="92" t="s">
        <v>162</v>
      </c>
      <c r="B565" s="93">
        <v>46258</v>
      </c>
      <c r="C565" s="92" t="s">
        <v>886</v>
      </c>
      <c r="D565" s="92" t="s">
        <v>887</v>
      </c>
      <c r="E565" s="92"/>
      <c r="F565" s="92" t="s">
        <v>165</v>
      </c>
      <c r="G565" s="88">
        <v>3850</v>
      </c>
      <c r="H565" s="88"/>
      <c r="I565" s="88">
        <v>3850</v>
      </c>
      <c r="J565" s="88">
        <v>0</v>
      </c>
      <c r="K565" s="88"/>
      <c r="L565" s="92"/>
      <c r="M565" s="92" t="s">
        <v>166</v>
      </c>
      <c r="N565"/>
      <c r="O565" s="26">
        <v>20260824</v>
      </c>
      <c r="P565" s="32">
        <v>202608240000080</v>
      </c>
      <c r="Q565" s="27">
        <v>3850</v>
      </c>
      <c r="R565" s="28"/>
      <c r="S565" s="27" t="s">
        <v>167</v>
      </c>
      <c r="T565" s="27" t="s">
        <v>2602</v>
      </c>
      <c r="U565" s="27" t="s">
        <v>2603</v>
      </c>
    </row>
    <row r="566" spans="1:21" ht="16.5" hidden="1" customHeight="1" thickBot="1">
      <c r="A566" s="92" t="s">
        <v>162</v>
      </c>
      <c r="B566" s="93">
        <v>46258</v>
      </c>
      <c r="C566" s="92" t="s">
        <v>1498</v>
      </c>
      <c r="D566" s="92" t="s">
        <v>1499</v>
      </c>
      <c r="E566" s="92"/>
      <c r="F566" s="92" t="s">
        <v>165</v>
      </c>
      <c r="G566" s="88">
        <v>3850</v>
      </c>
      <c r="H566" s="88"/>
      <c r="I566" s="88">
        <v>3850</v>
      </c>
      <c r="J566" s="88">
        <v>0</v>
      </c>
      <c r="K566" s="88"/>
      <c r="L566" s="92"/>
      <c r="M566" s="92" t="s">
        <v>166</v>
      </c>
      <c r="N566"/>
      <c r="O566" s="23">
        <v>20260824</v>
      </c>
      <c r="P566" s="31">
        <v>202608240000081</v>
      </c>
      <c r="Q566" s="24">
        <v>3850</v>
      </c>
      <c r="R566" s="25"/>
      <c r="S566" s="24" t="s">
        <v>167</v>
      </c>
      <c r="T566" s="24" t="s">
        <v>431</v>
      </c>
      <c r="U566" s="24" t="s">
        <v>2604</v>
      </c>
    </row>
    <row r="567" spans="1:21" ht="16.5" hidden="1" customHeight="1" thickBot="1">
      <c r="A567" s="92" t="s">
        <v>162</v>
      </c>
      <c r="B567" s="93">
        <v>46258</v>
      </c>
      <c r="C567" s="92" t="s">
        <v>871</v>
      </c>
      <c r="D567" s="92" t="s">
        <v>872</v>
      </c>
      <c r="E567" s="92"/>
      <c r="F567" s="92" t="s">
        <v>165</v>
      </c>
      <c r="G567" s="88">
        <v>3850</v>
      </c>
      <c r="H567" s="88"/>
      <c r="I567" s="88">
        <v>3850</v>
      </c>
      <c r="J567" s="88">
        <v>0</v>
      </c>
      <c r="K567" s="88"/>
      <c r="L567" s="92"/>
      <c r="M567" s="92" t="s">
        <v>166</v>
      </c>
      <c r="N567"/>
      <c r="O567" s="26">
        <v>20260824</v>
      </c>
      <c r="P567" s="32">
        <v>202608240000082</v>
      </c>
      <c r="Q567" s="27">
        <v>3850</v>
      </c>
      <c r="R567" s="28"/>
      <c r="S567" s="27" t="s">
        <v>167</v>
      </c>
      <c r="T567" s="27" t="s">
        <v>1045</v>
      </c>
      <c r="U567" s="27" t="s">
        <v>2605</v>
      </c>
    </row>
    <row r="568" spans="1:21" ht="16.5" hidden="1" customHeight="1" thickBot="1">
      <c r="A568" s="92" t="s">
        <v>162</v>
      </c>
      <c r="B568" s="93">
        <v>46258</v>
      </c>
      <c r="C568" s="92" t="s">
        <v>843</v>
      </c>
      <c r="D568" s="92" t="s">
        <v>844</v>
      </c>
      <c r="E568" s="92"/>
      <c r="F568" s="92" t="s">
        <v>165</v>
      </c>
      <c r="G568" s="88">
        <v>3850</v>
      </c>
      <c r="H568" s="88"/>
      <c r="I568" s="88">
        <v>3850</v>
      </c>
      <c r="J568" s="88">
        <v>0</v>
      </c>
      <c r="K568" s="88"/>
      <c r="L568" s="92"/>
      <c r="M568" s="92" t="s">
        <v>166</v>
      </c>
      <c r="N568"/>
      <c r="O568" s="23">
        <v>20260824</v>
      </c>
      <c r="P568" s="31">
        <v>202608240000083</v>
      </c>
      <c r="Q568" s="24">
        <v>3850</v>
      </c>
      <c r="R568" s="25"/>
      <c r="S568" s="24" t="s">
        <v>167</v>
      </c>
      <c r="T568" s="24" t="s">
        <v>623</v>
      </c>
      <c r="U568" s="24" t="s">
        <v>2606</v>
      </c>
    </row>
    <row r="569" spans="1:21" ht="16.5" hidden="1" customHeight="1" thickBot="1">
      <c r="A569" s="92" t="s">
        <v>162</v>
      </c>
      <c r="B569" s="93">
        <v>46258</v>
      </c>
      <c r="C569" s="92" t="s">
        <v>814</v>
      </c>
      <c r="D569" s="92" t="s">
        <v>815</v>
      </c>
      <c r="E569" s="92"/>
      <c r="F569" s="92" t="s">
        <v>165</v>
      </c>
      <c r="G569" s="88">
        <v>3850</v>
      </c>
      <c r="H569" s="88"/>
      <c r="I569" s="88">
        <v>3850</v>
      </c>
      <c r="J569" s="88">
        <v>0</v>
      </c>
      <c r="K569" s="88"/>
      <c r="L569" s="92"/>
      <c r="M569" s="92" t="s">
        <v>166</v>
      </c>
      <c r="O569" s="26">
        <v>20260824</v>
      </c>
      <c r="P569" s="32">
        <v>202608240000084</v>
      </c>
      <c r="Q569" s="27">
        <v>3850</v>
      </c>
      <c r="R569" s="28"/>
      <c r="S569" s="27" t="s">
        <v>167</v>
      </c>
      <c r="T569" s="27" t="s">
        <v>234</v>
      </c>
      <c r="U569" s="27" t="s">
        <v>2607</v>
      </c>
    </row>
    <row r="570" spans="1:21" ht="16.5" hidden="1" customHeight="1" thickBot="1">
      <c r="A570" s="92" t="s">
        <v>172</v>
      </c>
      <c r="B570" s="93">
        <v>46258</v>
      </c>
      <c r="C570" s="92" t="s">
        <v>746</v>
      </c>
      <c r="D570" s="92" t="s">
        <v>747</v>
      </c>
      <c r="E570" s="92"/>
      <c r="F570" s="92" t="s">
        <v>165</v>
      </c>
      <c r="G570" s="88">
        <v>3850</v>
      </c>
      <c r="H570" s="88"/>
      <c r="I570" s="88">
        <v>3850</v>
      </c>
      <c r="J570" s="88">
        <v>0</v>
      </c>
      <c r="K570" s="88"/>
      <c r="L570" s="92"/>
      <c r="M570" s="92" t="s">
        <v>175</v>
      </c>
      <c r="N570"/>
      <c r="O570" s="23">
        <v>20260824</v>
      </c>
      <c r="P570" s="31">
        <v>202608240000085</v>
      </c>
      <c r="Q570" s="24">
        <v>3850</v>
      </c>
      <c r="R570" s="25"/>
      <c r="S570" s="24" t="s">
        <v>167</v>
      </c>
      <c r="T570" s="24" t="s">
        <v>504</v>
      </c>
      <c r="U570" s="24" t="s">
        <v>2608</v>
      </c>
    </row>
    <row r="571" spans="1:21" ht="16.5" hidden="1" customHeight="1" thickBot="1">
      <c r="A571" s="92" t="s">
        <v>162</v>
      </c>
      <c r="B571" s="93">
        <v>46258</v>
      </c>
      <c r="C571" s="92" t="s">
        <v>543</v>
      </c>
      <c r="D571" s="92" t="s">
        <v>544</v>
      </c>
      <c r="E571" s="92"/>
      <c r="F571" s="92" t="s">
        <v>165</v>
      </c>
      <c r="G571" s="88">
        <v>1077</v>
      </c>
      <c r="H571" s="88"/>
      <c r="I571" s="88">
        <v>1077</v>
      </c>
      <c r="J571" s="88">
        <v>0</v>
      </c>
      <c r="K571" s="88"/>
      <c r="L571" s="92"/>
      <c r="M571" s="92" t="s">
        <v>166</v>
      </c>
      <c r="O571" s="26">
        <v>20260824</v>
      </c>
      <c r="P571" s="32">
        <v>202608240000086</v>
      </c>
      <c r="Q571" s="27">
        <v>1077</v>
      </c>
      <c r="R571" s="28"/>
      <c r="S571" s="27" t="s">
        <v>167</v>
      </c>
      <c r="T571" s="27" t="s">
        <v>511</v>
      </c>
      <c r="U571" s="27" t="s">
        <v>2609</v>
      </c>
    </row>
    <row r="572" spans="1:21" ht="16.5" hidden="1" customHeight="1" thickBot="1">
      <c r="A572" s="92" t="s">
        <v>162</v>
      </c>
      <c r="B572" s="93">
        <v>46258</v>
      </c>
      <c r="C572" s="92" t="s">
        <v>946</v>
      </c>
      <c r="D572" s="92" t="s">
        <v>947</v>
      </c>
      <c r="E572" s="92"/>
      <c r="F572" s="92" t="s">
        <v>165</v>
      </c>
      <c r="G572" s="88">
        <v>3850</v>
      </c>
      <c r="H572" s="88"/>
      <c r="I572" s="88">
        <v>3850</v>
      </c>
      <c r="J572" s="88">
        <v>0</v>
      </c>
      <c r="K572" s="88"/>
      <c r="L572" s="92"/>
      <c r="M572" s="92" t="s">
        <v>166</v>
      </c>
      <c r="N572"/>
      <c r="O572" s="23">
        <v>20260824</v>
      </c>
      <c r="P572" s="31">
        <v>202608240000087</v>
      </c>
      <c r="Q572" s="24">
        <v>3850</v>
      </c>
      <c r="R572" s="25"/>
      <c r="S572" s="24" t="s">
        <v>359</v>
      </c>
      <c r="T572" s="24" t="s">
        <v>2610</v>
      </c>
      <c r="U572" s="24" t="s">
        <v>2611</v>
      </c>
    </row>
    <row r="573" spans="1:21" ht="16.5" hidden="1" customHeight="1" thickBot="1">
      <c r="A573" s="92" t="s">
        <v>162</v>
      </c>
      <c r="B573" s="93">
        <v>46258</v>
      </c>
      <c r="C573" s="92" t="s">
        <v>809</v>
      </c>
      <c r="D573" s="92" t="s">
        <v>810</v>
      </c>
      <c r="E573" s="92"/>
      <c r="F573" s="92" t="s">
        <v>165</v>
      </c>
      <c r="G573" s="88">
        <v>5600</v>
      </c>
      <c r="H573" s="88"/>
      <c r="I573" s="88">
        <v>5600</v>
      </c>
      <c r="J573" s="88">
        <v>0</v>
      </c>
      <c r="K573" s="88"/>
      <c r="L573" s="92"/>
      <c r="M573" s="92" t="s">
        <v>166</v>
      </c>
      <c r="O573" s="26">
        <v>20260824</v>
      </c>
      <c r="P573" s="32">
        <v>202608240000088</v>
      </c>
      <c r="Q573" s="27">
        <v>5600</v>
      </c>
      <c r="R573" s="28"/>
      <c r="S573" s="27" t="s">
        <v>167</v>
      </c>
      <c r="T573" s="27" t="s">
        <v>811</v>
      </c>
      <c r="U573" s="27" t="s">
        <v>2612</v>
      </c>
    </row>
    <row r="574" spans="1:21" ht="16.5" hidden="1" customHeight="1" thickBot="1">
      <c r="A574" s="92" t="s">
        <v>180</v>
      </c>
      <c r="B574" s="93">
        <v>46258</v>
      </c>
      <c r="C574" s="92" t="s">
        <v>2973</v>
      </c>
      <c r="D574" s="92" t="s">
        <v>2974</v>
      </c>
      <c r="E574" s="92"/>
      <c r="F574" s="92" t="s">
        <v>165</v>
      </c>
      <c r="G574" s="88">
        <v>3850</v>
      </c>
      <c r="H574" s="88"/>
      <c r="I574" s="88">
        <v>3850</v>
      </c>
      <c r="J574" s="88">
        <v>0</v>
      </c>
      <c r="K574" s="88"/>
      <c r="L574" s="92"/>
      <c r="M574" s="92" t="s">
        <v>175</v>
      </c>
      <c r="O574" s="23">
        <v>20260824</v>
      </c>
      <c r="P574" s="31">
        <v>202608240000089</v>
      </c>
      <c r="Q574" s="24">
        <v>3850</v>
      </c>
      <c r="R574" s="25"/>
      <c r="S574" s="24" t="s">
        <v>167</v>
      </c>
      <c r="T574" s="24" t="s">
        <v>1019</v>
      </c>
      <c r="U574" s="24" t="s">
        <v>2613</v>
      </c>
    </row>
    <row r="575" spans="1:21" ht="16.5" hidden="1" customHeight="1" thickBot="1">
      <c r="A575" s="92" t="s">
        <v>162</v>
      </c>
      <c r="B575" s="93">
        <v>46258</v>
      </c>
      <c r="C575" s="92" t="s">
        <v>3192</v>
      </c>
      <c r="D575" s="92" t="s">
        <v>1074</v>
      </c>
      <c r="E575" s="92"/>
      <c r="F575" s="92" t="s">
        <v>165</v>
      </c>
      <c r="G575" s="88">
        <v>2800</v>
      </c>
      <c r="H575" s="88"/>
      <c r="I575" s="88">
        <v>2800</v>
      </c>
      <c r="J575" s="88">
        <v>0</v>
      </c>
      <c r="K575" s="88"/>
      <c r="L575" s="92"/>
      <c r="M575" s="92" t="s">
        <v>166</v>
      </c>
      <c r="O575" s="26">
        <v>20260824</v>
      </c>
      <c r="P575" s="32">
        <v>202608240000090</v>
      </c>
      <c r="Q575" s="27">
        <v>2800</v>
      </c>
      <c r="R575" s="28"/>
      <c r="S575" s="27" t="s">
        <v>167</v>
      </c>
      <c r="T575" s="27" t="s">
        <v>673</v>
      </c>
      <c r="U575" s="27" t="s">
        <v>2614</v>
      </c>
    </row>
    <row r="576" spans="1:21" ht="16.5" hidden="1" customHeight="1" thickBot="1">
      <c r="A576" s="92" t="s">
        <v>162</v>
      </c>
      <c r="B576" s="93">
        <v>46258</v>
      </c>
      <c r="C576" s="92" t="s">
        <v>856</v>
      </c>
      <c r="D576" s="92" t="s">
        <v>857</v>
      </c>
      <c r="E576" s="92"/>
      <c r="F576" s="92" t="s">
        <v>165</v>
      </c>
      <c r="G576" s="88">
        <v>2800</v>
      </c>
      <c r="H576" s="88"/>
      <c r="I576" s="88">
        <v>2800</v>
      </c>
      <c r="J576" s="88">
        <v>0</v>
      </c>
      <c r="K576" s="88"/>
      <c r="L576" s="92"/>
      <c r="M576" s="92" t="s">
        <v>166</v>
      </c>
      <c r="N576"/>
      <c r="O576" s="23">
        <v>20260824</v>
      </c>
      <c r="P576" s="31">
        <v>202608240000091</v>
      </c>
      <c r="Q576" s="24">
        <v>2800</v>
      </c>
      <c r="R576" s="25"/>
      <c r="S576" s="24" t="s">
        <v>167</v>
      </c>
      <c r="T576" s="24" t="s">
        <v>597</v>
      </c>
      <c r="U576" s="24" t="s">
        <v>2615</v>
      </c>
    </row>
    <row r="577" spans="1:21" ht="16.5" hidden="1" customHeight="1" thickBot="1">
      <c r="A577" s="92" t="s">
        <v>162</v>
      </c>
      <c r="B577" s="93">
        <v>46258</v>
      </c>
      <c r="C577" s="92" t="s">
        <v>730</v>
      </c>
      <c r="D577" s="92" t="s">
        <v>3193</v>
      </c>
      <c r="E577" s="92"/>
      <c r="F577" s="92" t="s">
        <v>165</v>
      </c>
      <c r="G577" s="88">
        <v>3850</v>
      </c>
      <c r="H577" s="88"/>
      <c r="I577" s="88">
        <v>3850</v>
      </c>
      <c r="J577" s="88">
        <v>0</v>
      </c>
      <c r="K577" s="88"/>
      <c r="L577" s="92"/>
      <c r="M577" s="92" t="s">
        <v>166</v>
      </c>
      <c r="O577" s="26">
        <v>20260824</v>
      </c>
      <c r="P577" s="32">
        <v>202608240000092</v>
      </c>
      <c r="Q577" s="27">
        <v>3850</v>
      </c>
      <c r="R577" s="28"/>
      <c r="S577" s="27" t="s">
        <v>167</v>
      </c>
      <c r="T577" s="27" t="s">
        <v>308</v>
      </c>
      <c r="U577" s="27" t="s">
        <v>2616</v>
      </c>
    </row>
    <row r="578" spans="1:21" ht="16.5" hidden="1" customHeight="1" thickBot="1">
      <c r="A578" s="92" t="s">
        <v>162</v>
      </c>
      <c r="B578" s="93">
        <v>46258</v>
      </c>
      <c r="C578" s="92" t="s">
        <v>798</v>
      </c>
      <c r="D578" s="92" t="s">
        <v>799</v>
      </c>
      <c r="E578" s="92"/>
      <c r="F578" s="92" t="s">
        <v>165</v>
      </c>
      <c r="G578" s="88">
        <v>3850</v>
      </c>
      <c r="H578" s="88"/>
      <c r="I578" s="88">
        <v>3850</v>
      </c>
      <c r="J578" s="88">
        <v>0</v>
      </c>
      <c r="K578" s="88"/>
      <c r="L578" s="92"/>
      <c r="M578" s="92" t="s">
        <v>166</v>
      </c>
      <c r="N578"/>
      <c r="O578" s="23">
        <v>20260824</v>
      </c>
      <c r="P578" s="31">
        <v>202608240000093</v>
      </c>
      <c r="Q578" s="24">
        <v>3850</v>
      </c>
      <c r="R578" s="25"/>
      <c r="S578" s="24" t="s">
        <v>167</v>
      </c>
      <c r="T578" s="24" t="s">
        <v>2617</v>
      </c>
      <c r="U578" s="24" t="s">
        <v>2618</v>
      </c>
    </row>
    <row r="579" spans="1:21" ht="16.5" hidden="1" customHeight="1" thickBot="1">
      <c r="A579" s="92" t="s">
        <v>162</v>
      </c>
      <c r="B579" s="93">
        <v>46258</v>
      </c>
      <c r="C579" s="92" t="s">
        <v>891</v>
      </c>
      <c r="D579" s="92" t="s">
        <v>892</v>
      </c>
      <c r="E579" s="92"/>
      <c r="F579" s="92" t="s">
        <v>165</v>
      </c>
      <c r="G579" s="88">
        <v>2800</v>
      </c>
      <c r="H579" s="88"/>
      <c r="I579" s="88">
        <v>2800</v>
      </c>
      <c r="J579" s="88">
        <v>0</v>
      </c>
      <c r="K579" s="88"/>
      <c r="L579" s="92"/>
      <c r="M579" s="92" t="s">
        <v>166</v>
      </c>
      <c r="N579"/>
      <c r="O579" s="26">
        <v>20260824</v>
      </c>
      <c r="P579" s="32">
        <v>202608240000094</v>
      </c>
      <c r="Q579" s="27">
        <v>2800</v>
      </c>
      <c r="R579" s="28"/>
      <c r="S579" s="27" t="s">
        <v>167</v>
      </c>
      <c r="T579" s="27" t="s">
        <v>208</v>
      </c>
      <c r="U579" s="27" t="s">
        <v>2619</v>
      </c>
    </row>
    <row r="580" spans="1:21" ht="16.5" hidden="1" customHeight="1" thickBot="1">
      <c r="A580" s="92" t="s">
        <v>162</v>
      </c>
      <c r="B580" s="93">
        <v>46259</v>
      </c>
      <c r="C580" s="92" t="s">
        <v>1122</v>
      </c>
      <c r="D580" s="92" t="s">
        <v>1123</v>
      </c>
      <c r="E580" s="92"/>
      <c r="F580" s="92" t="s">
        <v>165</v>
      </c>
      <c r="G580" s="88">
        <v>3850</v>
      </c>
      <c r="H580" s="88"/>
      <c r="I580" s="88">
        <v>3850</v>
      </c>
      <c r="J580" s="88">
        <v>0</v>
      </c>
      <c r="K580" s="88"/>
      <c r="L580" s="92"/>
      <c r="M580" s="92" t="s">
        <v>166</v>
      </c>
      <c r="N580"/>
      <c r="O580" s="23">
        <v>20260825</v>
      </c>
      <c r="P580" s="31">
        <v>202608250000001</v>
      </c>
      <c r="Q580" s="24">
        <v>3850</v>
      </c>
      <c r="R580" s="25"/>
      <c r="S580" s="24" t="s">
        <v>167</v>
      </c>
      <c r="T580" s="24" t="s">
        <v>264</v>
      </c>
      <c r="U580" s="24" t="s">
        <v>2620</v>
      </c>
    </row>
    <row r="581" spans="1:21" ht="16.5" hidden="1" customHeight="1" thickBot="1">
      <c r="A581" s="92" t="s">
        <v>162</v>
      </c>
      <c r="B581" s="93">
        <v>46259</v>
      </c>
      <c r="C581" s="92" t="s">
        <v>1114</v>
      </c>
      <c r="D581" s="92" t="s">
        <v>1115</v>
      </c>
      <c r="E581" s="92"/>
      <c r="F581" s="92" t="s">
        <v>165</v>
      </c>
      <c r="G581" s="88">
        <v>3850</v>
      </c>
      <c r="H581" s="88"/>
      <c r="I581" s="88">
        <v>3850</v>
      </c>
      <c r="J581" s="88">
        <v>0</v>
      </c>
      <c r="K581" s="88"/>
      <c r="L581" s="92"/>
      <c r="M581" s="92" t="s">
        <v>166</v>
      </c>
      <c r="N581"/>
      <c r="O581" s="26">
        <v>20260825</v>
      </c>
      <c r="P581" s="32">
        <v>202608250000002</v>
      </c>
      <c r="Q581" s="27">
        <v>3850</v>
      </c>
      <c r="R581" s="28"/>
      <c r="S581" s="27" t="s">
        <v>167</v>
      </c>
      <c r="T581" s="27" t="s">
        <v>208</v>
      </c>
      <c r="U581" s="27" t="s">
        <v>2621</v>
      </c>
    </row>
    <row r="582" spans="1:21" ht="16.5" hidden="1" customHeight="1" thickBot="1">
      <c r="A582" s="92" t="s">
        <v>162</v>
      </c>
      <c r="B582" s="93">
        <v>46259</v>
      </c>
      <c r="C582" s="92" t="s">
        <v>1037</v>
      </c>
      <c r="D582" s="92" t="s">
        <v>1038</v>
      </c>
      <c r="E582" s="92"/>
      <c r="F582" s="92" t="s">
        <v>165</v>
      </c>
      <c r="G582" s="88">
        <v>4000</v>
      </c>
      <c r="H582" s="88"/>
      <c r="I582" s="88">
        <v>4000</v>
      </c>
      <c r="J582" s="88">
        <v>0</v>
      </c>
      <c r="K582" s="88"/>
      <c r="L582" s="92"/>
      <c r="M582" s="92" t="s">
        <v>166</v>
      </c>
      <c r="N582"/>
      <c r="O582" s="23">
        <v>20260825</v>
      </c>
      <c r="P582" s="31">
        <v>202608250000003</v>
      </c>
      <c r="Q582" s="24">
        <v>4000</v>
      </c>
      <c r="R582" s="25"/>
      <c r="S582" s="24" t="s">
        <v>167</v>
      </c>
      <c r="T582" s="24" t="s">
        <v>1039</v>
      </c>
      <c r="U582" s="24" t="s">
        <v>2622</v>
      </c>
    </row>
    <row r="583" spans="1:21" ht="16.5" hidden="1" customHeight="1" thickBot="1">
      <c r="A583" s="92" t="s">
        <v>162</v>
      </c>
      <c r="B583" s="93">
        <v>46259</v>
      </c>
      <c r="C583" s="92" t="s">
        <v>916</v>
      </c>
      <c r="D583" s="92" t="s">
        <v>917</v>
      </c>
      <c r="E583" s="92"/>
      <c r="F583" s="92" t="s">
        <v>165</v>
      </c>
      <c r="G583" s="88">
        <v>3850</v>
      </c>
      <c r="H583" s="88"/>
      <c r="I583" s="88">
        <v>3850</v>
      </c>
      <c r="J583" s="88">
        <v>0</v>
      </c>
      <c r="K583" s="88"/>
      <c r="L583" s="92"/>
      <c r="M583" s="92" t="s">
        <v>166</v>
      </c>
      <c r="N583"/>
      <c r="O583" s="26">
        <v>20260825</v>
      </c>
      <c r="P583" s="32">
        <v>202608250000004</v>
      </c>
      <c r="Q583" s="27">
        <v>3850</v>
      </c>
      <c r="R583" s="28"/>
      <c r="S583" s="27" t="s">
        <v>167</v>
      </c>
      <c r="T583" s="27" t="s">
        <v>974</v>
      </c>
      <c r="U583" s="27" t="s">
        <v>2623</v>
      </c>
    </row>
    <row r="584" spans="1:21" ht="16.5" hidden="1" customHeight="1" thickBot="1">
      <c r="A584" s="92" t="s">
        <v>162</v>
      </c>
      <c r="B584" s="93">
        <v>46259</v>
      </c>
      <c r="C584" s="92" t="s">
        <v>624</v>
      </c>
      <c r="D584" s="92" t="s">
        <v>625</v>
      </c>
      <c r="E584" s="92"/>
      <c r="F584" s="92" t="s">
        <v>165</v>
      </c>
      <c r="G584" s="88">
        <v>3850</v>
      </c>
      <c r="H584" s="88"/>
      <c r="I584" s="88">
        <v>3850</v>
      </c>
      <c r="J584" s="88">
        <v>0</v>
      </c>
      <c r="K584" s="88"/>
      <c r="L584" s="92"/>
      <c r="M584" s="92" t="s">
        <v>166</v>
      </c>
      <c r="N584"/>
      <c r="O584" s="23">
        <v>20260825</v>
      </c>
      <c r="P584" s="31">
        <v>202608250000005</v>
      </c>
      <c r="Q584" s="24">
        <v>3850</v>
      </c>
      <c r="R584" s="25"/>
      <c r="S584" s="24" t="s">
        <v>167</v>
      </c>
      <c r="T584" s="24" t="s">
        <v>205</v>
      </c>
      <c r="U584" s="24" t="s">
        <v>2624</v>
      </c>
    </row>
    <row r="585" spans="1:21" ht="16.5" hidden="1" customHeight="1" thickBot="1">
      <c r="A585" s="92" t="s">
        <v>162</v>
      </c>
      <c r="B585" s="93">
        <v>46259</v>
      </c>
      <c r="C585" s="92" t="s">
        <v>3194</v>
      </c>
      <c r="D585" s="92" t="s">
        <v>3195</v>
      </c>
      <c r="E585" s="92"/>
      <c r="F585" s="92" t="s">
        <v>165</v>
      </c>
      <c r="G585" s="88">
        <v>5500</v>
      </c>
      <c r="H585" s="88"/>
      <c r="I585" s="88">
        <v>5500</v>
      </c>
      <c r="J585" s="88">
        <v>0</v>
      </c>
      <c r="K585" s="88"/>
      <c r="L585" s="92"/>
      <c r="M585" s="92" t="s">
        <v>166</v>
      </c>
      <c r="O585" s="26">
        <v>20260825</v>
      </c>
      <c r="P585" s="32">
        <v>202608250000006</v>
      </c>
      <c r="Q585" s="27">
        <v>5500</v>
      </c>
      <c r="R585" s="28"/>
      <c r="S585" s="27" t="s">
        <v>167</v>
      </c>
      <c r="T585" s="27" t="s">
        <v>208</v>
      </c>
      <c r="U585" s="27" t="s">
        <v>2625</v>
      </c>
    </row>
    <row r="586" spans="1:21" ht="16.5" hidden="1" customHeight="1" thickBot="1">
      <c r="A586" s="92" t="s">
        <v>172</v>
      </c>
      <c r="B586" s="93">
        <v>46259</v>
      </c>
      <c r="C586" s="92" t="s">
        <v>875</v>
      </c>
      <c r="D586" s="92" t="s">
        <v>876</v>
      </c>
      <c r="E586" s="92"/>
      <c r="F586" s="92" t="s">
        <v>165</v>
      </c>
      <c r="G586" s="88">
        <v>3850</v>
      </c>
      <c r="H586" s="88"/>
      <c r="I586" s="88">
        <v>3850</v>
      </c>
      <c r="J586" s="88">
        <v>0</v>
      </c>
      <c r="K586" s="88"/>
      <c r="L586" s="92"/>
      <c r="M586" s="92" t="s">
        <v>175</v>
      </c>
      <c r="N586"/>
      <c r="O586" s="23">
        <v>20260825</v>
      </c>
      <c r="P586" s="31">
        <v>202608250000007</v>
      </c>
      <c r="Q586" s="24">
        <v>3850</v>
      </c>
      <c r="R586" s="25"/>
      <c r="S586" s="24" t="s">
        <v>167</v>
      </c>
      <c r="T586" s="24" t="s">
        <v>246</v>
      </c>
      <c r="U586" s="24" t="s">
        <v>2626</v>
      </c>
    </row>
    <row r="587" spans="1:21" ht="16.5" hidden="1" customHeight="1" thickBot="1">
      <c r="A587" s="92" t="s">
        <v>162</v>
      </c>
      <c r="B587" s="93">
        <v>46259</v>
      </c>
      <c r="C587" s="92" t="s">
        <v>496</v>
      </c>
      <c r="D587" s="92" t="s">
        <v>497</v>
      </c>
      <c r="E587" s="92"/>
      <c r="F587" s="92" t="s">
        <v>165</v>
      </c>
      <c r="G587" s="88">
        <v>3850</v>
      </c>
      <c r="H587" s="88"/>
      <c r="I587" s="88">
        <v>3850</v>
      </c>
      <c r="J587" s="88">
        <v>0</v>
      </c>
      <c r="K587" s="88"/>
      <c r="L587" s="92"/>
      <c r="M587" s="92" t="s">
        <v>166</v>
      </c>
      <c r="N587"/>
      <c r="O587" s="26">
        <v>20260825</v>
      </c>
      <c r="P587" s="32">
        <v>202608250000008</v>
      </c>
      <c r="Q587" s="27">
        <v>3850</v>
      </c>
      <c r="R587" s="28"/>
      <c r="S587" s="27" t="s">
        <v>167</v>
      </c>
      <c r="T587" s="27" t="s">
        <v>2627</v>
      </c>
      <c r="U587" s="27" t="s">
        <v>2628</v>
      </c>
    </row>
    <row r="588" spans="1:21" ht="16.5" hidden="1" customHeight="1" thickBot="1">
      <c r="A588" s="92" t="s">
        <v>162</v>
      </c>
      <c r="B588" s="93">
        <v>46259</v>
      </c>
      <c r="C588" s="92" t="s">
        <v>318</v>
      </c>
      <c r="D588" s="92" t="s">
        <v>319</v>
      </c>
      <c r="E588" s="92"/>
      <c r="F588" s="92" t="s">
        <v>165</v>
      </c>
      <c r="G588" s="88">
        <v>3850</v>
      </c>
      <c r="H588" s="88"/>
      <c r="I588" s="88">
        <v>3850</v>
      </c>
      <c r="J588" s="88">
        <v>0</v>
      </c>
      <c r="K588" s="88"/>
      <c r="L588" s="92"/>
      <c r="M588" s="92" t="s">
        <v>166</v>
      </c>
      <c r="N588"/>
      <c r="O588" s="23">
        <v>20260825</v>
      </c>
      <c r="P588" s="31">
        <v>202608250000009</v>
      </c>
      <c r="Q588" s="24">
        <v>3850</v>
      </c>
      <c r="R588" s="25"/>
      <c r="S588" s="24" t="s">
        <v>167</v>
      </c>
      <c r="T588" s="24" t="s">
        <v>2509</v>
      </c>
      <c r="U588" s="24" t="s">
        <v>2629</v>
      </c>
    </row>
    <row r="589" spans="1:21" ht="16.5" hidden="1" customHeight="1" thickBot="1">
      <c r="A589" s="92" t="s">
        <v>162</v>
      </c>
      <c r="B589" s="93">
        <v>46259</v>
      </c>
      <c r="C589" s="92" t="s">
        <v>972</v>
      </c>
      <c r="D589" s="92" t="s">
        <v>973</v>
      </c>
      <c r="E589" s="92"/>
      <c r="F589" s="92" t="s">
        <v>165</v>
      </c>
      <c r="G589" s="88">
        <v>3850</v>
      </c>
      <c r="H589" s="88"/>
      <c r="I589" s="88">
        <v>3850</v>
      </c>
      <c r="J589" s="88">
        <v>0</v>
      </c>
      <c r="K589" s="88"/>
      <c r="L589" s="92"/>
      <c r="M589" s="92" t="s">
        <v>166</v>
      </c>
      <c r="N589"/>
      <c r="O589" s="26">
        <v>20260825</v>
      </c>
      <c r="P589" s="32">
        <v>202608250000010</v>
      </c>
      <c r="Q589" s="27">
        <v>3850</v>
      </c>
      <c r="R589" s="28"/>
      <c r="S589" s="27" t="s">
        <v>167</v>
      </c>
      <c r="T589" s="27" t="s">
        <v>547</v>
      </c>
      <c r="U589" s="27" t="s">
        <v>2630</v>
      </c>
    </row>
    <row r="590" spans="1:21" ht="16.5" hidden="1" customHeight="1" thickBot="1">
      <c r="A590" s="92" t="s">
        <v>162</v>
      </c>
      <c r="B590" s="93">
        <v>46259</v>
      </c>
      <c r="C590" s="92" t="s">
        <v>902</v>
      </c>
      <c r="D590" s="92" t="s">
        <v>903</v>
      </c>
      <c r="E590" s="92"/>
      <c r="F590" s="92" t="s">
        <v>165</v>
      </c>
      <c r="G590" s="88">
        <v>5600</v>
      </c>
      <c r="H590" s="88"/>
      <c r="I590" s="88">
        <v>5600</v>
      </c>
      <c r="J590" s="88">
        <v>0</v>
      </c>
      <c r="K590" s="88"/>
      <c r="L590" s="92"/>
      <c r="M590" s="92" t="s">
        <v>166</v>
      </c>
      <c r="N590"/>
      <c r="O590" s="23">
        <v>20260825</v>
      </c>
      <c r="P590" s="31">
        <v>202608250000011</v>
      </c>
      <c r="Q590" s="24">
        <v>5600</v>
      </c>
      <c r="R590" s="25"/>
      <c r="S590" s="24" t="s">
        <v>167</v>
      </c>
      <c r="T590" s="24" t="s">
        <v>904</v>
      </c>
      <c r="U590" s="24" t="s">
        <v>2631</v>
      </c>
    </row>
    <row r="591" spans="1:21" ht="16.5" hidden="1" customHeight="1" thickBot="1">
      <c r="A591" s="92" t="s">
        <v>162</v>
      </c>
      <c r="B591" s="93">
        <v>46259</v>
      </c>
      <c r="C591" s="92" t="s">
        <v>3196</v>
      </c>
      <c r="D591" s="92" t="s">
        <v>3197</v>
      </c>
      <c r="E591" s="92"/>
      <c r="F591" s="92" t="s">
        <v>165</v>
      </c>
      <c r="G591" s="88">
        <v>2800</v>
      </c>
      <c r="H591" s="88"/>
      <c r="I591" s="88">
        <v>2800</v>
      </c>
      <c r="J591" s="88">
        <v>0</v>
      </c>
      <c r="K591" s="88"/>
      <c r="L591" s="92"/>
      <c r="M591" s="92" t="s">
        <v>166</v>
      </c>
      <c r="N591"/>
      <c r="O591" s="26">
        <v>20260825</v>
      </c>
      <c r="P591" s="32">
        <v>202608250000012</v>
      </c>
      <c r="Q591" s="27">
        <v>2800</v>
      </c>
      <c r="R591" s="28"/>
      <c r="S591" s="27" t="s">
        <v>184</v>
      </c>
      <c r="T591" s="27" t="s">
        <v>2632</v>
      </c>
      <c r="U591" s="27" t="s">
        <v>2633</v>
      </c>
    </row>
    <row r="592" spans="1:21" ht="16.5" hidden="1" customHeight="1" thickBot="1">
      <c r="A592" s="92" t="s">
        <v>162</v>
      </c>
      <c r="B592" s="93">
        <v>46259</v>
      </c>
      <c r="C592" s="92" t="s">
        <v>531</v>
      </c>
      <c r="D592" s="92" t="s">
        <v>532</v>
      </c>
      <c r="E592" s="92"/>
      <c r="F592" s="92" t="s">
        <v>165</v>
      </c>
      <c r="G592" s="88">
        <v>3850</v>
      </c>
      <c r="H592" s="88"/>
      <c r="I592" s="88">
        <v>3850</v>
      </c>
      <c r="J592" s="88">
        <v>0</v>
      </c>
      <c r="K592" s="88"/>
      <c r="L592" s="92"/>
      <c r="M592" s="92" t="s">
        <v>166</v>
      </c>
      <c r="N592"/>
      <c r="O592" s="23">
        <v>20260825</v>
      </c>
      <c r="P592" s="31">
        <v>202608250000013</v>
      </c>
      <c r="Q592" s="24">
        <v>3850</v>
      </c>
      <c r="R592" s="25"/>
      <c r="S592" s="24" t="s">
        <v>167</v>
      </c>
      <c r="T592" s="24" t="s">
        <v>264</v>
      </c>
      <c r="U592" s="24" t="s">
        <v>2634</v>
      </c>
    </row>
    <row r="593" spans="1:21" ht="16.5" customHeight="1" thickBot="1">
      <c r="A593" s="92" t="s">
        <v>3293</v>
      </c>
      <c r="B593" s="93">
        <v>46259</v>
      </c>
      <c r="C593" s="92" t="s">
        <v>214</v>
      </c>
      <c r="D593" s="92" t="s">
        <v>215</v>
      </c>
      <c r="E593" s="92"/>
      <c r="F593" s="92" t="s">
        <v>179</v>
      </c>
      <c r="G593" s="88">
        <v>6850</v>
      </c>
      <c r="H593" s="88">
        <v>6850</v>
      </c>
      <c r="I593" s="88">
        <v>0</v>
      </c>
      <c r="J593" s="88">
        <v>0</v>
      </c>
      <c r="K593" s="88"/>
      <c r="L593" s="92"/>
      <c r="M593" s="92" t="s">
        <v>175</v>
      </c>
      <c r="N593" t="s">
        <v>4207</v>
      </c>
      <c r="O593" s="26">
        <v>20260825</v>
      </c>
      <c r="P593" s="32">
        <v>202608250000014</v>
      </c>
      <c r="Q593" s="27">
        <v>6850</v>
      </c>
      <c r="R593" s="28"/>
      <c r="S593" s="27" t="s">
        <v>359</v>
      </c>
      <c r="T593" s="27" t="s">
        <v>2635</v>
      </c>
      <c r="U593" s="27" t="s">
        <v>2636</v>
      </c>
    </row>
    <row r="594" spans="1:21" ht="16.5" hidden="1" customHeight="1" thickBot="1">
      <c r="A594" s="92" t="s">
        <v>162</v>
      </c>
      <c r="B594" s="93">
        <v>46259</v>
      </c>
      <c r="C594" s="92" t="s">
        <v>1009</v>
      </c>
      <c r="D594" s="92" t="s">
        <v>1010</v>
      </c>
      <c r="E594" s="92"/>
      <c r="F594" s="92" t="s">
        <v>165</v>
      </c>
      <c r="G594" s="88">
        <v>3850</v>
      </c>
      <c r="H594" s="88"/>
      <c r="I594" s="88">
        <v>3850</v>
      </c>
      <c r="J594" s="88">
        <v>0</v>
      </c>
      <c r="K594" s="88"/>
      <c r="L594" s="92"/>
      <c r="M594" s="92" t="s">
        <v>166</v>
      </c>
      <c r="N594"/>
      <c r="O594" s="23">
        <v>20260825</v>
      </c>
      <c r="P594" s="31">
        <v>202608250000015</v>
      </c>
      <c r="Q594" s="24">
        <v>3850</v>
      </c>
      <c r="R594" s="25"/>
      <c r="S594" s="24" t="s">
        <v>167</v>
      </c>
      <c r="T594" s="24" t="s">
        <v>208</v>
      </c>
      <c r="U594" s="24" t="s">
        <v>2637</v>
      </c>
    </row>
    <row r="595" spans="1:21" ht="16.5" hidden="1" customHeight="1" thickBot="1">
      <c r="A595" s="92" t="s">
        <v>172</v>
      </c>
      <c r="B595" s="93">
        <v>46259</v>
      </c>
      <c r="C595" s="92" t="s">
        <v>3198</v>
      </c>
      <c r="D595" s="92" t="s">
        <v>3199</v>
      </c>
      <c r="E595" s="92"/>
      <c r="F595" s="92" t="s">
        <v>165</v>
      </c>
      <c r="G595" s="88">
        <v>7140</v>
      </c>
      <c r="H595" s="88">
        <v>3000</v>
      </c>
      <c r="I595" s="88">
        <v>4140</v>
      </c>
      <c r="J595" s="88">
        <v>0</v>
      </c>
      <c r="K595" s="88"/>
      <c r="L595" s="92"/>
      <c r="M595" s="92" t="s">
        <v>175</v>
      </c>
      <c r="N595"/>
      <c r="O595" s="26">
        <v>20260825</v>
      </c>
      <c r="P595" s="32">
        <v>202608250000016</v>
      </c>
      <c r="Q595" s="27">
        <v>7140</v>
      </c>
      <c r="R595" s="28"/>
      <c r="S595" s="27" t="s">
        <v>167</v>
      </c>
      <c r="T595" s="27" t="s">
        <v>2638</v>
      </c>
      <c r="U595" s="27" t="s">
        <v>2639</v>
      </c>
    </row>
    <row r="596" spans="1:21" ht="16.5" hidden="1" customHeight="1" thickBot="1">
      <c r="A596" s="92" t="s">
        <v>172</v>
      </c>
      <c r="B596" s="93">
        <v>46259</v>
      </c>
      <c r="C596" s="92" t="s">
        <v>242</v>
      </c>
      <c r="D596" s="92" t="s">
        <v>243</v>
      </c>
      <c r="E596" s="92"/>
      <c r="F596" s="92" t="s">
        <v>165</v>
      </c>
      <c r="G596" s="88">
        <v>7140</v>
      </c>
      <c r="H596" s="88">
        <v>3000</v>
      </c>
      <c r="I596" s="88">
        <v>4140</v>
      </c>
      <c r="J596" s="88">
        <v>0</v>
      </c>
      <c r="K596" s="88"/>
      <c r="L596" s="92"/>
      <c r="M596" s="92" t="s">
        <v>175</v>
      </c>
      <c r="N596"/>
      <c r="O596" s="23">
        <v>20260825</v>
      </c>
      <c r="P596" s="31">
        <v>202608250000017</v>
      </c>
      <c r="Q596" s="24">
        <v>7140</v>
      </c>
      <c r="R596" s="25"/>
      <c r="S596" s="24" t="s">
        <v>167</v>
      </c>
      <c r="T596" s="24" t="s">
        <v>2640</v>
      </c>
      <c r="U596" s="24" t="s">
        <v>2641</v>
      </c>
    </row>
    <row r="597" spans="1:21" ht="16.5" hidden="1" customHeight="1" thickBot="1">
      <c r="A597" s="92" t="s">
        <v>180</v>
      </c>
      <c r="B597" s="93">
        <v>46259</v>
      </c>
      <c r="C597" s="92" t="s">
        <v>3200</v>
      </c>
      <c r="D597" s="92" t="s">
        <v>3201</v>
      </c>
      <c r="E597" s="92"/>
      <c r="F597" s="92" t="s">
        <v>165</v>
      </c>
      <c r="G597" s="88">
        <v>6092</v>
      </c>
      <c r="H597" s="88">
        <v>3000</v>
      </c>
      <c r="I597" s="88">
        <v>3092</v>
      </c>
      <c r="J597" s="88">
        <v>0</v>
      </c>
      <c r="K597" s="88"/>
      <c r="L597" s="92"/>
      <c r="M597" s="92" t="s">
        <v>175</v>
      </c>
      <c r="N597"/>
      <c r="O597" s="26">
        <v>20260825</v>
      </c>
      <c r="P597" s="32">
        <v>202608250000018</v>
      </c>
      <c r="Q597" s="27">
        <v>6092</v>
      </c>
      <c r="R597" s="28"/>
      <c r="S597" s="27" t="s">
        <v>167</v>
      </c>
      <c r="T597" s="27" t="s">
        <v>2642</v>
      </c>
      <c r="U597" s="27" t="s">
        <v>2643</v>
      </c>
    </row>
    <row r="598" spans="1:21" ht="16.5" hidden="1" customHeight="1" thickBot="1">
      <c r="A598" s="92" t="s">
        <v>180</v>
      </c>
      <c r="B598" s="93">
        <v>46259</v>
      </c>
      <c r="C598" s="92" t="s">
        <v>3202</v>
      </c>
      <c r="D598" s="92" t="s">
        <v>3203</v>
      </c>
      <c r="E598" s="92"/>
      <c r="F598" s="92" t="s">
        <v>165</v>
      </c>
      <c r="G598" s="88">
        <v>8292</v>
      </c>
      <c r="H598" s="88">
        <v>4000</v>
      </c>
      <c r="I598" s="88">
        <v>4292</v>
      </c>
      <c r="J598" s="88">
        <v>0</v>
      </c>
      <c r="K598" s="88"/>
      <c r="L598" s="92"/>
      <c r="M598" s="92" t="s">
        <v>175</v>
      </c>
      <c r="N598"/>
      <c r="O598" s="23">
        <v>20260825</v>
      </c>
      <c r="P598" s="31">
        <v>202608250000019</v>
      </c>
      <c r="Q598" s="24">
        <v>8292</v>
      </c>
      <c r="R598" s="25"/>
      <c r="S598" s="24" t="s">
        <v>167</v>
      </c>
      <c r="T598" s="24" t="s">
        <v>2644</v>
      </c>
      <c r="U598" s="24" t="s">
        <v>2645</v>
      </c>
    </row>
    <row r="599" spans="1:21" ht="16.5" hidden="1" customHeight="1" thickBot="1">
      <c r="A599" s="92" t="s">
        <v>180</v>
      </c>
      <c r="B599" s="93">
        <v>46259</v>
      </c>
      <c r="C599" s="92" t="s">
        <v>3204</v>
      </c>
      <c r="D599" s="92" t="s">
        <v>3205</v>
      </c>
      <c r="E599" s="92"/>
      <c r="F599" s="92" t="s">
        <v>165</v>
      </c>
      <c r="G599" s="88">
        <v>8292</v>
      </c>
      <c r="H599" s="88">
        <v>4000</v>
      </c>
      <c r="I599" s="88">
        <v>4292</v>
      </c>
      <c r="J599" s="88">
        <v>0</v>
      </c>
      <c r="K599" s="88"/>
      <c r="L599" s="92"/>
      <c r="M599" s="92" t="s">
        <v>175</v>
      </c>
      <c r="N599"/>
      <c r="O599" s="26">
        <v>20260825</v>
      </c>
      <c r="P599" s="32">
        <v>202608250000020</v>
      </c>
      <c r="Q599" s="27">
        <v>8292</v>
      </c>
      <c r="R599" s="28"/>
      <c r="S599" s="27" t="s">
        <v>167</v>
      </c>
      <c r="T599" s="27" t="s">
        <v>2646</v>
      </c>
      <c r="U599" s="27" t="s">
        <v>2647</v>
      </c>
    </row>
    <row r="600" spans="1:21" ht="16.5" hidden="1" customHeight="1" thickBot="1">
      <c r="A600" s="92" t="s">
        <v>162</v>
      </c>
      <c r="B600" s="93">
        <v>46259</v>
      </c>
      <c r="C600" s="92" t="s">
        <v>881</v>
      </c>
      <c r="D600" s="92" t="s">
        <v>882</v>
      </c>
      <c r="E600" s="92"/>
      <c r="F600" s="92" t="s">
        <v>165</v>
      </c>
      <c r="G600" s="88">
        <v>3850</v>
      </c>
      <c r="H600" s="88"/>
      <c r="I600" s="88">
        <v>3850</v>
      </c>
      <c r="J600" s="88">
        <v>0</v>
      </c>
      <c r="K600" s="88"/>
      <c r="L600" s="92"/>
      <c r="M600" s="92" t="s">
        <v>166</v>
      </c>
      <c r="N600"/>
      <c r="O600" s="23">
        <v>20260825</v>
      </c>
      <c r="P600" s="31">
        <v>202608250000021</v>
      </c>
      <c r="Q600" s="24">
        <v>3850</v>
      </c>
      <c r="R600" s="25"/>
      <c r="S600" s="24" t="s">
        <v>167</v>
      </c>
      <c r="T600" s="24" t="s">
        <v>330</v>
      </c>
      <c r="U600" s="24" t="s">
        <v>2648</v>
      </c>
    </row>
    <row r="601" spans="1:21" ht="16.5" hidden="1" customHeight="1" thickBot="1">
      <c r="A601" s="92" t="s">
        <v>162</v>
      </c>
      <c r="B601" s="93">
        <v>46259</v>
      </c>
      <c r="C601" s="92" t="s">
        <v>936</v>
      </c>
      <c r="D601" s="92" t="s">
        <v>937</v>
      </c>
      <c r="E601" s="92"/>
      <c r="F601" s="92" t="s">
        <v>165</v>
      </c>
      <c r="G601" s="88">
        <v>3850</v>
      </c>
      <c r="H601" s="88"/>
      <c r="I601" s="88">
        <v>3850</v>
      </c>
      <c r="J601" s="88">
        <v>0</v>
      </c>
      <c r="K601" s="88"/>
      <c r="L601" s="92"/>
      <c r="M601" s="92" t="s">
        <v>166</v>
      </c>
      <c r="N601"/>
      <c r="O601" s="26">
        <v>20260825</v>
      </c>
      <c r="P601" s="32">
        <v>202608250000022</v>
      </c>
      <c r="Q601" s="27">
        <v>3850</v>
      </c>
      <c r="R601" s="28"/>
      <c r="S601" s="27" t="s">
        <v>167</v>
      </c>
      <c r="T601" s="27" t="s">
        <v>877</v>
      </c>
      <c r="U601" s="27" t="s">
        <v>2649</v>
      </c>
    </row>
    <row r="602" spans="1:21" ht="16.5" hidden="1" customHeight="1" thickBot="1">
      <c r="A602" s="92" t="s">
        <v>172</v>
      </c>
      <c r="B602" s="93">
        <v>46259</v>
      </c>
      <c r="C602" s="92" t="s">
        <v>2936</v>
      </c>
      <c r="D602" s="92" t="s">
        <v>2937</v>
      </c>
      <c r="E602" s="92"/>
      <c r="F602" s="92" t="s">
        <v>165</v>
      </c>
      <c r="G602" s="88">
        <v>2200</v>
      </c>
      <c r="H602" s="88"/>
      <c r="I602" s="88">
        <v>2200</v>
      </c>
      <c r="J602" s="88">
        <v>0</v>
      </c>
      <c r="K602" s="88"/>
      <c r="L602" s="92"/>
      <c r="M602" s="92" t="s">
        <v>175</v>
      </c>
      <c r="N602"/>
      <c r="O602" s="23">
        <v>20260825</v>
      </c>
      <c r="P602" s="31">
        <v>202608250000023</v>
      </c>
      <c r="Q602" s="24">
        <v>2200</v>
      </c>
      <c r="R602" s="25"/>
      <c r="S602" s="24" t="s">
        <v>184</v>
      </c>
      <c r="T602" s="24" t="s">
        <v>2650</v>
      </c>
      <c r="U602" s="24" t="s">
        <v>2651</v>
      </c>
    </row>
    <row r="603" spans="1:21" ht="16.5" hidden="1" customHeight="1" thickBot="1">
      <c r="A603" s="92" t="s">
        <v>162</v>
      </c>
      <c r="B603" s="93">
        <v>46259</v>
      </c>
      <c r="C603" s="92" t="s">
        <v>884</v>
      </c>
      <c r="D603" s="92" t="s">
        <v>885</v>
      </c>
      <c r="E603" s="92"/>
      <c r="F603" s="92" t="s">
        <v>165</v>
      </c>
      <c r="G603" s="88">
        <v>3850</v>
      </c>
      <c r="H603" s="88"/>
      <c r="I603" s="88">
        <v>3850</v>
      </c>
      <c r="J603" s="88">
        <v>0</v>
      </c>
      <c r="K603" s="88"/>
      <c r="L603" s="92"/>
      <c r="M603" s="92" t="s">
        <v>166</v>
      </c>
      <c r="N603"/>
      <c r="O603" s="26">
        <v>20260825</v>
      </c>
      <c r="P603" s="32">
        <v>202608250000024</v>
      </c>
      <c r="Q603" s="27">
        <v>3850</v>
      </c>
      <c r="R603" s="28"/>
      <c r="S603" s="27" t="s">
        <v>167</v>
      </c>
      <c r="T603" s="27" t="s">
        <v>286</v>
      </c>
      <c r="U603" s="27" t="s">
        <v>2652</v>
      </c>
    </row>
    <row r="604" spans="1:21" ht="16.5" hidden="1" customHeight="1" thickBot="1">
      <c r="A604" s="92" t="s">
        <v>162</v>
      </c>
      <c r="B604" s="93">
        <v>46259</v>
      </c>
      <c r="C604" s="92" t="s">
        <v>863</v>
      </c>
      <c r="D604" s="92" t="s">
        <v>864</v>
      </c>
      <c r="E604" s="92"/>
      <c r="F604" s="92" t="s">
        <v>165</v>
      </c>
      <c r="G604" s="88">
        <v>11550</v>
      </c>
      <c r="H604" s="88"/>
      <c r="I604" s="88">
        <v>11550</v>
      </c>
      <c r="J604" s="88">
        <v>0</v>
      </c>
      <c r="K604" s="88"/>
      <c r="L604" s="92"/>
      <c r="M604" s="92" t="s">
        <v>166</v>
      </c>
      <c r="N604"/>
      <c r="O604" s="23">
        <v>20260825</v>
      </c>
      <c r="P604" s="31">
        <v>202608250000025</v>
      </c>
      <c r="Q604" s="24">
        <v>11550</v>
      </c>
      <c r="R604" s="25"/>
      <c r="S604" s="24" t="s">
        <v>167</v>
      </c>
      <c r="T604" s="24" t="s">
        <v>865</v>
      </c>
      <c r="U604" s="24" t="s">
        <v>2653</v>
      </c>
    </row>
    <row r="605" spans="1:21" ht="16.5" customHeight="1" thickBot="1">
      <c r="A605" s="92" t="s">
        <v>3293</v>
      </c>
      <c r="B605" s="93">
        <v>46259</v>
      </c>
      <c r="C605" s="92" t="s">
        <v>1000</v>
      </c>
      <c r="D605" s="92" t="s">
        <v>1001</v>
      </c>
      <c r="E605" s="92"/>
      <c r="F605" s="92" t="s">
        <v>179</v>
      </c>
      <c r="G605" s="88">
        <v>7000</v>
      </c>
      <c r="H605" s="88">
        <v>7000</v>
      </c>
      <c r="I605" s="88">
        <v>0</v>
      </c>
      <c r="J605" s="88">
        <v>0</v>
      </c>
      <c r="K605" s="88"/>
      <c r="L605" s="92"/>
      <c r="M605" s="92" t="s">
        <v>175</v>
      </c>
      <c r="N605" t="s">
        <v>4202</v>
      </c>
      <c r="O605" s="26">
        <v>20260825</v>
      </c>
      <c r="P605" s="32">
        <v>202608250000026</v>
      </c>
      <c r="Q605" s="27">
        <v>7000</v>
      </c>
      <c r="R605" s="28"/>
      <c r="S605" s="27" t="s">
        <v>167</v>
      </c>
      <c r="T605" s="27" t="s">
        <v>264</v>
      </c>
      <c r="U605" s="27" t="s">
        <v>2654</v>
      </c>
    </row>
    <row r="606" spans="1:21" ht="16.5" hidden="1" customHeight="1" thickBot="1">
      <c r="A606" s="92" t="s">
        <v>162</v>
      </c>
      <c r="B606" s="93">
        <v>46259</v>
      </c>
      <c r="C606" s="92" t="s">
        <v>564</v>
      </c>
      <c r="D606" s="92" t="s">
        <v>565</v>
      </c>
      <c r="E606" s="92"/>
      <c r="F606" s="92" t="s">
        <v>165</v>
      </c>
      <c r="G606" s="88">
        <v>3850</v>
      </c>
      <c r="H606" s="88"/>
      <c r="I606" s="88">
        <v>3850</v>
      </c>
      <c r="J606" s="88">
        <v>0</v>
      </c>
      <c r="K606" s="88"/>
      <c r="L606" s="92"/>
      <c r="M606" s="92" t="s">
        <v>166</v>
      </c>
      <c r="N606"/>
      <c r="O606" s="23">
        <v>20260825</v>
      </c>
      <c r="P606" s="31">
        <v>202608250000027</v>
      </c>
      <c r="Q606" s="24">
        <v>3850</v>
      </c>
      <c r="R606" s="25"/>
      <c r="S606" s="24" t="s">
        <v>167</v>
      </c>
      <c r="T606" s="24" t="s">
        <v>533</v>
      </c>
      <c r="U606" s="24" t="s">
        <v>2655</v>
      </c>
    </row>
    <row r="607" spans="1:21" ht="16.5" hidden="1" customHeight="1" thickBot="1">
      <c r="A607" s="92" t="s">
        <v>162</v>
      </c>
      <c r="B607" s="93">
        <v>46259</v>
      </c>
      <c r="C607" s="92" t="s">
        <v>203</v>
      </c>
      <c r="D607" s="92" t="s">
        <v>204</v>
      </c>
      <c r="E607" s="92"/>
      <c r="F607" s="92" t="s">
        <v>165</v>
      </c>
      <c r="G607" s="88">
        <v>3850</v>
      </c>
      <c r="H607" s="88"/>
      <c r="I607" s="88">
        <v>3850</v>
      </c>
      <c r="J607" s="88">
        <v>0</v>
      </c>
      <c r="K607" s="88"/>
      <c r="L607" s="92"/>
      <c r="M607" s="92" t="s">
        <v>166</v>
      </c>
      <c r="O607" s="26">
        <v>20260825</v>
      </c>
      <c r="P607" s="32">
        <v>202608250000028</v>
      </c>
      <c r="Q607" s="27">
        <v>3850</v>
      </c>
      <c r="R607" s="28"/>
      <c r="S607" s="27" t="s">
        <v>167</v>
      </c>
      <c r="T607" s="27" t="s">
        <v>883</v>
      </c>
      <c r="U607" s="27" t="s">
        <v>2656</v>
      </c>
    </row>
    <row r="608" spans="1:21" ht="16.5" hidden="1" customHeight="1" thickBot="1">
      <c r="A608" s="92" t="s">
        <v>162</v>
      </c>
      <c r="B608" s="93">
        <v>46259</v>
      </c>
      <c r="C608" s="92" t="s">
        <v>1015</v>
      </c>
      <c r="D608" s="92" t="s">
        <v>1016</v>
      </c>
      <c r="E608" s="92"/>
      <c r="F608" s="92" t="s">
        <v>165</v>
      </c>
      <c r="G608" s="88">
        <v>1077</v>
      </c>
      <c r="H608" s="88"/>
      <c r="I608" s="88">
        <v>1077</v>
      </c>
      <c r="J608" s="88">
        <v>0</v>
      </c>
      <c r="K608" s="88"/>
      <c r="L608" s="92"/>
      <c r="M608" s="92" t="s">
        <v>166</v>
      </c>
      <c r="N608"/>
      <c r="O608" s="20">
        <v>20260825</v>
      </c>
      <c r="P608" s="30">
        <v>202608250000029</v>
      </c>
      <c r="Q608" s="21">
        <v>1077</v>
      </c>
      <c r="R608" s="22"/>
      <c r="S608" s="21" t="s">
        <v>167</v>
      </c>
      <c r="T608" s="21" t="s">
        <v>264</v>
      </c>
      <c r="U608" s="21" t="s">
        <v>2657</v>
      </c>
    </row>
    <row r="609" spans="1:21" ht="16.5" hidden="1" customHeight="1" thickBot="1">
      <c r="A609" s="92" t="s">
        <v>162</v>
      </c>
      <c r="B609" s="93">
        <v>46259</v>
      </c>
      <c r="C609" s="92" t="s">
        <v>1617</v>
      </c>
      <c r="D609" s="92" t="s">
        <v>1618</v>
      </c>
      <c r="E609" s="92"/>
      <c r="F609" s="92" t="s">
        <v>165</v>
      </c>
      <c r="G609" s="88">
        <v>3850</v>
      </c>
      <c r="H609" s="88"/>
      <c r="I609" s="88">
        <v>3850</v>
      </c>
      <c r="J609" s="88">
        <v>0</v>
      </c>
      <c r="K609" s="88"/>
      <c r="L609" s="92"/>
      <c r="M609" s="92" t="s">
        <v>166</v>
      </c>
      <c r="N609"/>
      <c r="O609" s="26">
        <v>20260825</v>
      </c>
      <c r="P609" s="32">
        <v>202608250000030</v>
      </c>
      <c r="Q609" s="27">
        <v>3850</v>
      </c>
      <c r="R609" s="28"/>
      <c r="S609" s="27" t="s">
        <v>167</v>
      </c>
      <c r="T609" s="27" t="s">
        <v>608</v>
      </c>
      <c r="U609" s="27" t="s">
        <v>2658</v>
      </c>
    </row>
    <row r="610" spans="1:21" ht="16.5" hidden="1" customHeight="1" thickBot="1">
      <c r="A610" s="92" t="s">
        <v>162</v>
      </c>
      <c r="B610" s="93">
        <v>46259</v>
      </c>
      <c r="C610" s="92" t="s">
        <v>539</v>
      </c>
      <c r="D610" s="92" t="s">
        <v>540</v>
      </c>
      <c r="E610" s="92"/>
      <c r="F610" s="92" t="s">
        <v>165</v>
      </c>
      <c r="G610" s="88">
        <v>3850</v>
      </c>
      <c r="H610" s="88"/>
      <c r="I610" s="88">
        <v>3850</v>
      </c>
      <c r="J610" s="88">
        <v>0</v>
      </c>
      <c r="K610" s="88"/>
      <c r="L610" s="92"/>
      <c r="M610" s="92" t="s">
        <v>166</v>
      </c>
      <c r="N610"/>
      <c r="O610" s="23">
        <v>20260825</v>
      </c>
      <c r="P610" s="31">
        <v>202608250000031</v>
      </c>
      <c r="Q610" s="24">
        <v>3850</v>
      </c>
      <c r="R610" s="25"/>
      <c r="S610" s="24" t="s">
        <v>167</v>
      </c>
      <c r="T610" s="24" t="s">
        <v>821</v>
      </c>
      <c r="U610" s="24" t="s">
        <v>2659</v>
      </c>
    </row>
    <row r="611" spans="1:21" ht="16.5" customHeight="1" thickBot="1">
      <c r="A611" s="92" t="s">
        <v>162</v>
      </c>
      <c r="B611" s="93">
        <v>46259</v>
      </c>
      <c r="C611" s="92" t="e">
        <v>#N/A</v>
      </c>
      <c r="D611" s="92"/>
      <c r="E611" s="92"/>
      <c r="F611" s="92" t="s">
        <v>179</v>
      </c>
      <c r="G611" s="88">
        <v>2000</v>
      </c>
      <c r="H611" s="88">
        <v>2000</v>
      </c>
      <c r="I611" s="88">
        <v>0</v>
      </c>
      <c r="J611" s="88">
        <v>0</v>
      </c>
      <c r="K611" s="88"/>
      <c r="L611" s="92"/>
      <c r="M611" s="92" t="s">
        <v>166</v>
      </c>
      <c r="N611" t="s">
        <v>4132</v>
      </c>
      <c r="O611" s="26">
        <v>20260825</v>
      </c>
      <c r="P611" s="32">
        <v>202608250000032</v>
      </c>
      <c r="Q611" s="27">
        <v>2000</v>
      </c>
      <c r="R611" s="28"/>
      <c r="S611" s="27" t="s">
        <v>167</v>
      </c>
      <c r="T611" s="27" t="s">
        <v>239</v>
      </c>
      <c r="U611" s="27" t="s">
        <v>2660</v>
      </c>
    </row>
    <row r="612" spans="1:21" ht="21.75" hidden="1" customHeight="1" thickBot="1">
      <c r="A612" s="92" t="s">
        <v>162</v>
      </c>
      <c r="B612" s="93">
        <v>46259</v>
      </c>
      <c r="C612" s="92" t="s">
        <v>682</v>
      </c>
      <c r="D612" s="92" t="s">
        <v>683</v>
      </c>
      <c r="E612" s="92"/>
      <c r="F612" s="92" t="s">
        <v>165</v>
      </c>
      <c r="G612" s="88">
        <v>3850</v>
      </c>
      <c r="H612" s="88"/>
      <c r="I612" s="88">
        <v>3850</v>
      </c>
      <c r="J612" s="88">
        <v>0</v>
      </c>
      <c r="K612" s="88"/>
      <c r="L612" s="92"/>
      <c r="M612" s="92" t="s">
        <v>166</v>
      </c>
      <c r="O612" s="23">
        <v>20260825</v>
      </c>
      <c r="P612" s="31">
        <v>202608250000033</v>
      </c>
      <c r="Q612" s="24">
        <v>3850</v>
      </c>
      <c r="R612" s="25"/>
      <c r="S612" s="24" t="s">
        <v>167</v>
      </c>
      <c r="T612" s="24" t="s">
        <v>1036</v>
      </c>
      <c r="U612" s="24" t="s">
        <v>2661</v>
      </c>
    </row>
    <row r="613" spans="1:21" ht="16.5" hidden="1" customHeight="1" thickBot="1">
      <c r="A613" s="92" t="s">
        <v>162</v>
      </c>
      <c r="B613" s="93">
        <v>46259</v>
      </c>
      <c r="C613" s="92" t="s">
        <v>899</v>
      </c>
      <c r="D613" s="92" t="s">
        <v>900</v>
      </c>
      <c r="E613" s="92"/>
      <c r="F613" s="92" t="s">
        <v>165</v>
      </c>
      <c r="G613" s="88">
        <v>4186</v>
      </c>
      <c r="H613" s="88"/>
      <c r="I613" s="88">
        <v>4186</v>
      </c>
      <c r="J613" s="88">
        <v>0</v>
      </c>
      <c r="K613" s="88"/>
      <c r="L613" s="92"/>
      <c r="M613" s="92" t="s">
        <v>166</v>
      </c>
      <c r="N613"/>
      <c r="O613" s="26">
        <v>20260825</v>
      </c>
      <c r="P613" s="32">
        <v>202608250000034</v>
      </c>
      <c r="Q613" s="27">
        <v>4186</v>
      </c>
      <c r="R613" s="28"/>
      <c r="S613" s="27" t="s">
        <v>167</v>
      </c>
      <c r="T613" s="27" t="s">
        <v>901</v>
      </c>
      <c r="U613" s="27" t="s">
        <v>2662</v>
      </c>
    </row>
    <row r="614" spans="1:21" ht="16.5" hidden="1" customHeight="1" thickBot="1">
      <c r="A614" s="92" t="s">
        <v>162</v>
      </c>
      <c r="B614" s="93">
        <v>46259</v>
      </c>
      <c r="C614" s="92" t="s">
        <v>1870</v>
      </c>
      <c r="D614" s="92" t="s">
        <v>1871</v>
      </c>
      <c r="E614" s="92"/>
      <c r="F614" s="92" t="s">
        <v>165</v>
      </c>
      <c r="G614" s="88">
        <v>3900</v>
      </c>
      <c r="H614" s="88"/>
      <c r="I614" s="88">
        <v>3900</v>
      </c>
      <c r="J614" s="88">
        <v>0</v>
      </c>
      <c r="K614" s="88"/>
      <c r="L614" s="92"/>
      <c r="M614" s="92" t="s">
        <v>166</v>
      </c>
      <c r="N614"/>
      <c r="O614" s="23">
        <v>20260825</v>
      </c>
      <c r="P614" s="31">
        <v>202608250000035</v>
      </c>
      <c r="Q614" s="24">
        <v>3900</v>
      </c>
      <c r="R614" s="25"/>
      <c r="S614" s="24" t="s">
        <v>167</v>
      </c>
      <c r="T614" s="24" t="s">
        <v>2663</v>
      </c>
      <c r="U614" s="24" t="s">
        <v>2664</v>
      </c>
    </row>
    <row r="615" spans="1:21" ht="16.5" hidden="1" customHeight="1" thickBot="1">
      <c r="A615" s="92" t="s">
        <v>162</v>
      </c>
      <c r="B615" s="93">
        <v>46259</v>
      </c>
      <c r="C615" s="92" t="s">
        <v>3206</v>
      </c>
      <c r="D615" s="92" t="s">
        <v>3207</v>
      </c>
      <c r="E615" s="92"/>
      <c r="F615" s="92" t="s">
        <v>165</v>
      </c>
      <c r="G615" s="88">
        <v>7700</v>
      </c>
      <c r="H615" s="88"/>
      <c r="I615" s="88">
        <v>7700</v>
      </c>
      <c r="J615" s="88">
        <v>0</v>
      </c>
      <c r="K615" s="88"/>
      <c r="L615" s="92"/>
      <c r="M615" s="92" t="s">
        <v>166</v>
      </c>
      <c r="N615"/>
      <c r="O615" s="26">
        <v>20260825</v>
      </c>
      <c r="P615" s="32">
        <v>202608250000036</v>
      </c>
      <c r="Q615" s="27">
        <v>7700</v>
      </c>
      <c r="R615" s="28"/>
      <c r="S615" s="27" t="s">
        <v>167</v>
      </c>
      <c r="T615" s="27" t="s">
        <v>2665</v>
      </c>
      <c r="U615" s="27" t="s">
        <v>2666</v>
      </c>
    </row>
    <row r="616" spans="1:21" ht="21.75" hidden="1" customHeight="1" thickBot="1">
      <c r="A616" s="92" t="s">
        <v>162</v>
      </c>
      <c r="B616" s="93">
        <v>46259</v>
      </c>
      <c r="C616" s="92" t="s">
        <v>1002</v>
      </c>
      <c r="D616" s="92" t="s">
        <v>1003</v>
      </c>
      <c r="E616" s="92"/>
      <c r="F616" s="92" t="s">
        <v>165</v>
      </c>
      <c r="G616" s="88">
        <v>3850</v>
      </c>
      <c r="H616" s="88"/>
      <c r="I616" s="88">
        <v>3850</v>
      </c>
      <c r="J616" s="88">
        <v>0</v>
      </c>
      <c r="K616" s="88"/>
      <c r="L616" s="92"/>
      <c r="M616" s="92" t="s">
        <v>166</v>
      </c>
      <c r="O616" s="23">
        <v>20260825</v>
      </c>
      <c r="P616" s="31">
        <v>202608250000037</v>
      </c>
      <c r="Q616" s="24">
        <v>3850</v>
      </c>
      <c r="R616" s="25"/>
      <c r="S616" s="24" t="s">
        <v>184</v>
      </c>
      <c r="T616" s="24" t="s">
        <v>1057</v>
      </c>
      <c r="U616" s="24" t="s">
        <v>2667</v>
      </c>
    </row>
    <row r="617" spans="1:21" ht="16.5" hidden="1" customHeight="1" thickBot="1">
      <c r="A617" s="92" t="s">
        <v>162</v>
      </c>
      <c r="B617" s="93">
        <v>46259</v>
      </c>
      <c r="C617" s="92" t="s">
        <v>1055</v>
      </c>
      <c r="D617" s="92" t="s">
        <v>1056</v>
      </c>
      <c r="E617" s="92"/>
      <c r="F617" s="92" t="s">
        <v>165</v>
      </c>
      <c r="G617" s="88">
        <v>3850</v>
      </c>
      <c r="H617" s="88"/>
      <c r="I617" s="88">
        <v>3850</v>
      </c>
      <c r="J617" s="88">
        <v>0</v>
      </c>
      <c r="K617" s="88"/>
      <c r="L617" s="92"/>
      <c r="M617" s="92" t="s">
        <v>166</v>
      </c>
      <c r="O617" s="26">
        <v>20260825</v>
      </c>
      <c r="P617" s="32">
        <v>202608250000038</v>
      </c>
      <c r="Q617" s="27">
        <v>3850</v>
      </c>
      <c r="R617" s="28"/>
      <c r="S617" s="27" t="s">
        <v>167</v>
      </c>
      <c r="T617" s="27" t="s">
        <v>716</v>
      </c>
      <c r="U617" s="27" t="s">
        <v>2668</v>
      </c>
    </row>
    <row r="618" spans="1:21" ht="16.5" customHeight="1" thickBot="1">
      <c r="A618" s="92" t="s">
        <v>3293</v>
      </c>
      <c r="B618" s="93">
        <v>46259</v>
      </c>
      <c r="C618" s="92" t="s">
        <v>214</v>
      </c>
      <c r="D618" s="92" t="s">
        <v>215</v>
      </c>
      <c r="E618" s="92"/>
      <c r="F618" s="92" t="s">
        <v>179</v>
      </c>
      <c r="G618" s="88">
        <v>6850</v>
      </c>
      <c r="H618" s="88">
        <v>6850</v>
      </c>
      <c r="I618" s="88">
        <v>0</v>
      </c>
      <c r="J618" s="88">
        <v>0</v>
      </c>
      <c r="K618" s="88"/>
      <c r="L618" s="92"/>
      <c r="M618" s="92" t="s">
        <v>175</v>
      </c>
      <c r="N618" t="s">
        <v>4208</v>
      </c>
      <c r="O618" s="23">
        <v>20260825</v>
      </c>
      <c r="P618" s="31">
        <v>202608250000039</v>
      </c>
      <c r="Q618" s="24">
        <v>6850</v>
      </c>
      <c r="R618" s="25"/>
      <c r="S618" s="24" t="s">
        <v>167</v>
      </c>
      <c r="T618" s="24" t="s">
        <v>2669</v>
      </c>
      <c r="U618" s="24" t="s">
        <v>2670</v>
      </c>
    </row>
    <row r="619" spans="1:21" ht="16.5" hidden="1" customHeight="1" thickBot="1">
      <c r="A619" s="92" t="s">
        <v>172</v>
      </c>
      <c r="B619" s="93">
        <v>46259</v>
      </c>
      <c r="C619" s="92" t="s">
        <v>2930</v>
      </c>
      <c r="D619" s="92" t="s">
        <v>2931</v>
      </c>
      <c r="E619" s="92"/>
      <c r="F619" s="92" t="s">
        <v>165</v>
      </c>
      <c r="G619" s="88">
        <v>2800</v>
      </c>
      <c r="H619" s="88"/>
      <c r="I619" s="88">
        <v>2800</v>
      </c>
      <c r="J619" s="88">
        <v>0</v>
      </c>
      <c r="K619" s="88"/>
      <c r="L619" s="92"/>
      <c r="M619" s="92" t="s">
        <v>175</v>
      </c>
      <c r="O619" s="26">
        <v>20260825</v>
      </c>
      <c r="P619" s="32">
        <v>202608250000040</v>
      </c>
      <c r="Q619" s="27">
        <v>2800</v>
      </c>
      <c r="R619" s="28"/>
      <c r="S619" s="27" t="s">
        <v>167</v>
      </c>
      <c r="T619" s="27" t="s">
        <v>2671</v>
      </c>
      <c r="U619" s="27" t="s">
        <v>2672</v>
      </c>
    </row>
    <row r="620" spans="1:21" ht="16.5" hidden="1" customHeight="1" thickBot="1">
      <c r="A620" s="92" t="s">
        <v>162</v>
      </c>
      <c r="B620" s="93">
        <v>46259</v>
      </c>
      <c r="C620" s="92" t="s">
        <v>3208</v>
      </c>
      <c r="D620" s="92" t="s">
        <v>3209</v>
      </c>
      <c r="E620" s="92"/>
      <c r="F620" s="92" t="s">
        <v>165</v>
      </c>
      <c r="G620" s="88">
        <v>3850</v>
      </c>
      <c r="H620" s="88"/>
      <c r="I620" s="88">
        <v>3850</v>
      </c>
      <c r="J620" s="88">
        <v>0</v>
      </c>
      <c r="K620" s="88"/>
      <c r="L620" s="92"/>
      <c r="M620" s="92" t="s">
        <v>166</v>
      </c>
      <c r="N620"/>
      <c r="O620" s="23">
        <v>20260825</v>
      </c>
      <c r="P620" s="31">
        <v>202608250000041</v>
      </c>
      <c r="Q620" s="24">
        <v>3850</v>
      </c>
      <c r="R620" s="25"/>
      <c r="S620" s="24" t="s">
        <v>167</v>
      </c>
      <c r="T620" s="24" t="s">
        <v>1044</v>
      </c>
      <c r="U620" s="24" t="s">
        <v>2673</v>
      </c>
    </row>
    <row r="621" spans="1:21" ht="32.25" hidden="1" customHeight="1" thickBot="1">
      <c r="A621" s="92" t="s">
        <v>162</v>
      </c>
      <c r="B621" s="93">
        <v>46259</v>
      </c>
      <c r="C621" s="92" t="s">
        <v>1042</v>
      </c>
      <c r="D621" s="92" t="s">
        <v>1043</v>
      </c>
      <c r="E621" s="92"/>
      <c r="F621" s="92" t="s">
        <v>165</v>
      </c>
      <c r="G621" s="88">
        <v>3850</v>
      </c>
      <c r="H621" s="88"/>
      <c r="I621" s="88">
        <v>3850</v>
      </c>
      <c r="J621" s="88">
        <v>0</v>
      </c>
      <c r="K621" s="88"/>
      <c r="L621" s="92"/>
      <c r="M621" s="92" t="s">
        <v>166</v>
      </c>
      <c r="N621"/>
      <c r="O621" s="20">
        <v>20260825</v>
      </c>
      <c r="P621" s="30">
        <v>202608250000042</v>
      </c>
      <c r="Q621" s="21">
        <v>3850</v>
      </c>
      <c r="R621" s="22"/>
      <c r="S621" s="21" t="s">
        <v>167</v>
      </c>
      <c r="T621" s="21" t="s">
        <v>908</v>
      </c>
      <c r="U621" s="21" t="s">
        <v>2674</v>
      </c>
    </row>
    <row r="622" spans="1:21" ht="16.5" hidden="1" customHeight="1" thickBot="1">
      <c r="A622" s="92" t="s">
        <v>172</v>
      </c>
      <c r="B622" s="93">
        <v>46259</v>
      </c>
      <c r="C622" s="92" t="s">
        <v>642</v>
      </c>
      <c r="D622" s="92" t="s">
        <v>643</v>
      </c>
      <c r="E622" s="92"/>
      <c r="F622" s="92" t="s">
        <v>165</v>
      </c>
      <c r="G622" s="88">
        <v>3850</v>
      </c>
      <c r="H622" s="88"/>
      <c r="I622" s="88">
        <v>3850</v>
      </c>
      <c r="J622" s="88">
        <v>0</v>
      </c>
      <c r="K622" s="88"/>
      <c r="L622" s="92"/>
      <c r="M622" s="92" t="s">
        <v>175</v>
      </c>
      <c r="N622"/>
      <c r="O622" s="23">
        <v>20260825</v>
      </c>
      <c r="P622" s="31">
        <v>202608250000043</v>
      </c>
      <c r="Q622" s="24">
        <v>3850</v>
      </c>
      <c r="R622" s="25"/>
      <c r="S622" s="24" t="s">
        <v>184</v>
      </c>
      <c r="T622" s="24" t="s">
        <v>928</v>
      </c>
      <c r="U622" s="24" t="s">
        <v>2675</v>
      </c>
    </row>
    <row r="623" spans="1:21" ht="16.5" hidden="1" customHeight="1" thickBot="1">
      <c r="A623" s="92" t="s">
        <v>162</v>
      </c>
      <c r="B623" s="93">
        <v>46259</v>
      </c>
      <c r="C623" s="92" t="s">
        <v>959</v>
      </c>
      <c r="D623" s="92" t="s">
        <v>960</v>
      </c>
      <c r="E623" s="92"/>
      <c r="F623" s="92" t="s">
        <v>165</v>
      </c>
      <c r="G623" s="88">
        <v>3850</v>
      </c>
      <c r="H623" s="88"/>
      <c r="I623" s="88">
        <v>3850</v>
      </c>
      <c r="J623" s="88">
        <v>0</v>
      </c>
      <c r="K623" s="88"/>
      <c r="L623" s="92"/>
      <c r="M623" s="92" t="s">
        <v>166</v>
      </c>
      <c r="N623"/>
      <c r="O623" s="26">
        <v>20260825</v>
      </c>
      <c r="P623" s="32">
        <v>202608250000044</v>
      </c>
      <c r="Q623" s="27">
        <v>3850</v>
      </c>
      <c r="R623" s="28"/>
      <c r="S623" s="27" t="s">
        <v>167</v>
      </c>
      <c r="T623" s="27" t="s">
        <v>320</v>
      </c>
      <c r="U623" s="27" t="s">
        <v>2676</v>
      </c>
    </row>
    <row r="624" spans="1:21" ht="16.5" hidden="1" customHeight="1" thickBot="1">
      <c r="A624" s="92" t="s">
        <v>162</v>
      </c>
      <c r="B624" s="93">
        <v>46259</v>
      </c>
      <c r="C624" s="92" t="s">
        <v>860</v>
      </c>
      <c r="D624" s="92" t="s">
        <v>861</v>
      </c>
      <c r="E624" s="92"/>
      <c r="F624" s="92" t="s">
        <v>165</v>
      </c>
      <c r="G624" s="88">
        <v>3850</v>
      </c>
      <c r="H624" s="88"/>
      <c r="I624" s="88">
        <v>3850</v>
      </c>
      <c r="J624" s="88">
        <v>0</v>
      </c>
      <c r="K624" s="88"/>
      <c r="L624" s="92"/>
      <c r="M624" s="92" t="s">
        <v>166</v>
      </c>
      <c r="N624"/>
      <c r="O624" s="23">
        <v>20260825</v>
      </c>
      <c r="P624" s="31">
        <v>202608250000045</v>
      </c>
      <c r="Q624" s="24">
        <v>3850</v>
      </c>
      <c r="R624" s="25"/>
      <c r="S624" s="24" t="s">
        <v>167</v>
      </c>
      <c r="T624" s="24" t="s">
        <v>323</v>
      </c>
      <c r="U624" s="24" t="s">
        <v>2677</v>
      </c>
    </row>
    <row r="625" spans="1:21" ht="16.5" hidden="1" customHeight="1" thickBot="1">
      <c r="A625" s="92" t="s">
        <v>162</v>
      </c>
      <c r="B625" s="93">
        <v>46259</v>
      </c>
      <c r="C625" s="92" t="s">
        <v>492</v>
      </c>
      <c r="D625" s="92" t="s">
        <v>493</v>
      </c>
      <c r="E625" s="92"/>
      <c r="F625" s="92" t="s">
        <v>165</v>
      </c>
      <c r="G625" s="88">
        <v>3850</v>
      </c>
      <c r="H625" s="88"/>
      <c r="I625" s="88">
        <v>3850</v>
      </c>
      <c r="J625" s="88">
        <v>0</v>
      </c>
      <c r="K625" s="88"/>
      <c r="L625" s="92"/>
      <c r="M625" s="92" t="s">
        <v>166</v>
      </c>
      <c r="N625"/>
      <c r="O625" s="26">
        <v>20260825</v>
      </c>
      <c r="P625" s="32">
        <v>202608250000046</v>
      </c>
      <c r="Q625" s="27">
        <v>3850</v>
      </c>
      <c r="R625" s="28"/>
      <c r="S625" s="27" t="s">
        <v>167</v>
      </c>
      <c r="T625" s="27" t="s">
        <v>977</v>
      </c>
      <c r="U625" s="27" t="s">
        <v>2678</v>
      </c>
    </row>
    <row r="626" spans="1:21" ht="16.5" hidden="1" customHeight="1" thickBot="1">
      <c r="A626" s="92" t="s">
        <v>162</v>
      </c>
      <c r="B626" s="93">
        <v>46259</v>
      </c>
      <c r="C626" s="92" t="s">
        <v>967</v>
      </c>
      <c r="D626" s="92" t="s">
        <v>968</v>
      </c>
      <c r="E626" s="92"/>
      <c r="F626" s="92" t="s">
        <v>165</v>
      </c>
      <c r="G626" s="88">
        <v>3850</v>
      </c>
      <c r="H626" s="88"/>
      <c r="I626" s="88">
        <v>3850</v>
      </c>
      <c r="J626" s="88">
        <v>0</v>
      </c>
      <c r="K626" s="88"/>
      <c r="L626" s="92"/>
      <c r="M626" s="92" t="s">
        <v>166</v>
      </c>
      <c r="N626"/>
      <c r="O626" s="23">
        <v>20260825</v>
      </c>
      <c r="P626" s="31">
        <v>202608250000047</v>
      </c>
      <c r="Q626" s="24">
        <v>3850</v>
      </c>
      <c r="R626" s="25"/>
      <c r="S626" s="24" t="s">
        <v>167</v>
      </c>
      <c r="T626" s="24" t="s">
        <v>907</v>
      </c>
      <c r="U626" s="24" t="s">
        <v>2679</v>
      </c>
    </row>
    <row r="627" spans="1:21" ht="16.5" hidden="1" customHeight="1" thickBot="1">
      <c r="A627" s="92" t="s">
        <v>162</v>
      </c>
      <c r="B627" s="93">
        <v>46259</v>
      </c>
      <c r="C627" s="92" t="s">
        <v>1013</v>
      </c>
      <c r="D627" s="92" t="s">
        <v>1014</v>
      </c>
      <c r="E627" s="92"/>
      <c r="F627" s="92" t="s">
        <v>165</v>
      </c>
      <c r="G627" s="88">
        <v>3453</v>
      </c>
      <c r="H627" s="88"/>
      <c r="I627" s="88">
        <v>3453</v>
      </c>
      <c r="J627" s="88">
        <v>0</v>
      </c>
      <c r="K627" s="88"/>
      <c r="L627" s="92"/>
      <c r="M627" s="92" t="s">
        <v>166</v>
      </c>
      <c r="O627" s="26">
        <v>20260825</v>
      </c>
      <c r="P627" s="32">
        <v>202608250000048</v>
      </c>
      <c r="Q627" s="27">
        <v>3453</v>
      </c>
      <c r="R627" s="28"/>
      <c r="S627" s="27" t="s">
        <v>167</v>
      </c>
      <c r="T627" s="27" t="s">
        <v>698</v>
      </c>
      <c r="U627" s="27" t="s">
        <v>2680</v>
      </c>
    </row>
    <row r="628" spans="1:21" ht="16.5" hidden="1" customHeight="1" thickBot="1">
      <c r="A628" s="92" t="s">
        <v>162</v>
      </c>
      <c r="B628" s="93">
        <v>46259</v>
      </c>
      <c r="C628" s="92" t="s">
        <v>1937</v>
      </c>
      <c r="D628" s="92" t="s">
        <v>1938</v>
      </c>
      <c r="E628" s="92"/>
      <c r="F628" s="92" t="s">
        <v>165</v>
      </c>
      <c r="G628" s="88">
        <v>8050</v>
      </c>
      <c r="H628" s="88"/>
      <c r="I628" s="88">
        <v>8050</v>
      </c>
      <c r="J628" s="88">
        <v>0</v>
      </c>
      <c r="K628" s="88"/>
      <c r="L628" s="92"/>
      <c r="M628" s="92" t="s">
        <v>166</v>
      </c>
      <c r="N628"/>
      <c r="O628" s="23">
        <v>20260825</v>
      </c>
      <c r="P628" s="31">
        <v>202608250000049</v>
      </c>
      <c r="Q628" s="24">
        <v>8050</v>
      </c>
      <c r="R628" s="25"/>
      <c r="S628" s="24" t="s">
        <v>167</v>
      </c>
      <c r="T628" s="24" t="s">
        <v>2681</v>
      </c>
      <c r="U628" s="24" t="s">
        <v>2682</v>
      </c>
    </row>
    <row r="629" spans="1:21" ht="21.75" hidden="1" customHeight="1" thickBot="1">
      <c r="A629" s="92" t="s">
        <v>3293</v>
      </c>
      <c r="B629" s="93">
        <v>46259</v>
      </c>
      <c r="C629" s="92" t="s">
        <v>929</v>
      </c>
      <c r="D629" s="92" t="s">
        <v>930</v>
      </c>
      <c r="E629" s="92"/>
      <c r="F629" s="92" t="s">
        <v>165</v>
      </c>
      <c r="G629" s="88">
        <v>9200</v>
      </c>
      <c r="H629" s="88">
        <v>5000</v>
      </c>
      <c r="I629" s="88">
        <v>4200</v>
      </c>
      <c r="J629" s="88">
        <v>0</v>
      </c>
      <c r="K629" s="88"/>
      <c r="L629" s="92"/>
      <c r="M629" s="92" t="s">
        <v>175</v>
      </c>
      <c r="O629" s="26">
        <v>20260825</v>
      </c>
      <c r="P629" s="32">
        <v>202608250000050</v>
      </c>
      <c r="Q629" s="27">
        <v>9200</v>
      </c>
      <c r="R629" s="28"/>
      <c r="S629" s="27" t="s">
        <v>167</v>
      </c>
      <c r="T629" s="27" t="s">
        <v>2683</v>
      </c>
      <c r="U629" s="27" t="s">
        <v>2684</v>
      </c>
    </row>
    <row r="630" spans="1:21" ht="16.5" hidden="1" customHeight="1" thickBot="1">
      <c r="A630" s="92" t="s">
        <v>162</v>
      </c>
      <c r="B630" s="93">
        <v>46259</v>
      </c>
      <c r="C630" s="92" t="s">
        <v>905</v>
      </c>
      <c r="D630" s="92" t="s">
        <v>906</v>
      </c>
      <c r="E630" s="92"/>
      <c r="F630" s="92" t="s">
        <v>165</v>
      </c>
      <c r="G630" s="88">
        <v>3850</v>
      </c>
      <c r="H630" s="88"/>
      <c r="I630" s="88">
        <v>3850</v>
      </c>
      <c r="J630" s="88">
        <v>0</v>
      </c>
      <c r="K630" s="88"/>
      <c r="L630" s="92"/>
      <c r="M630" s="92" t="s">
        <v>166</v>
      </c>
      <c r="N630"/>
      <c r="O630" s="23">
        <v>20260825</v>
      </c>
      <c r="P630" s="31">
        <v>202608250000051</v>
      </c>
      <c r="Q630" s="24">
        <v>3850</v>
      </c>
      <c r="R630" s="25"/>
      <c r="S630" s="24" t="s">
        <v>167</v>
      </c>
      <c r="T630" s="24" t="s">
        <v>681</v>
      </c>
      <c r="U630" s="24" t="s">
        <v>2685</v>
      </c>
    </row>
    <row r="631" spans="1:21" ht="16.5" hidden="1" customHeight="1" thickBot="1">
      <c r="A631" s="92" t="s">
        <v>162</v>
      </c>
      <c r="B631" s="93">
        <v>46259</v>
      </c>
      <c r="C631" s="92" t="s">
        <v>679</v>
      </c>
      <c r="D631" s="92" t="s">
        <v>680</v>
      </c>
      <c r="E631" s="92"/>
      <c r="F631" s="92" t="s">
        <v>165</v>
      </c>
      <c r="G631" s="88">
        <v>3850</v>
      </c>
      <c r="H631" s="88"/>
      <c r="I631" s="88">
        <v>3850</v>
      </c>
      <c r="J631" s="88">
        <v>0</v>
      </c>
      <c r="K631" s="88"/>
      <c r="L631" s="92"/>
      <c r="M631" s="92" t="s">
        <v>166</v>
      </c>
      <c r="N631"/>
      <c r="O631" s="26">
        <v>20260825</v>
      </c>
      <c r="P631" s="32">
        <v>202608250000052</v>
      </c>
      <c r="Q631" s="27">
        <v>3850</v>
      </c>
      <c r="R631" s="28"/>
      <c r="S631" s="27" t="s">
        <v>167</v>
      </c>
      <c r="T631" s="27" t="s">
        <v>935</v>
      </c>
      <c r="U631" s="27" t="s">
        <v>2686</v>
      </c>
    </row>
    <row r="632" spans="1:21" ht="16.5" hidden="1" customHeight="1" thickBot="1">
      <c r="A632" s="92" t="s">
        <v>162</v>
      </c>
      <c r="B632" s="93">
        <v>46259</v>
      </c>
      <c r="C632" s="92" t="s">
        <v>961</v>
      </c>
      <c r="D632" s="92" t="s">
        <v>962</v>
      </c>
      <c r="E632" s="92"/>
      <c r="F632" s="92" t="s">
        <v>165</v>
      </c>
      <c r="G632" s="88">
        <v>3850</v>
      </c>
      <c r="H632" s="88"/>
      <c r="I632" s="88">
        <v>3850</v>
      </c>
      <c r="J632" s="88">
        <v>0</v>
      </c>
      <c r="K632" s="88"/>
      <c r="L632" s="92"/>
      <c r="M632" s="92" t="s">
        <v>166</v>
      </c>
      <c r="N632"/>
      <c r="O632" s="23">
        <v>20260825</v>
      </c>
      <c r="P632" s="31">
        <v>202608250000053</v>
      </c>
      <c r="Q632" s="24">
        <v>3850</v>
      </c>
      <c r="R632" s="25"/>
      <c r="S632" s="24" t="s">
        <v>167</v>
      </c>
      <c r="T632" s="24" t="s">
        <v>504</v>
      </c>
      <c r="U632" s="24" t="s">
        <v>2687</v>
      </c>
    </row>
    <row r="633" spans="1:21" ht="16.5" hidden="1" customHeight="1" thickBot="1">
      <c r="A633" s="92" t="s">
        <v>162</v>
      </c>
      <c r="B633" s="93">
        <v>46259</v>
      </c>
      <c r="C633" s="92" t="s">
        <v>1023</v>
      </c>
      <c r="D633" s="92" t="s">
        <v>1024</v>
      </c>
      <c r="E633" s="92"/>
      <c r="F633" s="92" t="s">
        <v>165</v>
      </c>
      <c r="G633" s="88">
        <v>3850</v>
      </c>
      <c r="H633" s="88"/>
      <c r="I633" s="88">
        <v>3850</v>
      </c>
      <c r="J633" s="88">
        <v>0</v>
      </c>
      <c r="K633" s="88"/>
      <c r="L633" s="92"/>
      <c r="M633" s="92" t="s">
        <v>166</v>
      </c>
      <c r="N633"/>
      <c r="O633" s="26">
        <v>20260825</v>
      </c>
      <c r="P633" s="32">
        <v>202608250000054</v>
      </c>
      <c r="Q633" s="27">
        <v>3850</v>
      </c>
      <c r="R633" s="28"/>
      <c r="S633" s="27" t="s">
        <v>167</v>
      </c>
      <c r="T633" s="27" t="s">
        <v>208</v>
      </c>
      <c r="U633" s="27" t="s">
        <v>2688</v>
      </c>
    </row>
    <row r="634" spans="1:21" ht="16.5" hidden="1" customHeight="1" thickBot="1">
      <c r="A634" s="92" t="s">
        <v>162</v>
      </c>
      <c r="B634" s="93">
        <v>46259</v>
      </c>
      <c r="C634" s="92" t="s">
        <v>1004</v>
      </c>
      <c r="D634" s="92" t="s">
        <v>1005</v>
      </c>
      <c r="E634" s="92"/>
      <c r="F634" s="92" t="s">
        <v>165</v>
      </c>
      <c r="G634" s="88">
        <v>4200</v>
      </c>
      <c r="H634" s="88"/>
      <c r="I634" s="88">
        <v>4200</v>
      </c>
      <c r="J634" s="88">
        <v>0</v>
      </c>
      <c r="K634" s="88"/>
      <c r="L634" s="92"/>
      <c r="M634" s="92" t="s">
        <v>166</v>
      </c>
      <c r="O634" s="23">
        <v>20260825</v>
      </c>
      <c r="P634" s="31">
        <v>202608250000055</v>
      </c>
      <c r="Q634" s="24">
        <v>4200</v>
      </c>
      <c r="R634" s="25"/>
      <c r="S634" s="24" t="s">
        <v>167</v>
      </c>
      <c r="T634" s="24" t="s">
        <v>971</v>
      </c>
      <c r="U634" s="24" t="s">
        <v>2689</v>
      </c>
    </row>
    <row r="635" spans="1:21" ht="16.5" hidden="1" customHeight="1" thickBot="1">
      <c r="A635" s="92" t="s">
        <v>162</v>
      </c>
      <c r="B635" s="93">
        <v>46259</v>
      </c>
      <c r="C635" s="92" t="s">
        <v>1120</v>
      </c>
      <c r="D635" s="92" t="s">
        <v>1121</v>
      </c>
      <c r="E635" s="92"/>
      <c r="F635" s="92" t="s">
        <v>165</v>
      </c>
      <c r="G635" s="88">
        <v>3850</v>
      </c>
      <c r="H635" s="88"/>
      <c r="I635" s="88">
        <v>3850</v>
      </c>
      <c r="J635" s="88">
        <v>0</v>
      </c>
      <c r="K635" s="88"/>
      <c r="L635" s="92"/>
      <c r="M635" s="92" t="s">
        <v>166</v>
      </c>
      <c r="N635"/>
      <c r="O635" s="26">
        <v>20260825</v>
      </c>
      <c r="P635" s="32">
        <v>202608250000056</v>
      </c>
      <c r="Q635" s="27">
        <v>3850</v>
      </c>
      <c r="R635" s="28"/>
      <c r="S635" s="27" t="s">
        <v>184</v>
      </c>
      <c r="T635" s="27" t="s">
        <v>1098</v>
      </c>
      <c r="U635" s="27" t="s">
        <v>2690</v>
      </c>
    </row>
    <row r="636" spans="1:21" ht="16.5" hidden="1" customHeight="1" thickBot="1">
      <c r="A636" s="92" t="s">
        <v>162</v>
      </c>
      <c r="B636" s="93">
        <v>46259</v>
      </c>
      <c r="C636" s="92" t="s">
        <v>1913</v>
      </c>
      <c r="D636" s="92" t="s">
        <v>1914</v>
      </c>
      <c r="E636" s="92"/>
      <c r="F636" s="92" t="s">
        <v>165</v>
      </c>
      <c r="G636" s="88">
        <v>2800</v>
      </c>
      <c r="H636" s="88"/>
      <c r="I636" s="88">
        <v>2800</v>
      </c>
      <c r="J636" s="88">
        <v>0</v>
      </c>
      <c r="K636" s="88"/>
      <c r="L636" s="92"/>
      <c r="M636" s="92" t="s">
        <v>166</v>
      </c>
      <c r="N636"/>
      <c r="O636" s="23">
        <v>20260825</v>
      </c>
      <c r="P636" s="31">
        <v>202608250000057</v>
      </c>
      <c r="Q636" s="24">
        <v>2800</v>
      </c>
      <c r="R636" s="25"/>
      <c r="S636" s="24" t="s">
        <v>167</v>
      </c>
      <c r="T636" s="24" t="s">
        <v>2691</v>
      </c>
      <c r="U636" s="24" t="s">
        <v>2692</v>
      </c>
    </row>
    <row r="637" spans="1:21" ht="16.5" hidden="1" customHeight="1" thickBot="1">
      <c r="A637" s="92" t="s">
        <v>162</v>
      </c>
      <c r="B637" s="93">
        <v>46259</v>
      </c>
      <c r="C637" s="92" t="s">
        <v>1096</v>
      </c>
      <c r="D637" s="92" t="s">
        <v>1097</v>
      </c>
      <c r="E637" s="92"/>
      <c r="F637" s="92" t="s">
        <v>165</v>
      </c>
      <c r="G637" s="88">
        <v>3850</v>
      </c>
      <c r="H637" s="88"/>
      <c r="I637" s="88">
        <v>3850</v>
      </c>
      <c r="J637" s="88">
        <v>0</v>
      </c>
      <c r="K637" s="88"/>
      <c r="L637" s="92"/>
      <c r="M637" s="92" t="s">
        <v>166</v>
      </c>
      <c r="N637"/>
      <c r="O637" s="26">
        <v>20260825</v>
      </c>
      <c r="P637" s="32">
        <v>202608250000058</v>
      </c>
      <c r="Q637" s="27">
        <v>3850</v>
      </c>
      <c r="R637" s="28"/>
      <c r="S637" s="27" t="s">
        <v>184</v>
      </c>
      <c r="T637" s="27" t="s">
        <v>2693</v>
      </c>
      <c r="U637" s="27" t="s">
        <v>2694</v>
      </c>
    </row>
    <row r="638" spans="1:21" ht="16.5" hidden="1" customHeight="1" thickBot="1">
      <c r="A638" s="92" t="s">
        <v>162</v>
      </c>
      <c r="B638" s="93">
        <v>46259</v>
      </c>
      <c r="C638" s="92" t="s">
        <v>351</v>
      </c>
      <c r="D638" s="92" t="s">
        <v>352</v>
      </c>
      <c r="E638" s="92"/>
      <c r="F638" s="92" t="s">
        <v>165</v>
      </c>
      <c r="G638" s="88">
        <v>3850</v>
      </c>
      <c r="H638" s="88"/>
      <c r="I638" s="88">
        <v>3850</v>
      </c>
      <c r="J638" s="88">
        <v>0</v>
      </c>
      <c r="K638" s="88"/>
      <c r="L638" s="92"/>
      <c r="M638" s="92" t="s">
        <v>166</v>
      </c>
      <c r="N638"/>
      <c r="O638" s="23">
        <v>20260825</v>
      </c>
      <c r="P638" s="31">
        <v>202608250000059</v>
      </c>
      <c r="Q638" s="24">
        <v>3850</v>
      </c>
      <c r="R638" s="25"/>
      <c r="S638" s="24" t="s">
        <v>167</v>
      </c>
      <c r="T638" s="24" t="s">
        <v>945</v>
      </c>
      <c r="U638" s="24" t="s">
        <v>2695</v>
      </c>
    </row>
    <row r="639" spans="1:21" ht="16.5" hidden="1" customHeight="1" thickBot="1">
      <c r="A639" s="92" t="s">
        <v>162</v>
      </c>
      <c r="B639" s="93">
        <v>46259</v>
      </c>
      <c r="C639" s="92" t="s">
        <v>637</v>
      </c>
      <c r="D639" s="92" t="s">
        <v>638</v>
      </c>
      <c r="E639" s="92"/>
      <c r="F639" s="92" t="s">
        <v>165</v>
      </c>
      <c r="G639" s="88">
        <v>3850</v>
      </c>
      <c r="H639" s="88"/>
      <c r="I639" s="88">
        <v>3850</v>
      </c>
      <c r="J639" s="88">
        <v>0</v>
      </c>
      <c r="K639" s="88"/>
      <c r="L639" s="92"/>
      <c r="M639" s="92" t="s">
        <v>166</v>
      </c>
      <c r="O639" s="26">
        <v>20260825</v>
      </c>
      <c r="P639" s="32">
        <v>202608250000060</v>
      </c>
      <c r="Q639" s="27">
        <v>3850</v>
      </c>
      <c r="R639" s="28"/>
      <c r="S639" s="27" t="s">
        <v>167</v>
      </c>
      <c r="T639" s="27" t="s">
        <v>208</v>
      </c>
      <c r="U639" s="27" t="s">
        <v>2696</v>
      </c>
    </row>
    <row r="640" spans="1:21" ht="16.5" hidden="1" customHeight="1" thickBot="1">
      <c r="A640" s="92" t="s">
        <v>162</v>
      </c>
      <c r="B640" s="93">
        <v>46259</v>
      </c>
      <c r="C640" s="92" t="s">
        <v>351</v>
      </c>
      <c r="D640" s="92" t="s">
        <v>352</v>
      </c>
      <c r="E640" s="92"/>
      <c r="F640" s="92" t="s">
        <v>165</v>
      </c>
      <c r="G640" s="88">
        <v>3850</v>
      </c>
      <c r="H640" s="88"/>
      <c r="I640" s="88">
        <v>3850</v>
      </c>
      <c r="J640" s="88">
        <v>0</v>
      </c>
      <c r="K640" s="88"/>
      <c r="L640" s="92"/>
      <c r="M640" s="92" t="s">
        <v>166</v>
      </c>
      <c r="N640"/>
      <c r="O640" s="23">
        <v>20260825</v>
      </c>
      <c r="P640" s="31">
        <v>202608250000061</v>
      </c>
      <c r="Q640" s="24">
        <v>3850</v>
      </c>
      <c r="R640" s="25"/>
      <c r="S640" s="24" t="s">
        <v>167</v>
      </c>
      <c r="T640" s="24" t="s">
        <v>234</v>
      </c>
      <c r="U640" s="24" t="s">
        <v>2697</v>
      </c>
    </row>
    <row r="641" spans="1:21" ht="16.5" hidden="1" customHeight="1" thickBot="1">
      <c r="A641" s="92" t="s">
        <v>162</v>
      </c>
      <c r="B641" s="93">
        <v>46259</v>
      </c>
      <c r="C641" s="92" t="s">
        <v>3210</v>
      </c>
      <c r="D641" s="92" t="s">
        <v>1030</v>
      </c>
      <c r="E641" s="92"/>
      <c r="F641" s="92" t="s">
        <v>165</v>
      </c>
      <c r="G641" s="88">
        <v>3850</v>
      </c>
      <c r="H641" s="88"/>
      <c r="I641" s="88">
        <v>3850</v>
      </c>
      <c r="J641" s="88">
        <v>0</v>
      </c>
      <c r="K641" s="88"/>
      <c r="L641" s="92"/>
      <c r="M641" s="92" t="s">
        <v>166</v>
      </c>
      <c r="O641" s="26">
        <v>20260825</v>
      </c>
      <c r="P641" s="32">
        <v>202608250000062</v>
      </c>
      <c r="Q641" s="27">
        <v>3850</v>
      </c>
      <c r="R641" s="28"/>
      <c r="S641" s="27" t="s">
        <v>167</v>
      </c>
      <c r="T641" s="27" t="s">
        <v>1029</v>
      </c>
      <c r="U641" s="27" t="s">
        <v>2698</v>
      </c>
    </row>
    <row r="642" spans="1:21" ht="16.5" customHeight="1" thickBot="1">
      <c r="A642" s="92" t="s">
        <v>3293</v>
      </c>
      <c r="B642" s="93">
        <v>46259</v>
      </c>
      <c r="C642" s="92" t="s">
        <v>177</v>
      </c>
      <c r="D642" s="92" t="s">
        <v>178</v>
      </c>
      <c r="E642" s="92"/>
      <c r="F642" s="92" t="s">
        <v>179</v>
      </c>
      <c r="G642" s="88">
        <v>6850</v>
      </c>
      <c r="H642" s="88">
        <v>6850</v>
      </c>
      <c r="I642" s="88">
        <v>0</v>
      </c>
      <c r="J642" s="88">
        <v>0</v>
      </c>
      <c r="K642" s="88"/>
      <c r="L642" s="92"/>
      <c r="M642" s="92" t="s">
        <v>175</v>
      </c>
      <c r="N642" t="s">
        <v>4246</v>
      </c>
      <c r="O642" s="23">
        <v>20260825</v>
      </c>
      <c r="P642" s="31">
        <v>202608250000063</v>
      </c>
      <c r="Q642" s="24">
        <v>6850</v>
      </c>
      <c r="R642" s="25"/>
      <c r="S642" s="24" t="s">
        <v>167</v>
      </c>
      <c r="T642" s="24" t="s">
        <v>208</v>
      </c>
      <c r="U642" s="24" t="s">
        <v>2699</v>
      </c>
    </row>
    <row r="643" spans="1:21" ht="16.5" hidden="1" customHeight="1" thickBot="1">
      <c r="A643" s="92" t="s">
        <v>162</v>
      </c>
      <c r="B643" s="93">
        <v>46259</v>
      </c>
      <c r="C643" s="92" t="s">
        <v>522</v>
      </c>
      <c r="D643" s="92" t="s">
        <v>523</v>
      </c>
      <c r="E643" s="92"/>
      <c r="F643" s="92" t="s">
        <v>165</v>
      </c>
      <c r="G643" s="88">
        <v>2800</v>
      </c>
      <c r="H643" s="88"/>
      <c r="I643" s="88">
        <v>2800</v>
      </c>
      <c r="J643" s="88">
        <v>0</v>
      </c>
      <c r="K643" s="88"/>
      <c r="L643" s="92"/>
      <c r="M643" s="92" t="s">
        <v>166</v>
      </c>
      <c r="N643"/>
      <c r="O643" s="26">
        <v>20260825</v>
      </c>
      <c r="P643" s="32">
        <v>202608250000064</v>
      </c>
      <c r="Q643" s="27">
        <v>2800</v>
      </c>
      <c r="R643" s="28"/>
      <c r="S643" s="27" t="s">
        <v>167</v>
      </c>
      <c r="T643" s="27" t="s">
        <v>2700</v>
      </c>
      <c r="U643" s="27" t="s">
        <v>2701</v>
      </c>
    </row>
    <row r="644" spans="1:21" ht="16.5" hidden="1" customHeight="1" thickBot="1">
      <c r="A644" s="92" t="s">
        <v>162</v>
      </c>
      <c r="B644" s="93">
        <v>46259</v>
      </c>
      <c r="C644" s="92" t="s">
        <v>1139</v>
      </c>
      <c r="D644" s="92" t="s">
        <v>466</v>
      </c>
      <c r="E644" s="92"/>
      <c r="F644" s="92" t="s">
        <v>165</v>
      </c>
      <c r="G644" s="88">
        <v>2915</v>
      </c>
      <c r="H644" s="88"/>
      <c r="I644" s="88">
        <v>2915</v>
      </c>
      <c r="J644" s="88">
        <v>0</v>
      </c>
      <c r="K644" s="88"/>
      <c r="L644" s="92"/>
      <c r="M644" s="92" t="s">
        <v>166</v>
      </c>
      <c r="N644"/>
      <c r="O644" s="23">
        <v>20260825</v>
      </c>
      <c r="P644" s="31">
        <v>202608250000065</v>
      </c>
      <c r="Q644" s="24">
        <v>2915</v>
      </c>
      <c r="R644" s="25"/>
      <c r="S644" s="24" t="s">
        <v>167</v>
      </c>
      <c r="T644" s="24" t="s">
        <v>2198</v>
      </c>
      <c r="U644" s="24" t="s">
        <v>2702</v>
      </c>
    </row>
    <row r="645" spans="1:21" ht="16.5" hidden="1" customHeight="1" thickBot="1">
      <c r="A645" s="92" t="s">
        <v>162</v>
      </c>
      <c r="B645" s="93">
        <v>46259</v>
      </c>
      <c r="C645" s="92" t="s">
        <v>1094</v>
      </c>
      <c r="D645" s="92" t="s">
        <v>1095</v>
      </c>
      <c r="E645" s="92"/>
      <c r="F645" s="92" t="s">
        <v>165</v>
      </c>
      <c r="G645" s="88">
        <v>2800</v>
      </c>
      <c r="H645" s="88"/>
      <c r="I645" s="88">
        <v>2800</v>
      </c>
      <c r="J645" s="88">
        <v>0</v>
      </c>
      <c r="K645" s="88"/>
      <c r="L645" s="92"/>
      <c r="M645" s="92" t="s">
        <v>166</v>
      </c>
      <c r="O645" s="26">
        <v>20260825</v>
      </c>
      <c r="P645" s="32">
        <v>202608250000066</v>
      </c>
      <c r="Q645" s="27">
        <v>2800</v>
      </c>
      <c r="R645" s="28"/>
      <c r="S645" s="27" t="s">
        <v>167</v>
      </c>
      <c r="T645" s="27" t="s">
        <v>2703</v>
      </c>
      <c r="U645" s="27" t="s">
        <v>2704</v>
      </c>
    </row>
    <row r="646" spans="1:21" ht="16.5" hidden="1" customHeight="1" thickBot="1">
      <c r="A646" s="92" t="s">
        <v>172</v>
      </c>
      <c r="B646" s="93">
        <v>46259</v>
      </c>
      <c r="C646" s="92" t="s">
        <v>1034</v>
      </c>
      <c r="D646" s="92" t="s">
        <v>1035</v>
      </c>
      <c r="E646" s="92"/>
      <c r="F646" s="92" t="s">
        <v>165</v>
      </c>
      <c r="G646" s="88">
        <v>3850</v>
      </c>
      <c r="H646" s="88"/>
      <c r="I646" s="88">
        <v>3850</v>
      </c>
      <c r="J646" s="88">
        <v>0</v>
      </c>
      <c r="K646" s="88"/>
      <c r="L646" s="92"/>
      <c r="M646" s="92" t="s">
        <v>175</v>
      </c>
      <c r="N646"/>
      <c r="O646" s="23">
        <v>20260825</v>
      </c>
      <c r="P646" s="31">
        <v>202608250000067</v>
      </c>
      <c r="Q646" s="24">
        <v>3850</v>
      </c>
      <c r="R646" s="25"/>
      <c r="S646" s="24" t="s">
        <v>167</v>
      </c>
      <c r="T646" s="24" t="s">
        <v>984</v>
      </c>
      <c r="U646" s="24" t="s">
        <v>2705</v>
      </c>
    </row>
    <row r="647" spans="1:21" ht="16.5" hidden="1" customHeight="1" thickBot="1">
      <c r="A647" s="92" t="s">
        <v>162</v>
      </c>
      <c r="B647" s="93">
        <v>46259</v>
      </c>
      <c r="C647" s="92" t="s">
        <v>2122</v>
      </c>
      <c r="D647" s="92" t="s">
        <v>2123</v>
      </c>
      <c r="E647" s="92"/>
      <c r="F647" s="92" t="s">
        <v>165</v>
      </c>
      <c r="G647" s="88">
        <v>7700</v>
      </c>
      <c r="H647" s="88"/>
      <c r="I647" s="88">
        <v>7700</v>
      </c>
      <c r="J647" s="88">
        <v>0</v>
      </c>
      <c r="K647" s="88"/>
      <c r="L647" s="92"/>
      <c r="M647" s="92" t="s">
        <v>166</v>
      </c>
      <c r="N647"/>
      <c r="O647" s="26">
        <v>20260825</v>
      </c>
      <c r="P647" s="32">
        <v>202608250000068</v>
      </c>
      <c r="Q647" s="27">
        <v>7700</v>
      </c>
      <c r="R647" s="28"/>
      <c r="S647" s="27" t="s">
        <v>167</v>
      </c>
      <c r="T647" s="27" t="s">
        <v>221</v>
      </c>
      <c r="U647" s="27" t="s">
        <v>2706</v>
      </c>
    </row>
    <row r="648" spans="1:21" ht="16.5" hidden="1" customHeight="1" thickBot="1">
      <c r="A648" s="92" t="s">
        <v>162</v>
      </c>
      <c r="B648" s="93">
        <v>46259</v>
      </c>
      <c r="C648" s="92" t="s">
        <v>682</v>
      </c>
      <c r="D648" s="92" t="s">
        <v>683</v>
      </c>
      <c r="E648" s="92"/>
      <c r="F648" s="92" t="s">
        <v>165</v>
      </c>
      <c r="G648" s="88">
        <v>3850</v>
      </c>
      <c r="H648" s="88"/>
      <c r="I648" s="88">
        <v>3850</v>
      </c>
      <c r="J648" s="88">
        <v>0</v>
      </c>
      <c r="K648" s="88"/>
      <c r="L648" s="92"/>
      <c r="M648" s="92" t="s">
        <v>166</v>
      </c>
      <c r="N648"/>
      <c r="O648" s="23">
        <v>20260825</v>
      </c>
      <c r="P648" s="31">
        <v>202608250000069</v>
      </c>
      <c r="Q648" s="24">
        <v>3850</v>
      </c>
      <c r="R648" s="25"/>
      <c r="S648" s="24" t="s">
        <v>167</v>
      </c>
      <c r="T648" s="24" t="s">
        <v>2707</v>
      </c>
      <c r="U648" s="24" t="s">
        <v>2708</v>
      </c>
    </row>
    <row r="649" spans="1:21" ht="16.5" hidden="1" customHeight="1" thickBot="1">
      <c r="A649" s="92" t="s">
        <v>172</v>
      </c>
      <c r="B649" s="93">
        <v>46259</v>
      </c>
      <c r="C649" s="92" t="s">
        <v>2891</v>
      </c>
      <c r="D649" s="92" t="s">
        <v>2892</v>
      </c>
      <c r="E649" s="92"/>
      <c r="F649" s="92" t="s">
        <v>165</v>
      </c>
      <c r="G649" s="88">
        <v>2800</v>
      </c>
      <c r="H649" s="88"/>
      <c r="I649" s="88">
        <v>2800</v>
      </c>
      <c r="J649" s="88">
        <v>0</v>
      </c>
      <c r="K649" s="88"/>
      <c r="L649" s="92"/>
      <c r="M649" s="92" t="s">
        <v>175</v>
      </c>
      <c r="N649"/>
      <c r="O649" s="26">
        <v>20260825</v>
      </c>
      <c r="P649" s="32">
        <v>202608250000070</v>
      </c>
      <c r="Q649" s="27">
        <v>2800</v>
      </c>
      <c r="R649" s="28"/>
      <c r="S649" s="27" t="s">
        <v>167</v>
      </c>
      <c r="T649" s="27" t="s">
        <v>208</v>
      </c>
      <c r="U649" s="27" t="s">
        <v>2709</v>
      </c>
    </row>
    <row r="650" spans="1:21" ht="16.5" hidden="1" customHeight="1" thickBot="1">
      <c r="A650" s="92" t="s">
        <v>162</v>
      </c>
      <c r="B650" s="93">
        <v>46259</v>
      </c>
      <c r="C650" s="92" t="s">
        <v>1025</v>
      </c>
      <c r="D650" s="92" t="s">
        <v>1026</v>
      </c>
      <c r="E650" s="92"/>
      <c r="F650" s="92" t="s">
        <v>165</v>
      </c>
      <c r="G650" s="88">
        <v>3850</v>
      </c>
      <c r="H650" s="88"/>
      <c r="I650" s="88">
        <v>3850</v>
      </c>
      <c r="J650" s="88">
        <v>0</v>
      </c>
      <c r="K650" s="88"/>
      <c r="L650" s="92"/>
      <c r="M650" s="92" t="s">
        <v>166</v>
      </c>
      <c r="N650"/>
      <c r="O650" s="23">
        <v>20260825</v>
      </c>
      <c r="P650" s="31">
        <v>202608250000071</v>
      </c>
      <c r="Q650" s="24">
        <v>3850</v>
      </c>
      <c r="R650" s="25"/>
      <c r="S650" s="24" t="s">
        <v>167</v>
      </c>
      <c r="T650" s="24" t="s">
        <v>208</v>
      </c>
      <c r="U650" s="24" t="s">
        <v>2710</v>
      </c>
    </row>
    <row r="651" spans="1:21" ht="16.5" hidden="1" customHeight="1" thickBot="1">
      <c r="A651" s="92" t="s">
        <v>162</v>
      </c>
      <c r="B651" s="93">
        <v>46259</v>
      </c>
      <c r="C651" s="92" t="s">
        <v>2119</v>
      </c>
      <c r="D651" s="92" t="s">
        <v>2120</v>
      </c>
      <c r="E651" s="92"/>
      <c r="F651" s="92" t="s">
        <v>165</v>
      </c>
      <c r="G651" s="88">
        <v>3850</v>
      </c>
      <c r="H651" s="88"/>
      <c r="I651" s="88">
        <v>3850</v>
      </c>
      <c r="J651" s="88">
        <v>0</v>
      </c>
      <c r="K651" s="88"/>
      <c r="L651" s="92"/>
      <c r="M651" s="92" t="s">
        <v>166</v>
      </c>
      <c r="N651"/>
      <c r="O651" s="26">
        <v>20260825</v>
      </c>
      <c r="P651" s="32">
        <v>202608250000072</v>
      </c>
      <c r="Q651" s="27">
        <v>3850</v>
      </c>
      <c r="R651" s="28"/>
      <c r="S651" s="27" t="s">
        <v>167</v>
      </c>
      <c r="T651" s="27" t="s">
        <v>1031</v>
      </c>
      <c r="U651" s="27" t="s">
        <v>2711</v>
      </c>
    </row>
    <row r="652" spans="1:21" ht="16.5" hidden="1" customHeight="1" thickBot="1">
      <c r="A652" s="92" t="s">
        <v>162</v>
      </c>
      <c r="B652" s="93">
        <v>46259</v>
      </c>
      <c r="C652" s="92" t="s">
        <v>963</v>
      </c>
      <c r="D652" s="92" t="s">
        <v>964</v>
      </c>
      <c r="E652" s="92"/>
      <c r="F652" s="92" t="s">
        <v>165</v>
      </c>
      <c r="G652" s="88">
        <v>3850</v>
      </c>
      <c r="H652" s="88"/>
      <c r="I652" s="88">
        <v>3850</v>
      </c>
      <c r="J652" s="88">
        <v>0</v>
      </c>
      <c r="K652" s="88"/>
      <c r="L652" s="92"/>
      <c r="M652" s="92" t="s">
        <v>166</v>
      </c>
      <c r="N652"/>
      <c r="O652" s="23">
        <v>20260825</v>
      </c>
      <c r="P652" s="31">
        <v>202608250000073</v>
      </c>
      <c r="Q652" s="24">
        <v>3850</v>
      </c>
      <c r="R652" s="25"/>
      <c r="S652" s="24" t="s">
        <v>167</v>
      </c>
      <c r="T652" s="24" t="s">
        <v>406</v>
      </c>
      <c r="U652" s="24" t="s">
        <v>2712</v>
      </c>
    </row>
    <row r="653" spans="1:21" ht="16.5" hidden="1" customHeight="1" thickBot="1">
      <c r="A653" s="92" t="s">
        <v>162</v>
      </c>
      <c r="B653" s="93">
        <v>46259</v>
      </c>
      <c r="C653" s="92" t="s">
        <v>614</v>
      </c>
      <c r="D653" s="92" t="s">
        <v>615</v>
      </c>
      <c r="E653" s="92"/>
      <c r="F653" s="92" t="s">
        <v>165</v>
      </c>
      <c r="G653" s="88">
        <v>3850</v>
      </c>
      <c r="H653" s="88"/>
      <c r="I653" s="88">
        <v>3850</v>
      </c>
      <c r="J653" s="88">
        <v>0</v>
      </c>
      <c r="K653" s="88"/>
      <c r="L653" s="92"/>
      <c r="M653" s="92" t="s">
        <v>166</v>
      </c>
      <c r="N653"/>
      <c r="O653" s="26">
        <v>20260825</v>
      </c>
      <c r="P653" s="32">
        <v>202608250000074</v>
      </c>
      <c r="Q653" s="27">
        <v>3850</v>
      </c>
      <c r="R653" s="28"/>
      <c r="S653" s="27" t="s">
        <v>167</v>
      </c>
      <c r="T653" s="27" t="s">
        <v>2713</v>
      </c>
      <c r="U653" s="27" t="s">
        <v>2714</v>
      </c>
    </row>
    <row r="654" spans="1:21" ht="16.5" hidden="1" customHeight="1" thickBot="1">
      <c r="A654" s="92" t="s">
        <v>162</v>
      </c>
      <c r="B654" s="93">
        <v>46259</v>
      </c>
      <c r="C654" s="92" t="s">
        <v>1070</v>
      </c>
      <c r="D654" s="92" t="s">
        <v>1071</v>
      </c>
      <c r="E654" s="92"/>
      <c r="F654" s="92" t="s">
        <v>165</v>
      </c>
      <c r="G654" s="88">
        <v>2800</v>
      </c>
      <c r="H654" s="88"/>
      <c r="I654" s="88">
        <v>2800</v>
      </c>
      <c r="J654" s="88">
        <v>0</v>
      </c>
      <c r="K654" s="88"/>
      <c r="L654" s="92"/>
      <c r="M654" s="92" t="s">
        <v>166</v>
      </c>
      <c r="N654"/>
      <c r="O654" s="23">
        <v>20260825</v>
      </c>
      <c r="P654" s="31">
        <v>202608250000075</v>
      </c>
      <c r="Q654" s="24">
        <v>2800</v>
      </c>
      <c r="R654" s="25"/>
      <c r="S654" s="24" t="s">
        <v>184</v>
      </c>
      <c r="T654" s="24" t="s">
        <v>2715</v>
      </c>
      <c r="U654" s="24" t="s">
        <v>2716</v>
      </c>
    </row>
    <row r="655" spans="1:21" ht="16.5" customHeight="1" thickBot="1">
      <c r="A655" s="92" t="s">
        <v>3293</v>
      </c>
      <c r="B655" s="93">
        <v>46259</v>
      </c>
      <c r="C655" s="92" t="s">
        <v>3086</v>
      </c>
      <c r="D655" s="92" t="s">
        <v>3087</v>
      </c>
      <c r="E655" s="92"/>
      <c r="F655" s="92" t="s">
        <v>179</v>
      </c>
      <c r="G655" s="88">
        <v>7000</v>
      </c>
      <c r="H655" s="88">
        <v>7000</v>
      </c>
      <c r="I655" s="88">
        <v>0</v>
      </c>
      <c r="J655" s="88">
        <v>0</v>
      </c>
      <c r="K655" s="88"/>
      <c r="L655" s="92"/>
      <c r="M655" s="92" t="s">
        <v>175</v>
      </c>
      <c r="N655" t="s">
        <v>4182</v>
      </c>
      <c r="O655" s="26">
        <v>20260825</v>
      </c>
      <c r="P655" s="32">
        <v>202608250000076</v>
      </c>
      <c r="Q655" s="27">
        <v>7000</v>
      </c>
      <c r="R655" s="28"/>
      <c r="S655" s="27" t="s">
        <v>167</v>
      </c>
      <c r="T655" s="27" t="s">
        <v>208</v>
      </c>
      <c r="U655" s="27" t="s">
        <v>2717</v>
      </c>
    </row>
    <row r="656" spans="1:21" ht="16.5" hidden="1" customHeight="1" thickBot="1">
      <c r="A656" s="92" t="s">
        <v>162</v>
      </c>
      <c r="B656" s="93">
        <v>46259</v>
      </c>
      <c r="C656" s="92" t="s">
        <v>1027</v>
      </c>
      <c r="D656" s="92" t="s">
        <v>1028</v>
      </c>
      <c r="E656" s="92"/>
      <c r="F656" s="92" t="s">
        <v>165</v>
      </c>
      <c r="G656" s="88">
        <v>3850</v>
      </c>
      <c r="H656" s="88"/>
      <c r="I656" s="88">
        <v>3850</v>
      </c>
      <c r="J656" s="88">
        <v>0</v>
      </c>
      <c r="K656" s="88"/>
      <c r="L656" s="92"/>
      <c r="M656" s="92" t="s">
        <v>166</v>
      </c>
      <c r="N656"/>
      <c r="O656" s="23">
        <v>20260825</v>
      </c>
      <c r="P656" s="31">
        <v>202608250000077</v>
      </c>
      <c r="Q656" s="24">
        <v>3850</v>
      </c>
      <c r="R656" s="25"/>
      <c r="S656" s="24" t="s">
        <v>167</v>
      </c>
      <c r="T656" s="24" t="s">
        <v>2718</v>
      </c>
      <c r="U656" s="24" t="s">
        <v>2719</v>
      </c>
    </row>
    <row r="657" spans="1:21" ht="16.5" hidden="1" customHeight="1" thickBot="1">
      <c r="A657" s="92" t="s">
        <v>3293</v>
      </c>
      <c r="B657" s="93">
        <v>46259</v>
      </c>
      <c r="C657" s="92" t="s">
        <v>655</v>
      </c>
      <c r="D657" s="92" t="s">
        <v>656</v>
      </c>
      <c r="E657" s="92"/>
      <c r="F657" s="92" t="s">
        <v>165</v>
      </c>
      <c r="G657" s="88">
        <v>7850</v>
      </c>
      <c r="H657" s="88">
        <v>4000</v>
      </c>
      <c r="I657" s="88">
        <v>3850</v>
      </c>
      <c r="J657" s="88">
        <v>0</v>
      </c>
      <c r="K657" s="88"/>
      <c r="L657" s="92"/>
      <c r="M657" s="92" t="s">
        <v>175</v>
      </c>
      <c r="N657"/>
      <c r="O657" s="26">
        <v>20260825</v>
      </c>
      <c r="P657" s="32">
        <v>202608250000078</v>
      </c>
      <c r="Q657" s="27">
        <v>7850</v>
      </c>
      <c r="R657" s="28"/>
      <c r="S657" s="27" t="s">
        <v>167</v>
      </c>
      <c r="T657" s="27" t="s">
        <v>667</v>
      </c>
      <c r="U657" s="27" t="s">
        <v>2720</v>
      </c>
    </row>
    <row r="658" spans="1:21" ht="16.5" hidden="1" customHeight="1" thickBot="1">
      <c r="A658" s="92" t="s">
        <v>162</v>
      </c>
      <c r="B658" s="93">
        <v>46259</v>
      </c>
      <c r="C658" s="92" t="s">
        <v>3211</v>
      </c>
      <c r="D658" s="92" t="s">
        <v>3212</v>
      </c>
      <c r="E658" s="92"/>
      <c r="F658" s="92" t="s">
        <v>165</v>
      </c>
      <c r="G658" s="88">
        <v>3850</v>
      </c>
      <c r="H658" s="88"/>
      <c r="I658" s="88">
        <v>3850</v>
      </c>
      <c r="J658" s="88">
        <v>0</v>
      </c>
      <c r="K658" s="88"/>
      <c r="L658" s="92"/>
      <c r="M658" s="92" t="s">
        <v>166</v>
      </c>
      <c r="O658" s="23">
        <v>20260825</v>
      </c>
      <c r="P658" s="31">
        <v>202608250000079</v>
      </c>
      <c r="Q658" s="24">
        <v>3850</v>
      </c>
      <c r="R658" s="25"/>
      <c r="S658" s="24" t="s">
        <v>167</v>
      </c>
      <c r="T658" s="24" t="s">
        <v>948</v>
      </c>
      <c r="U658" s="24" t="s">
        <v>2721</v>
      </c>
    </row>
    <row r="659" spans="1:21" ht="16.5" hidden="1" customHeight="1" thickBot="1">
      <c r="A659" s="92" t="s">
        <v>3293</v>
      </c>
      <c r="B659" s="93">
        <v>46259</v>
      </c>
      <c r="C659" s="92" t="s">
        <v>496</v>
      </c>
      <c r="D659" s="92" t="s">
        <v>497</v>
      </c>
      <c r="E659" s="92"/>
      <c r="F659" s="92" t="s">
        <v>165</v>
      </c>
      <c r="G659" s="88">
        <v>10700</v>
      </c>
      <c r="H659" s="88">
        <v>3000</v>
      </c>
      <c r="I659" s="88">
        <v>7700</v>
      </c>
      <c r="J659" s="88">
        <v>0</v>
      </c>
      <c r="K659" s="88"/>
      <c r="L659" s="92"/>
      <c r="M659" s="92" t="s">
        <v>175</v>
      </c>
      <c r="N659"/>
      <c r="O659" s="26">
        <v>20260825</v>
      </c>
      <c r="P659" s="32">
        <v>202608250000080</v>
      </c>
      <c r="Q659" s="27">
        <v>10700</v>
      </c>
      <c r="R659" s="28"/>
      <c r="S659" s="27" t="s">
        <v>167</v>
      </c>
      <c r="T659" s="27" t="s">
        <v>264</v>
      </c>
      <c r="U659" s="27" t="s">
        <v>2722</v>
      </c>
    </row>
    <row r="660" spans="1:21" ht="16.5" hidden="1" customHeight="1" thickBot="1">
      <c r="A660" s="92" t="s">
        <v>162</v>
      </c>
      <c r="B660" s="93">
        <v>46260</v>
      </c>
      <c r="C660" s="92" t="s">
        <v>3213</v>
      </c>
      <c r="D660" s="92" t="s">
        <v>3214</v>
      </c>
      <c r="E660" s="92"/>
      <c r="F660" s="92" t="s">
        <v>165</v>
      </c>
      <c r="G660" s="88">
        <v>7700</v>
      </c>
      <c r="H660" s="88"/>
      <c r="I660" s="88">
        <v>7700</v>
      </c>
      <c r="J660" s="88">
        <v>0</v>
      </c>
      <c r="K660" s="88"/>
      <c r="L660" s="92"/>
      <c r="M660" s="92" t="s">
        <v>166</v>
      </c>
      <c r="O660" s="23">
        <v>20260826</v>
      </c>
      <c r="P660" s="31">
        <v>202608260000001</v>
      </c>
      <c r="Q660" s="24">
        <v>7700</v>
      </c>
      <c r="R660" s="25"/>
      <c r="S660" s="24" t="s">
        <v>167</v>
      </c>
      <c r="T660" s="24" t="s">
        <v>264</v>
      </c>
      <c r="U660" s="24" t="s">
        <v>2723</v>
      </c>
    </row>
    <row r="661" spans="1:21" ht="16.5" hidden="1" customHeight="1" thickBot="1">
      <c r="A661" s="92" t="s">
        <v>162</v>
      </c>
      <c r="B661" s="93">
        <v>46260</v>
      </c>
      <c r="C661" s="92" t="s">
        <v>965</v>
      </c>
      <c r="D661" s="92" t="s">
        <v>966</v>
      </c>
      <c r="E661" s="92"/>
      <c r="F661" s="92" t="s">
        <v>165</v>
      </c>
      <c r="G661" s="88">
        <v>7700</v>
      </c>
      <c r="H661" s="88"/>
      <c r="I661" s="88">
        <v>7700</v>
      </c>
      <c r="J661" s="88">
        <v>0</v>
      </c>
      <c r="K661" s="88"/>
      <c r="L661" s="92"/>
      <c r="M661" s="92" t="s">
        <v>166</v>
      </c>
      <c r="N661"/>
      <c r="O661" s="26">
        <v>20260826</v>
      </c>
      <c r="P661" s="32">
        <v>202608260000002</v>
      </c>
      <c r="Q661" s="27">
        <v>7700</v>
      </c>
      <c r="R661" s="28"/>
      <c r="S661" s="27" t="s">
        <v>184</v>
      </c>
      <c r="T661" s="27" t="s">
        <v>2724</v>
      </c>
      <c r="U661" s="27" t="s">
        <v>2725</v>
      </c>
    </row>
    <row r="662" spans="1:21" ht="16.5" hidden="1" customHeight="1" thickBot="1">
      <c r="A662" s="92" t="s">
        <v>162</v>
      </c>
      <c r="B662" s="93">
        <v>46260</v>
      </c>
      <c r="C662" s="92" t="s">
        <v>1007</v>
      </c>
      <c r="D662" s="92" t="s">
        <v>1008</v>
      </c>
      <c r="E662" s="92"/>
      <c r="F662" s="92" t="s">
        <v>165</v>
      </c>
      <c r="G662" s="88">
        <v>2093</v>
      </c>
      <c r="H662" s="88"/>
      <c r="I662" s="88">
        <v>2093</v>
      </c>
      <c r="J662" s="88">
        <v>0</v>
      </c>
      <c r="K662" s="88"/>
      <c r="L662" s="92"/>
      <c r="M662" s="92" t="s">
        <v>166</v>
      </c>
      <c r="N662"/>
      <c r="O662" s="23">
        <v>20260826</v>
      </c>
      <c r="P662" s="31">
        <v>202608260000003</v>
      </c>
      <c r="Q662" s="24">
        <v>2093</v>
      </c>
      <c r="R662" s="25"/>
      <c r="S662" s="24" t="s">
        <v>167</v>
      </c>
      <c r="T662" s="24" t="s">
        <v>246</v>
      </c>
      <c r="U662" s="24" t="s">
        <v>2726</v>
      </c>
    </row>
    <row r="663" spans="1:21" ht="16.5" hidden="1" customHeight="1" thickBot="1">
      <c r="A663" s="92" t="s">
        <v>162</v>
      </c>
      <c r="B663" s="93">
        <v>46260</v>
      </c>
      <c r="C663" s="92" t="s">
        <v>988</v>
      </c>
      <c r="D663" s="92" t="s">
        <v>989</v>
      </c>
      <c r="E663" s="92"/>
      <c r="F663" s="92" t="s">
        <v>165</v>
      </c>
      <c r="G663" s="88">
        <v>3850</v>
      </c>
      <c r="H663" s="88"/>
      <c r="I663" s="88">
        <v>3850</v>
      </c>
      <c r="J663" s="88">
        <v>0</v>
      </c>
      <c r="K663" s="88"/>
      <c r="L663" s="92"/>
      <c r="M663" s="92" t="s">
        <v>166</v>
      </c>
      <c r="O663" s="26">
        <v>20260826</v>
      </c>
      <c r="P663" s="32">
        <v>202608260000004</v>
      </c>
      <c r="Q663" s="27">
        <v>3850</v>
      </c>
      <c r="R663" s="28"/>
      <c r="S663" s="27" t="s">
        <v>359</v>
      </c>
      <c r="T663" s="27" t="s">
        <v>1086</v>
      </c>
      <c r="U663" s="27" t="s">
        <v>2727</v>
      </c>
    </row>
    <row r="664" spans="1:21" ht="16.5" hidden="1" customHeight="1" thickBot="1">
      <c r="A664" s="92" t="s">
        <v>162</v>
      </c>
      <c r="B664" s="93">
        <v>46260</v>
      </c>
      <c r="C664" s="92" t="s">
        <v>1084</v>
      </c>
      <c r="D664" s="92" t="s">
        <v>1085</v>
      </c>
      <c r="E664" s="92"/>
      <c r="F664" s="92" t="s">
        <v>165</v>
      </c>
      <c r="G664" s="88">
        <v>3850</v>
      </c>
      <c r="H664" s="88"/>
      <c r="I664" s="88">
        <v>3850</v>
      </c>
      <c r="J664" s="88">
        <v>0</v>
      </c>
      <c r="K664" s="88"/>
      <c r="L664" s="92"/>
      <c r="M664" s="92" t="s">
        <v>166</v>
      </c>
      <c r="N664"/>
      <c r="O664" s="23">
        <v>20260826</v>
      </c>
      <c r="P664" s="31">
        <v>202608260000005</v>
      </c>
      <c r="Q664" s="24">
        <v>3850</v>
      </c>
      <c r="R664" s="25"/>
      <c r="S664" s="24" t="s">
        <v>167</v>
      </c>
      <c r="T664" s="24" t="s">
        <v>616</v>
      </c>
      <c r="U664" s="24" t="s">
        <v>2728</v>
      </c>
    </row>
    <row r="665" spans="1:21" ht="16.5" hidden="1" customHeight="1" thickBot="1">
      <c r="A665" s="92" t="s">
        <v>162</v>
      </c>
      <c r="B665" s="93">
        <v>46260</v>
      </c>
      <c r="C665" s="92" t="s">
        <v>765</v>
      </c>
      <c r="D665" s="92" t="s">
        <v>766</v>
      </c>
      <c r="E665" s="92"/>
      <c r="F665" s="92" t="s">
        <v>165</v>
      </c>
      <c r="G665" s="88">
        <v>3850</v>
      </c>
      <c r="H665" s="88"/>
      <c r="I665" s="88">
        <v>3850</v>
      </c>
      <c r="J665" s="88">
        <v>0</v>
      </c>
      <c r="K665" s="88"/>
      <c r="L665" s="92"/>
      <c r="M665" s="92" t="s">
        <v>166</v>
      </c>
      <c r="N665"/>
      <c r="O665" s="26">
        <v>20260826</v>
      </c>
      <c r="P665" s="32">
        <v>202608260000006</v>
      </c>
      <c r="Q665" s="27">
        <v>3850</v>
      </c>
      <c r="R665" s="28"/>
      <c r="S665" s="27" t="s">
        <v>167</v>
      </c>
      <c r="T665" s="27" t="s">
        <v>990</v>
      </c>
      <c r="U665" s="27" t="s">
        <v>2729</v>
      </c>
    </row>
    <row r="666" spans="1:21" ht="16.5" hidden="1" customHeight="1" thickBot="1">
      <c r="A666" s="92" t="s">
        <v>162</v>
      </c>
      <c r="B666" s="93">
        <v>46260</v>
      </c>
      <c r="C666" s="92" t="s">
        <v>496</v>
      </c>
      <c r="D666" s="92" t="s">
        <v>497</v>
      </c>
      <c r="E666" s="92"/>
      <c r="F666" s="92" t="s">
        <v>165</v>
      </c>
      <c r="G666" s="88">
        <v>7700</v>
      </c>
      <c r="H666" s="88"/>
      <c r="I666" s="88">
        <v>7700</v>
      </c>
      <c r="J666" s="88">
        <v>0</v>
      </c>
      <c r="K666" s="88"/>
      <c r="L666" s="92"/>
      <c r="M666" s="92" t="s">
        <v>166</v>
      </c>
      <c r="O666" s="23">
        <v>20260826</v>
      </c>
      <c r="P666" s="31">
        <v>202608260000007</v>
      </c>
      <c r="Q666" s="24">
        <v>7700</v>
      </c>
      <c r="R666" s="25"/>
      <c r="S666" s="24" t="s">
        <v>167</v>
      </c>
      <c r="T666" s="24" t="s">
        <v>208</v>
      </c>
      <c r="U666" s="24" t="s">
        <v>2730</v>
      </c>
    </row>
    <row r="667" spans="1:21" ht="16.5" thickBot="1">
      <c r="A667" t="s">
        <v>3293</v>
      </c>
      <c r="B667" s="104">
        <v>46260</v>
      </c>
      <c r="C667" t="s">
        <v>214</v>
      </c>
      <c r="D667" t="s">
        <v>215</v>
      </c>
      <c r="F667" t="s">
        <v>179</v>
      </c>
      <c r="G667" s="2">
        <v>7000</v>
      </c>
      <c r="H667" s="2">
        <v>7000</v>
      </c>
      <c r="I667" s="2">
        <v>0</v>
      </c>
      <c r="J667" s="2">
        <v>0</v>
      </c>
      <c r="L667" s="92"/>
      <c r="M667" s="92" t="s">
        <v>175</v>
      </c>
      <c r="N667" t="s">
        <v>4209</v>
      </c>
      <c r="O667" s="26">
        <v>20260826</v>
      </c>
      <c r="P667" s="32">
        <v>202608260000008</v>
      </c>
      <c r="Q667" s="27">
        <v>7000</v>
      </c>
      <c r="R667" s="28"/>
      <c r="S667" s="27" t="s">
        <v>167</v>
      </c>
      <c r="T667" s="27" t="s">
        <v>445</v>
      </c>
      <c r="U667" s="27" t="s">
        <v>2731</v>
      </c>
    </row>
    <row r="668" spans="1:21" ht="16.5" hidden="1" thickBot="1">
      <c r="A668" t="s">
        <v>162</v>
      </c>
      <c r="B668" s="104">
        <v>46260</v>
      </c>
      <c r="C668" t="s">
        <v>995</v>
      </c>
      <c r="D668" t="s">
        <v>996</v>
      </c>
      <c r="F668" t="s">
        <v>165</v>
      </c>
      <c r="G668" s="2">
        <v>2800</v>
      </c>
      <c r="I668" s="2">
        <v>2800</v>
      </c>
      <c r="J668" s="2">
        <v>0</v>
      </c>
      <c r="M668" s="92" t="s">
        <v>166</v>
      </c>
      <c r="O668" s="23">
        <v>20260826</v>
      </c>
      <c r="P668" s="31">
        <v>202608260000009</v>
      </c>
      <c r="Q668" s="24">
        <v>2800</v>
      </c>
      <c r="R668" s="25"/>
      <c r="S668" s="24" t="s">
        <v>167</v>
      </c>
      <c r="T668" s="24" t="s">
        <v>980</v>
      </c>
      <c r="U668" s="24" t="s">
        <v>2732</v>
      </c>
    </row>
    <row r="669" spans="1:21" ht="16.5" hidden="1" thickBot="1">
      <c r="A669" t="s">
        <v>172</v>
      </c>
      <c r="B669" s="104">
        <v>46260</v>
      </c>
      <c r="C669" t="s">
        <v>796</v>
      </c>
      <c r="D669" t="s">
        <v>797</v>
      </c>
      <c r="F669" t="s">
        <v>165</v>
      </c>
      <c r="G669" s="2">
        <v>4000</v>
      </c>
      <c r="I669" s="2">
        <v>4000</v>
      </c>
      <c r="J669" s="2">
        <v>0</v>
      </c>
      <c r="M669" s="92" t="s">
        <v>175</v>
      </c>
      <c r="O669" s="20">
        <v>20260826</v>
      </c>
      <c r="P669" s="30">
        <v>202608260000010</v>
      </c>
      <c r="Q669" s="21">
        <v>4000</v>
      </c>
      <c r="R669" s="22"/>
      <c r="S669" s="21" t="s">
        <v>167</v>
      </c>
      <c r="T669" s="21" t="s">
        <v>689</v>
      </c>
      <c r="U669" s="21" t="s">
        <v>2733</v>
      </c>
    </row>
    <row r="670" spans="1:21" ht="16.5" thickBot="1">
      <c r="A670" t="s">
        <v>162</v>
      </c>
      <c r="B670" s="104">
        <v>46260</v>
      </c>
      <c r="C670" t="e">
        <v>#N/A</v>
      </c>
      <c r="F670" t="s">
        <v>179</v>
      </c>
      <c r="G670" s="2">
        <v>2000</v>
      </c>
      <c r="H670" s="2">
        <v>2000</v>
      </c>
      <c r="I670" s="2">
        <v>0</v>
      </c>
      <c r="J670" s="2">
        <v>0</v>
      </c>
      <c r="M670" s="92" t="s">
        <v>166</v>
      </c>
      <c r="N670" t="s">
        <v>4135</v>
      </c>
      <c r="O670" s="23">
        <v>20260826</v>
      </c>
      <c r="P670" s="31">
        <v>202608260000011</v>
      </c>
      <c r="Q670" s="24">
        <v>2000</v>
      </c>
      <c r="R670" s="25"/>
      <c r="S670" s="24" t="s">
        <v>167</v>
      </c>
      <c r="T670" s="24" t="s">
        <v>234</v>
      </c>
      <c r="U670" s="24" t="s">
        <v>2734</v>
      </c>
    </row>
    <row r="671" spans="1:21" ht="16.5" hidden="1" thickBot="1">
      <c r="A671" t="s">
        <v>162</v>
      </c>
      <c r="B671" s="104">
        <v>46260</v>
      </c>
      <c r="C671" t="s">
        <v>1067</v>
      </c>
      <c r="D671" t="s">
        <v>1068</v>
      </c>
      <c r="F671" t="s">
        <v>165</v>
      </c>
      <c r="G671" s="2">
        <v>3850</v>
      </c>
      <c r="I671" s="2">
        <v>3850</v>
      </c>
      <c r="J671" s="2">
        <v>0</v>
      </c>
      <c r="M671" s="92" t="s">
        <v>166</v>
      </c>
      <c r="O671" s="26">
        <v>20260826</v>
      </c>
      <c r="P671" s="32">
        <v>202608260000012</v>
      </c>
      <c r="Q671" s="27">
        <v>3850</v>
      </c>
      <c r="R671" s="28"/>
      <c r="S671" s="27" t="s">
        <v>167</v>
      </c>
      <c r="T671" s="27" t="s">
        <v>1069</v>
      </c>
      <c r="U671" s="27" t="s">
        <v>2735</v>
      </c>
    </row>
    <row r="672" spans="1:21" ht="16.5" hidden="1" thickBot="1">
      <c r="A672" t="s">
        <v>172</v>
      </c>
      <c r="B672" s="104">
        <v>46260</v>
      </c>
      <c r="C672" t="s">
        <v>351</v>
      </c>
      <c r="D672" t="s">
        <v>352</v>
      </c>
      <c r="F672" t="s">
        <v>165</v>
      </c>
      <c r="G672" s="2">
        <v>6850</v>
      </c>
      <c r="H672" s="2">
        <v>3000</v>
      </c>
      <c r="I672" s="2">
        <v>3850</v>
      </c>
      <c r="J672" s="2">
        <v>0</v>
      </c>
      <c r="M672" s="92" t="s">
        <v>175</v>
      </c>
      <c r="O672" s="23">
        <v>20260826</v>
      </c>
      <c r="P672" s="31">
        <v>202608260000013</v>
      </c>
      <c r="Q672" s="24">
        <v>6850</v>
      </c>
      <c r="R672" s="25"/>
      <c r="S672" s="24" t="s">
        <v>167</v>
      </c>
      <c r="T672" s="24" t="s">
        <v>300</v>
      </c>
      <c r="U672" s="24" t="s">
        <v>2736</v>
      </c>
    </row>
    <row r="673" spans="1:21" ht="16.5" hidden="1" thickBot="1">
      <c r="A673" t="s">
        <v>162</v>
      </c>
      <c r="B673" s="104">
        <v>46261</v>
      </c>
      <c r="C673" t="s">
        <v>912</v>
      </c>
      <c r="D673" t="s">
        <v>913</v>
      </c>
      <c r="F673" t="s">
        <v>165</v>
      </c>
      <c r="G673" s="2">
        <v>3850</v>
      </c>
      <c r="I673" s="2">
        <v>3850</v>
      </c>
      <c r="J673" s="2">
        <v>0</v>
      </c>
      <c r="M673" s="92" t="s">
        <v>166</v>
      </c>
      <c r="O673" s="26">
        <v>20260827</v>
      </c>
      <c r="P673" s="32">
        <v>202608270000001</v>
      </c>
      <c r="Q673" s="27">
        <v>3850</v>
      </c>
      <c r="R673" s="28"/>
      <c r="S673" s="27" t="s">
        <v>167</v>
      </c>
      <c r="T673" s="27" t="s">
        <v>169</v>
      </c>
      <c r="U673" s="27" t="s">
        <v>2737</v>
      </c>
    </row>
    <row r="674" spans="1:21" ht="16.5" hidden="1" thickBot="1">
      <c r="A674" t="s">
        <v>162</v>
      </c>
      <c r="B674" s="104">
        <v>46261</v>
      </c>
      <c r="C674" t="s">
        <v>800</v>
      </c>
      <c r="D674" t="s">
        <v>801</v>
      </c>
      <c r="F674" t="s">
        <v>165</v>
      </c>
      <c r="G674" s="2">
        <v>3850</v>
      </c>
      <c r="I674" s="2">
        <v>3850</v>
      </c>
      <c r="J674" s="2">
        <v>0</v>
      </c>
      <c r="M674" s="92" t="s">
        <v>166</v>
      </c>
      <c r="O674" s="23">
        <v>20260827</v>
      </c>
      <c r="P674" s="31">
        <v>202608270000002</v>
      </c>
      <c r="Q674" s="24">
        <v>3850</v>
      </c>
      <c r="R674" s="25"/>
      <c r="S674" s="24" t="s">
        <v>184</v>
      </c>
      <c r="T674" s="24" t="s">
        <v>2738</v>
      </c>
      <c r="U674" s="24" t="s">
        <v>2739</v>
      </c>
    </row>
    <row r="675" spans="1:21" ht="16.5" hidden="1" thickBot="1">
      <c r="A675" t="s">
        <v>180</v>
      </c>
      <c r="B675" s="104">
        <v>46261</v>
      </c>
      <c r="C675" t="s">
        <v>3215</v>
      </c>
      <c r="D675" t="s">
        <v>3216</v>
      </c>
      <c r="F675" t="s">
        <v>165</v>
      </c>
      <c r="G675" s="2">
        <v>8797</v>
      </c>
      <c r="H675" s="2">
        <v>4500</v>
      </c>
      <c r="I675" s="2">
        <v>4297</v>
      </c>
      <c r="J675" s="2">
        <v>0</v>
      </c>
      <c r="M675" s="92" t="s">
        <v>175</v>
      </c>
      <c r="O675" s="26">
        <v>20260827</v>
      </c>
      <c r="P675" s="32">
        <v>202608270000003</v>
      </c>
      <c r="Q675" s="27">
        <v>8797</v>
      </c>
      <c r="R675" s="28"/>
      <c r="S675" s="27" t="s">
        <v>167</v>
      </c>
      <c r="T675" s="27" t="s">
        <v>2740</v>
      </c>
      <c r="U675" s="27" t="s">
        <v>2741</v>
      </c>
    </row>
    <row r="676" spans="1:21" ht="16.5" thickBot="1">
      <c r="A676" t="s">
        <v>172</v>
      </c>
      <c r="B676" s="104">
        <v>46261</v>
      </c>
      <c r="C676" t="s">
        <v>3217</v>
      </c>
      <c r="D676" t="s">
        <v>3218</v>
      </c>
      <c r="F676" t="s">
        <v>179</v>
      </c>
      <c r="G676" s="2">
        <v>3797</v>
      </c>
      <c r="H676" s="2">
        <v>3507</v>
      </c>
      <c r="I676" s="2">
        <v>290</v>
      </c>
      <c r="J676" s="2">
        <v>0</v>
      </c>
      <c r="M676" s="92" t="s">
        <v>175</v>
      </c>
      <c r="N676" t="s">
        <v>4237</v>
      </c>
      <c r="O676" s="23">
        <v>20260827</v>
      </c>
      <c r="P676" s="31">
        <v>202608270000004</v>
      </c>
      <c r="Q676" s="24">
        <v>3797</v>
      </c>
      <c r="R676" s="25"/>
      <c r="S676" s="24" t="s">
        <v>167</v>
      </c>
      <c r="T676" s="24" t="s">
        <v>2742</v>
      </c>
      <c r="U676" s="24" t="s">
        <v>2743</v>
      </c>
    </row>
    <row r="677" spans="1:21" ht="16.5" thickBot="1">
      <c r="A677" t="s">
        <v>180</v>
      </c>
      <c r="B677" s="104">
        <v>46261</v>
      </c>
      <c r="C677" t="s">
        <v>3219</v>
      </c>
      <c r="D677" t="s">
        <v>3220</v>
      </c>
      <c r="F677" t="s">
        <v>179</v>
      </c>
      <c r="G677" s="2">
        <v>3297</v>
      </c>
      <c r="H677" s="2">
        <v>3000</v>
      </c>
      <c r="I677" s="2">
        <v>297</v>
      </c>
      <c r="J677" s="2">
        <v>0</v>
      </c>
      <c r="M677" s="92" t="s">
        <v>175</v>
      </c>
      <c r="N677" t="s">
        <v>4219</v>
      </c>
      <c r="O677" s="26">
        <v>20260827</v>
      </c>
      <c r="P677" s="32">
        <v>202608270000005</v>
      </c>
      <c r="Q677" s="27">
        <v>3297</v>
      </c>
      <c r="R677" s="28"/>
      <c r="S677" s="27" t="s">
        <v>167</v>
      </c>
      <c r="T677" s="27" t="s">
        <v>2744</v>
      </c>
      <c r="U677" s="27" t="s">
        <v>2745</v>
      </c>
    </row>
    <row r="678" spans="1:21" ht="16.5" hidden="1" thickBot="1">
      <c r="A678" t="s">
        <v>172</v>
      </c>
      <c r="B678" s="104">
        <v>46261</v>
      </c>
      <c r="C678" t="s">
        <v>3221</v>
      </c>
      <c r="D678" t="s">
        <v>3222</v>
      </c>
      <c r="F678" t="s">
        <v>165</v>
      </c>
      <c r="G678" s="2">
        <v>7140</v>
      </c>
      <c r="H678" s="2">
        <v>3000</v>
      </c>
      <c r="I678" s="2">
        <v>4140</v>
      </c>
      <c r="J678" s="2">
        <v>0</v>
      </c>
      <c r="M678" s="92" t="s">
        <v>175</v>
      </c>
      <c r="O678" s="23">
        <v>20260827</v>
      </c>
      <c r="P678" s="31">
        <v>202608270000006</v>
      </c>
      <c r="Q678" s="24">
        <v>7140</v>
      </c>
      <c r="R678" s="25"/>
      <c r="S678" s="24" t="s">
        <v>167</v>
      </c>
      <c r="T678" s="24" t="s">
        <v>2746</v>
      </c>
      <c r="U678" s="24" t="s">
        <v>2747</v>
      </c>
    </row>
    <row r="679" spans="1:21" ht="16.5" hidden="1" thickBot="1">
      <c r="A679" t="s">
        <v>180</v>
      </c>
      <c r="B679" s="104">
        <v>46261</v>
      </c>
      <c r="C679" t="s">
        <v>3223</v>
      </c>
      <c r="D679" t="s">
        <v>3224</v>
      </c>
      <c r="F679" t="s">
        <v>165</v>
      </c>
      <c r="G679" s="2">
        <v>7140</v>
      </c>
      <c r="H679" s="2">
        <v>3000</v>
      </c>
      <c r="I679" s="2">
        <v>4140</v>
      </c>
      <c r="J679" s="2">
        <v>0</v>
      </c>
      <c r="M679" s="92" t="s">
        <v>175</v>
      </c>
      <c r="O679" s="26">
        <v>20260827</v>
      </c>
      <c r="P679" s="32">
        <v>202608270000007</v>
      </c>
      <c r="Q679" s="27">
        <v>7140</v>
      </c>
      <c r="R679" s="28"/>
      <c r="S679" s="27" t="s">
        <v>167</v>
      </c>
      <c r="T679" s="27" t="s">
        <v>2748</v>
      </c>
      <c r="U679" s="27" t="s">
        <v>2749</v>
      </c>
    </row>
    <row r="680" spans="1:21" ht="16.5" hidden="1" thickBot="1">
      <c r="A680" t="s">
        <v>180</v>
      </c>
      <c r="B680" s="104">
        <v>46261</v>
      </c>
      <c r="C680" t="s">
        <v>3190</v>
      </c>
      <c r="D680" t="s">
        <v>3191</v>
      </c>
      <c r="F680" t="s">
        <v>165</v>
      </c>
      <c r="G680" s="2">
        <v>5597</v>
      </c>
      <c r="H680" s="2">
        <v>2507</v>
      </c>
      <c r="I680" s="2">
        <v>3090</v>
      </c>
      <c r="J680" s="2">
        <v>0</v>
      </c>
      <c r="M680" s="92" t="s">
        <v>175</v>
      </c>
      <c r="O680" s="23">
        <v>20260827</v>
      </c>
      <c r="P680" s="31">
        <v>202608270000008</v>
      </c>
      <c r="Q680" s="24">
        <v>5597</v>
      </c>
      <c r="R680" s="25"/>
      <c r="S680" s="24" t="s">
        <v>167</v>
      </c>
      <c r="T680" s="24" t="s">
        <v>2750</v>
      </c>
      <c r="U680" s="24" t="s">
        <v>2751</v>
      </c>
    </row>
    <row r="681" spans="1:21" ht="16.5" thickBot="1">
      <c r="A681" t="s">
        <v>176</v>
      </c>
      <c r="B681" s="104">
        <v>46261</v>
      </c>
      <c r="C681" t="s">
        <v>3225</v>
      </c>
      <c r="D681" t="s">
        <v>3226</v>
      </c>
      <c r="F681" t="s">
        <v>179</v>
      </c>
      <c r="G681" s="2">
        <v>4290</v>
      </c>
      <c r="H681" s="2">
        <v>4000</v>
      </c>
      <c r="I681" s="2">
        <v>290</v>
      </c>
      <c r="J681" s="2">
        <v>0</v>
      </c>
      <c r="L681" s="92"/>
      <c r="M681" s="92" t="s">
        <v>175</v>
      </c>
      <c r="N681" t="s">
        <v>4162</v>
      </c>
      <c r="O681" s="26">
        <v>20260827</v>
      </c>
      <c r="P681" s="32">
        <v>202608270000009</v>
      </c>
      <c r="Q681" s="27">
        <v>4290</v>
      </c>
      <c r="R681" s="28"/>
      <c r="S681" s="27" t="s">
        <v>167</v>
      </c>
      <c r="T681" s="27" t="s">
        <v>2752</v>
      </c>
      <c r="U681" s="27" t="s">
        <v>2753</v>
      </c>
    </row>
    <row r="682" spans="1:21" ht="16.5" hidden="1" thickBot="1">
      <c r="A682" t="s">
        <v>172</v>
      </c>
      <c r="B682" s="104">
        <v>46261</v>
      </c>
      <c r="C682" t="s">
        <v>3227</v>
      </c>
      <c r="D682" t="s">
        <v>3228</v>
      </c>
      <c r="F682" t="s">
        <v>165</v>
      </c>
      <c r="G682" s="2">
        <v>7140</v>
      </c>
      <c r="H682" s="2">
        <v>3000</v>
      </c>
      <c r="I682" s="2">
        <v>4140</v>
      </c>
      <c r="J682" s="2">
        <v>0</v>
      </c>
      <c r="M682" s="92" t="s">
        <v>175</v>
      </c>
      <c r="O682" s="23">
        <v>20260827</v>
      </c>
      <c r="P682" s="31">
        <v>202608270000010</v>
      </c>
      <c r="Q682" s="24">
        <v>7140</v>
      </c>
      <c r="R682" s="25"/>
      <c r="S682" s="24" t="s">
        <v>167</v>
      </c>
      <c r="T682" s="24" t="s">
        <v>2754</v>
      </c>
      <c r="U682" s="24" t="s">
        <v>2755</v>
      </c>
    </row>
    <row r="683" spans="1:21" ht="16.5" hidden="1" thickBot="1">
      <c r="A683" t="s">
        <v>162</v>
      </c>
      <c r="B683" s="104">
        <v>46261</v>
      </c>
      <c r="C683" t="s">
        <v>303</v>
      </c>
      <c r="D683" t="s">
        <v>304</v>
      </c>
      <c r="F683" t="s">
        <v>165</v>
      </c>
      <c r="G683" s="2">
        <v>3850</v>
      </c>
      <c r="I683" s="2">
        <v>3850</v>
      </c>
      <c r="J683" s="2">
        <v>0</v>
      </c>
      <c r="M683" s="92" t="s">
        <v>166</v>
      </c>
      <c r="O683" s="26">
        <v>20260827</v>
      </c>
      <c r="P683" s="32">
        <v>202608270000011</v>
      </c>
      <c r="Q683" s="27">
        <v>3850</v>
      </c>
      <c r="R683" s="28"/>
      <c r="S683" s="27" t="s">
        <v>167</v>
      </c>
      <c r="T683" s="27" t="s">
        <v>208</v>
      </c>
      <c r="U683" s="27" t="s">
        <v>2756</v>
      </c>
    </row>
    <row r="684" spans="1:21" ht="16.5" thickBot="1">
      <c r="A684" t="s">
        <v>172</v>
      </c>
      <c r="B684" s="104">
        <v>46261</v>
      </c>
      <c r="C684" t="s">
        <v>3229</v>
      </c>
      <c r="D684" t="s">
        <v>3230</v>
      </c>
      <c r="F684" t="s">
        <v>179</v>
      </c>
      <c r="G684" s="2">
        <v>4000</v>
      </c>
      <c r="H684" s="2">
        <v>4000</v>
      </c>
      <c r="I684" s="2">
        <v>0</v>
      </c>
      <c r="J684" s="2">
        <v>0</v>
      </c>
      <c r="L684" s="92"/>
      <c r="M684" s="92" t="s">
        <v>175</v>
      </c>
      <c r="N684" t="s">
        <v>4163</v>
      </c>
      <c r="O684" s="20">
        <v>20260827</v>
      </c>
      <c r="P684" s="30">
        <v>202608270000012</v>
      </c>
      <c r="Q684" s="21">
        <v>4000</v>
      </c>
      <c r="R684" s="22"/>
      <c r="S684" s="21" t="s">
        <v>359</v>
      </c>
      <c r="T684" s="21" t="s">
        <v>2757</v>
      </c>
      <c r="U684" s="21" t="s">
        <v>2758</v>
      </c>
    </row>
    <row r="685" spans="1:21" ht="16.5" hidden="1" thickBot="1">
      <c r="A685" t="s">
        <v>162</v>
      </c>
      <c r="B685" s="104">
        <v>46261</v>
      </c>
      <c r="C685" t="s">
        <v>1017</v>
      </c>
      <c r="D685" t="s">
        <v>1018</v>
      </c>
      <c r="F685" t="s">
        <v>165</v>
      </c>
      <c r="G685" s="2">
        <v>6325</v>
      </c>
      <c r="I685" s="2">
        <v>6325</v>
      </c>
      <c r="J685" s="2">
        <v>0</v>
      </c>
      <c r="M685" s="92" t="s">
        <v>166</v>
      </c>
      <c r="O685" s="23">
        <v>20260827</v>
      </c>
      <c r="P685" s="31">
        <v>202608270000013</v>
      </c>
      <c r="Q685" s="24">
        <v>6325</v>
      </c>
      <c r="R685" s="25"/>
      <c r="S685" s="24" t="s">
        <v>167</v>
      </c>
      <c r="T685" s="24" t="s">
        <v>390</v>
      </c>
      <c r="U685" s="24" t="s">
        <v>2759</v>
      </c>
    </row>
    <row r="686" spans="1:21" ht="16.5" thickBot="1">
      <c r="A686" t="s">
        <v>180</v>
      </c>
      <c r="B686" s="104">
        <v>46261</v>
      </c>
      <c r="C686" t="s">
        <v>3231</v>
      </c>
      <c r="D686" t="s">
        <v>3232</v>
      </c>
      <c r="F686" t="s">
        <v>179</v>
      </c>
      <c r="G686" s="2">
        <v>3000</v>
      </c>
      <c r="H686" s="2">
        <v>3000</v>
      </c>
      <c r="I686" s="2">
        <v>0</v>
      </c>
      <c r="J686" s="2">
        <v>0</v>
      </c>
      <c r="M686" s="92" t="s">
        <v>175</v>
      </c>
      <c r="N686" t="s">
        <v>4160</v>
      </c>
      <c r="O686" s="26">
        <v>20260827</v>
      </c>
      <c r="P686" s="32">
        <v>202608270000014</v>
      </c>
      <c r="Q686" s="27">
        <v>3000</v>
      </c>
      <c r="R686" s="28"/>
      <c r="S686" s="27" t="s">
        <v>167</v>
      </c>
      <c r="T686" s="27" t="s">
        <v>2760</v>
      </c>
      <c r="U686" s="27" t="s">
        <v>2761</v>
      </c>
    </row>
    <row r="687" spans="1:21" ht="16.5" thickBot="1">
      <c r="A687" t="s">
        <v>3293</v>
      </c>
      <c r="B687" s="104">
        <v>46261</v>
      </c>
      <c r="C687" t="s">
        <v>214</v>
      </c>
      <c r="D687" t="s">
        <v>215</v>
      </c>
      <c r="F687" t="s">
        <v>179</v>
      </c>
      <c r="G687" s="2">
        <v>6850</v>
      </c>
      <c r="H687" s="2">
        <v>6850</v>
      </c>
      <c r="I687" s="2">
        <v>0</v>
      </c>
      <c r="J687" s="2">
        <v>0</v>
      </c>
      <c r="L687" s="92"/>
      <c r="M687" s="92" t="s">
        <v>175</v>
      </c>
      <c r="N687" t="s">
        <v>4210</v>
      </c>
      <c r="O687" s="23">
        <v>20260827</v>
      </c>
      <c r="P687" s="31">
        <v>202608270000015</v>
      </c>
      <c r="Q687" s="24">
        <v>6850</v>
      </c>
      <c r="R687" s="25"/>
      <c r="S687" s="24" t="s">
        <v>167</v>
      </c>
      <c r="T687" s="24" t="s">
        <v>2454</v>
      </c>
      <c r="U687" s="24" t="s">
        <v>2762</v>
      </c>
    </row>
    <row r="688" spans="1:21" ht="16.5" hidden="1" thickBot="1">
      <c r="A688" t="s">
        <v>172</v>
      </c>
      <c r="B688" s="104">
        <v>46261</v>
      </c>
      <c r="C688" t="s">
        <v>3233</v>
      </c>
      <c r="D688" t="s">
        <v>3234</v>
      </c>
      <c r="F688" t="s">
        <v>165</v>
      </c>
      <c r="G688" s="2">
        <v>6800</v>
      </c>
      <c r="H688" s="2">
        <v>4000</v>
      </c>
      <c r="I688" s="2">
        <v>2800</v>
      </c>
      <c r="J688" s="2">
        <v>0</v>
      </c>
      <c r="M688" s="92" t="s">
        <v>175</v>
      </c>
      <c r="O688" s="20">
        <v>20260827</v>
      </c>
      <c r="P688" s="30">
        <v>202608270000016</v>
      </c>
      <c r="Q688" s="21">
        <v>6800</v>
      </c>
      <c r="R688" s="22"/>
      <c r="S688" s="21" t="s">
        <v>167</v>
      </c>
      <c r="T688" s="21" t="s">
        <v>2763</v>
      </c>
      <c r="U688" s="21" t="s">
        <v>2764</v>
      </c>
    </row>
    <row r="689" spans="1:21" ht="16.5" hidden="1" thickBot="1">
      <c r="A689" s="92" t="s">
        <v>3295</v>
      </c>
      <c r="B689" s="104">
        <v>46261</v>
      </c>
      <c r="C689" t="e">
        <v>#N/A</v>
      </c>
      <c r="F689" t="s">
        <v>188</v>
      </c>
      <c r="G689" s="2">
        <v>1925</v>
      </c>
      <c r="I689" s="2">
        <v>0</v>
      </c>
      <c r="J689" s="2">
        <v>1925</v>
      </c>
      <c r="M689" s="92" t="s">
        <v>187</v>
      </c>
      <c r="O689" s="23">
        <v>20260827</v>
      </c>
      <c r="P689" s="31">
        <v>202608270000017</v>
      </c>
      <c r="Q689" s="24">
        <v>1925</v>
      </c>
      <c r="R689" s="25"/>
      <c r="S689" s="24" t="s">
        <v>167</v>
      </c>
      <c r="T689" s="24" t="s">
        <v>193</v>
      </c>
      <c r="U689" s="24" t="s">
        <v>2765</v>
      </c>
    </row>
    <row r="690" spans="1:21" ht="16.5" hidden="1" thickBot="1">
      <c r="A690" t="s">
        <v>180</v>
      </c>
      <c r="B690" s="104">
        <v>46261</v>
      </c>
      <c r="C690" t="s">
        <v>3235</v>
      </c>
      <c r="D690" t="s">
        <v>3236</v>
      </c>
      <c r="F690" t="s">
        <v>165</v>
      </c>
      <c r="G690" s="2">
        <v>5695</v>
      </c>
      <c r="H690" s="2">
        <v>3000</v>
      </c>
      <c r="I690" s="2">
        <v>2695</v>
      </c>
      <c r="J690" s="2">
        <v>0</v>
      </c>
      <c r="M690" s="92" t="s">
        <v>175</v>
      </c>
      <c r="O690" s="26">
        <v>20260827</v>
      </c>
      <c r="P690" s="32">
        <v>202608270000018</v>
      </c>
      <c r="Q690" s="27">
        <v>5695</v>
      </c>
      <c r="R690" s="28"/>
      <c r="S690" s="27" t="s">
        <v>167</v>
      </c>
      <c r="T690" s="27" t="s">
        <v>2766</v>
      </c>
      <c r="U690" s="27" t="s">
        <v>2767</v>
      </c>
    </row>
    <row r="691" spans="1:21" ht="16.5" hidden="1" thickBot="1">
      <c r="A691" t="s">
        <v>162</v>
      </c>
      <c r="B691" s="104">
        <v>46261</v>
      </c>
      <c r="C691" t="s">
        <v>953</v>
      </c>
      <c r="D691" t="s">
        <v>954</v>
      </c>
      <c r="F691" t="s">
        <v>165</v>
      </c>
      <c r="G691" s="2">
        <v>3850</v>
      </c>
      <c r="I691" s="2">
        <v>3850</v>
      </c>
      <c r="J691" s="2">
        <v>0</v>
      </c>
      <c r="M691" s="92" t="s">
        <v>166</v>
      </c>
      <c r="O691" s="23">
        <v>20260827</v>
      </c>
      <c r="P691" s="31">
        <v>202608270000019</v>
      </c>
      <c r="Q691" s="24">
        <v>3850</v>
      </c>
      <c r="R691" s="25"/>
      <c r="S691" s="24" t="s">
        <v>167</v>
      </c>
      <c r="T691" s="24" t="s">
        <v>169</v>
      </c>
      <c r="U691" s="24" t="s">
        <v>2768</v>
      </c>
    </row>
    <row r="692" spans="1:21" ht="16.5" thickBot="1">
      <c r="A692" t="s">
        <v>3293</v>
      </c>
      <c r="B692" s="104">
        <v>46261</v>
      </c>
      <c r="C692" t="s">
        <v>214</v>
      </c>
      <c r="D692" t="s">
        <v>215</v>
      </c>
      <c r="F692" t="s">
        <v>179</v>
      </c>
      <c r="G692" s="2">
        <v>6850</v>
      </c>
      <c r="H692" s="2">
        <v>6850</v>
      </c>
      <c r="I692" s="2">
        <v>0</v>
      </c>
      <c r="J692" s="2">
        <v>0</v>
      </c>
      <c r="L692" s="92"/>
      <c r="M692" s="92" t="s">
        <v>175</v>
      </c>
      <c r="N692" t="s">
        <v>4213</v>
      </c>
      <c r="O692" s="26">
        <v>20260827</v>
      </c>
      <c r="P692" s="32">
        <v>202608270000020</v>
      </c>
      <c r="Q692" s="27">
        <v>6850</v>
      </c>
      <c r="R692" s="28"/>
      <c r="S692" s="27" t="s">
        <v>167</v>
      </c>
      <c r="T692" s="27" t="s">
        <v>264</v>
      </c>
      <c r="U692" s="27" t="s">
        <v>2769</v>
      </c>
    </row>
    <row r="693" spans="1:21" ht="16.5" hidden="1" thickBot="1">
      <c r="A693" t="s">
        <v>176</v>
      </c>
      <c r="B693" s="104">
        <v>46261</v>
      </c>
      <c r="C693" t="s">
        <v>1118</v>
      </c>
      <c r="D693" t="s">
        <v>1119</v>
      </c>
      <c r="F693" t="s">
        <v>165</v>
      </c>
      <c r="G693" s="2">
        <v>4000</v>
      </c>
      <c r="H693" s="2">
        <v>4000</v>
      </c>
      <c r="I693" s="2">
        <v>0</v>
      </c>
      <c r="J693" s="2">
        <v>0</v>
      </c>
      <c r="M693" s="92" t="s">
        <v>175</v>
      </c>
      <c r="O693" s="23">
        <v>20260827</v>
      </c>
      <c r="P693" s="31">
        <v>202608270000021</v>
      </c>
      <c r="Q693" s="24">
        <v>4000</v>
      </c>
      <c r="R693" s="25"/>
      <c r="S693" s="24" t="s">
        <v>167</v>
      </c>
      <c r="T693" s="24" t="s">
        <v>2770</v>
      </c>
      <c r="U693" s="24" t="s">
        <v>2771</v>
      </c>
    </row>
    <row r="694" spans="1:21" ht="16.5" hidden="1" thickBot="1">
      <c r="A694" t="s">
        <v>162</v>
      </c>
      <c r="B694" s="104">
        <v>46262</v>
      </c>
      <c r="C694" t="s">
        <v>1049</v>
      </c>
      <c r="D694" t="s">
        <v>1050</v>
      </c>
      <c r="F694" t="s">
        <v>165</v>
      </c>
      <c r="G694" s="2">
        <v>2800</v>
      </c>
      <c r="I694" s="2">
        <v>2800</v>
      </c>
      <c r="J694" s="2">
        <v>0</v>
      </c>
      <c r="M694" s="92" t="s">
        <v>166</v>
      </c>
      <c r="O694" s="26">
        <v>20260828</v>
      </c>
      <c r="P694" s="32">
        <v>202608280000001</v>
      </c>
      <c r="Q694" s="27">
        <v>2800</v>
      </c>
      <c r="R694" s="28"/>
      <c r="S694" s="27" t="s">
        <v>167</v>
      </c>
      <c r="T694" s="27" t="s">
        <v>1051</v>
      </c>
      <c r="U694" s="27" t="s">
        <v>2772</v>
      </c>
    </row>
    <row r="695" spans="1:21" ht="16.5" hidden="1" thickBot="1">
      <c r="A695" t="s">
        <v>180</v>
      </c>
      <c r="B695" s="104">
        <v>46262</v>
      </c>
      <c r="C695" t="s">
        <v>3237</v>
      </c>
      <c r="D695" t="s">
        <v>3238</v>
      </c>
      <c r="F695" t="s">
        <v>165</v>
      </c>
      <c r="G695" s="2">
        <v>5987</v>
      </c>
      <c r="H695" s="2">
        <v>3000</v>
      </c>
      <c r="I695" s="2">
        <v>2987</v>
      </c>
      <c r="J695" s="2">
        <v>0</v>
      </c>
      <c r="M695" s="92" t="s">
        <v>175</v>
      </c>
      <c r="O695" s="23">
        <v>20260828</v>
      </c>
      <c r="P695" s="31">
        <v>202608280000002</v>
      </c>
      <c r="Q695" s="24">
        <v>5987</v>
      </c>
      <c r="R695" s="25"/>
      <c r="S695" s="24" t="s">
        <v>167</v>
      </c>
      <c r="T695" s="24" t="s">
        <v>2773</v>
      </c>
      <c r="U695" s="24" t="s">
        <v>2774</v>
      </c>
    </row>
    <row r="696" spans="1:21" ht="16.5" thickBot="1">
      <c r="A696" t="s">
        <v>180</v>
      </c>
      <c r="B696" s="104">
        <v>46262</v>
      </c>
      <c r="C696" t="s">
        <v>3239</v>
      </c>
      <c r="D696" t="s">
        <v>3240</v>
      </c>
      <c r="F696" t="s">
        <v>179</v>
      </c>
      <c r="G696" s="2">
        <v>3297</v>
      </c>
      <c r="H696" s="2">
        <v>3000</v>
      </c>
      <c r="I696" s="2">
        <v>297</v>
      </c>
      <c r="J696" s="2">
        <v>0</v>
      </c>
      <c r="M696" s="92" t="s">
        <v>175</v>
      </c>
      <c r="N696" t="s">
        <v>4176</v>
      </c>
      <c r="O696" s="26">
        <v>20260828</v>
      </c>
      <c r="P696" s="32">
        <v>202608280000003</v>
      </c>
      <c r="Q696" s="27">
        <v>3297</v>
      </c>
      <c r="R696" s="28"/>
      <c r="S696" s="27" t="s">
        <v>167</v>
      </c>
      <c r="T696" s="27" t="s">
        <v>2775</v>
      </c>
      <c r="U696" s="27" t="s">
        <v>2776</v>
      </c>
    </row>
    <row r="697" spans="1:21" ht="16.5" hidden="1" thickBot="1">
      <c r="A697" t="s">
        <v>172</v>
      </c>
      <c r="B697" s="104">
        <v>46262</v>
      </c>
      <c r="C697" t="s">
        <v>3241</v>
      </c>
      <c r="D697" t="s">
        <v>3242</v>
      </c>
      <c r="F697" t="s">
        <v>165</v>
      </c>
      <c r="G697" s="2">
        <v>5985</v>
      </c>
      <c r="H697" s="2">
        <v>3000</v>
      </c>
      <c r="I697" s="2">
        <v>2985</v>
      </c>
      <c r="J697" s="2">
        <v>0</v>
      </c>
      <c r="M697" s="92" t="s">
        <v>175</v>
      </c>
      <c r="O697" s="23">
        <v>20260828</v>
      </c>
      <c r="P697" s="31">
        <v>202608280000004</v>
      </c>
      <c r="Q697" s="24">
        <v>5985</v>
      </c>
      <c r="R697" s="25"/>
      <c r="S697" s="24" t="s">
        <v>167</v>
      </c>
      <c r="T697" s="24" t="s">
        <v>2777</v>
      </c>
      <c r="U697" s="24" t="s">
        <v>2778</v>
      </c>
    </row>
    <row r="698" spans="1:21" ht="16.5" hidden="1" thickBot="1">
      <c r="A698" t="s">
        <v>180</v>
      </c>
      <c r="B698" s="104">
        <v>46262</v>
      </c>
      <c r="C698" t="s">
        <v>3243</v>
      </c>
      <c r="D698" t="s">
        <v>3244</v>
      </c>
      <c r="F698" t="s">
        <v>165</v>
      </c>
      <c r="G698" s="2">
        <v>5985</v>
      </c>
      <c r="H698" s="2">
        <v>3000</v>
      </c>
      <c r="I698" s="2">
        <v>2985</v>
      </c>
      <c r="J698" s="2">
        <v>0</v>
      </c>
      <c r="M698" s="92" t="s">
        <v>175</v>
      </c>
      <c r="O698" s="26">
        <v>20260828</v>
      </c>
      <c r="P698" s="32">
        <v>202608280000005</v>
      </c>
      <c r="Q698" s="27">
        <v>5985</v>
      </c>
      <c r="R698" s="28"/>
      <c r="S698" s="27" t="s">
        <v>167</v>
      </c>
      <c r="T698" s="27" t="s">
        <v>2779</v>
      </c>
      <c r="U698" s="27" t="s">
        <v>2780</v>
      </c>
    </row>
    <row r="699" spans="1:21" ht="16.5" hidden="1" thickBot="1">
      <c r="A699" t="s">
        <v>180</v>
      </c>
      <c r="B699" s="104">
        <v>46262</v>
      </c>
      <c r="C699" t="s">
        <v>3245</v>
      </c>
      <c r="D699" t="s">
        <v>3246</v>
      </c>
      <c r="F699" t="s">
        <v>165</v>
      </c>
      <c r="G699" s="2">
        <v>8290</v>
      </c>
      <c r="H699" s="2">
        <v>4000</v>
      </c>
      <c r="I699" s="2">
        <v>4290</v>
      </c>
      <c r="J699" s="2">
        <v>0</v>
      </c>
      <c r="M699" s="92" t="s">
        <v>175</v>
      </c>
      <c r="O699" s="23">
        <v>20260828</v>
      </c>
      <c r="P699" s="31">
        <v>202608280000006</v>
      </c>
      <c r="Q699" s="24">
        <v>8290</v>
      </c>
      <c r="R699" s="25"/>
      <c r="S699" s="24" t="s">
        <v>167</v>
      </c>
      <c r="T699" s="24" t="s">
        <v>2781</v>
      </c>
      <c r="U699" s="24" t="s">
        <v>2782</v>
      </c>
    </row>
    <row r="700" spans="1:21" ht="16.5" hidden="1" thickBot="1">
      <c r="A700" t="s">
        <v>180</v>
      </c>
      <c r="B700" s="104">
        <v>46262</v>
      </c>
      <c r="C700" t="s">
        <v>3247</v>
      </c>
      <c r="D700" t="s">
        <v>3248</v>
      </c>
      <c r="F700" t="s">
        <v>165</v>
      </c>
      <c r="G700" s="2">
        <v>5250</v>
      </c>
      <c r="H700" s="2">
        <v>3000</v>
      </c>
      <c r="I700" s="2">
        <v>2250</v>
      </c>
      <c r="J700" s="2">
        <v>0</v>
      </c>
      <c r="M700" s="92" t="s">
        <v>175</v>
      </c>
      <c r="O700" s="26">
        <v>20260828</v>
      </c>
      <c r="P700" s="32">
        <v>202608280000007</v>
      </c>
      <c r="Q700" s="27">
        <v>5250</v>
      </c>
      <c r="R700" s="28"/>
      <c r="S700" s="27" t="s">
        <v>167</v>
      </c>
      <c r="T700" s="27" t="s">
        <v>2783</v>
      </c>
      <c r="U700" s="27" t="s">
        <v>2784</v>
      </c>
    </row>
    <row r="701" spans="1:21" ht="16.5" hidden="1" thickBot="1">
      <c r="A701" t="s">
        <v>176</v>
      </c>
      <c r="B701" s="104">
        <v>46262</v>
      </c>
      <c r="C701" t="s">
        <v>637</v>
      </c>
      <c r="D701" t="s">
        <v>638</v>
      </c>
      <c r="F701" t="s">
        <v>165</v>
      </c>
      <c r="G701" s="2">
        <v>11550</v>
      </c>
      <c r="I701" s="2">
        <v>11550</v>
      </c>
      <c r="J701" s="2">
        <v>0</v>
      </c>
      <c r="M701" s="92" t="s">
        <v>175</v>
      </c>
      <c r="O701" s="23">
        <v>20260828</v>
      </c>
      <c r="P701" s="31">
        <v>202608280000008</v>
      </c>
      <c r="Q701" s="24">
        <v>11550</v>
      </c>
      <c r="R701" s="25"/>
      <c r="S701" s="24" t="s">
        <v>167</v>
      </c>
      <c r="T701" s="24" t="s">
        <v>491</v>
      </c>
      <c r="U701" s="24" t="s">
        <v>2785</v>
      </c>
    </row>
    <row r="702" spans="1:21" ht="16.5" hidden="1" thickBot="1">
      <c r="A702" t="s">
        <v>162</v>
      </c>
      <c r="B702" s="104">
        <v>46262</v>
      </c>
      <c r="C702" t="s">
        <v>1079</v>
      </c>
      <c r="D702" t="s">
        <v>1080</v>
      </c>
      <c r="F702" t="s">
        <v>165</v>
      </c>
      <c r="G702" s="2">
        <v>3850</v>
      </c>
      <c r="I702" s="2">
        <v>3850</v>
      </c>
      <c r="J702" s="2">
        <v>0</v>
      </c>
      <c r="M702" s="92" t="s">
        <v>166</v>
      </c>
      <c r="O702" s="26">
        <v>20260828</v>
      </c>
      <c r="P702" s="32">
        <v>202608280000009</v>
      </c>
      <c r="Q702" s="27">
        <v>3850</v>
      </c>
      <c r="R702" s="28"/>
      <c r="S702" s="27" t="s">
        <v>167</v>
      </c>
      <c r="T702" s="27" t="s">
        <v>1078</v>
      </c>
      <c r="U702" s="27" t="s">
        <v>2786</v>
      </c>
    </row>
    <row r="703" spans="1:21" ht="16.5" hidden="1" thickBot="1">
      <c r="A703" t="s">
        <v>162</v>
      </c>
      <c r="B703" s="104">
        <v>46262</v>
      </c>
      <c r="C703" s="92" t="s">
        <v>478</v>
      </c>
      <c r="D703" s="92" t="s">
        <v>1129</v>
      </c>
      <c r="F703" t="s">
        <v>360</v>
      </c>
      <c r="I703" s="2">
        <v>0</v>
      </c>
      <c r="J703" s="2">
        <v>0</v>
      </c>
      <c r="K703" s="2">
        <v>1500000</v>
      </c>
      <c r="M703" s="92" t="s">
        <v>166</v>
      </c>
      <c r="O703" s="26">
        <v>20260828</v>
      </c>
      <c r="P703" s="32">
        <v>202608280000010</v>
      </c>
      <c r="Q703" s="28"/>
      <c r="R703" s="27">
        <v>1500000</v>
      </c>
      <c r="S703" s="27" t="s">
        <v>184</v>
      </c>
      <c r="T703" s="27" t="s">
        <v>479</v>
      </c>
      <c r="U703" s="27">
        <v>362.49900000000002</v>
      </c>
    </row>
    <row r="704" spans="1:21" ht="16.5" hidden="1" thickBot="1">
      <c r="A704" t="s">
        <v>162</v>
      </c>
      <c r="B704" s="104">
        <v>46262</v>
      </c>
      <c r="C704" s="92" t="s">
        <v>478</v>
      </c>
      <c r="D704" s="92" t="s">
        <v>1129</v>
      </c>
      <c r="F704" t="s">
        <v>360</v>
      </c>
      <c r="I704" s="2">
        <v>0</v>
      </c>
      <c r="J704" s="2">
        <v>0</v>
      </c>
      <c r="K704" s="2">
        <v>165</v>
      </c>
      <c r="M704" s="92" t="s">
        <v>166</v>
      </c>
      <c r="O704" s="23">
        <v>20260828</v>
      </c>
      <c r="P704" s="31">
        <v>202608280000011</v>
      </c>
      <c r="Q704" s="25"/>
      <c r="R704" s="24">
        <v>165</v>
      </c>
      <c r="S704" s="24" t="s">
        <v>480</v>
      </c>
      <c r="T704" s="25"/>
      <c r="U704" s="24">
        <v>362.334</v>
      </c>
    </row>
    <row r="705" spans="1:21" ht="16.5" hidden="1" thickBot="1">
      <c r="A705" t="s">
        <v>162</v>
      </c>
      <c r="B705" s="104">
        <v>46262</v>
      </c>
      <c r="C705" t="s">
        <v>704</v>
      </c>
      <c r="D705" t="s">
        <v>705</v>
      </c>
      <c r="F705" t="s">
        <v>165</v>
      </c>
      <c r="G705" s="2">
        <v>3800</v>
      </c>
      <c r="I705" s="2">
        <v>3800</v>
      </c>
      <c r="J705" s="2">
        <v>0</v>
      </c>
      <c r="M705" s="92" t="s">
        <v>166</v>
      </c>
      <c r="O705" s="26">
        <v>20260828</v>
      </c>
      <c r="P705" s="32">
        <v>202608280000012</v>
      </c>
      <c r="Q705" s="27">
        <v>3800</v>
      </c>
      <c r="R705" s="28"/>
      <c r="S705" s="27" t="s">
        <v>167</v>
      </c>
      <c r="T705" s="27" t="s">
        <v>323</v>
      </c>
      <c r="U705" s="27">
        <v>366.13400000000001</v>
      </c>
    </row>
    <row r="706" spans="1:21" ht="16.5" hidden="1" thickBot="1">
      <c r="A706" t="s">
        <v>162</v>
      </c>
      <c r="B706" s="104">
        <v>46262</v>
      </c>
      <c r="C706" t="s">
        <v>1108</v>
      </c>
      <c r="D706" t="s">
        <v>1109</v>
      </c>
      <c r="F706" t="s">
        <v>165</v>
      </c>
      <c r="G706" s="2">
        <v>3850</v>
      </c>
      <c r="I706" s="2">
        <v>3850</v>
      </c>
      <c r="J706" s="2">
        <v>0</v>
      </c>
      <c r="M706" s="92" t="s">
        <v>166</v>
      </c>
      <c r="O706" s="23">
        <v>20260828</v>
      </c>
      <c r="P706" s="31">
        <v>202608280000013</v>
      </c>
      <c r="Q706" s="24">
        <v>3850</v>
      </c>
      <c r="R706" s="25"/>
      <c r="S706" s="24" t="s">
        <v>167</v>
      </c>
      <c r="T706" s="24" t="s">
        <v>1110</v>
      </c>
      <c r="U706" s="24">
        <v>369.98399999999998</v>
      </c>
    </row>
    <row r="707" spans="1:21" ht="16.5" hidden="1" thickBot="1">
      <c r="A707" t="s">
        <v>172</v>
      </c>
      <c r="B707" s="104">
        <v>46262</v>
      </c>
      <c r="C707" t="s">
        <v>3249</v>
      </c>
      <c r="D707" t="s">
        <v>3250</v>
      </c>
      <c r="F707" t="s">
        <v>165</v>
      </c>
      <c r="G707" s="2">
        <v>5695</v>
      </c>
      <c r="H707" s="2">
        <v>3000</v>
      </c>
      <c r="I707" s="2">
        <v>2695</v>
      </c>
      <c r="J707" s="2">
        <v>0</v>
      </c>
      <c r="M707" s="92" t="s">
        <v>175</v>
      </c>
      <c r="O707" s="26">
        <v>20260828</v>
      </c>
      <c r="P707" s="32">
        <v>202608280000014</v>
      </c>
      <c r="Q707" s="27">
        <v>5695</v>
      </c>
      <c r="R707" s="28"/>
      <c r="S707" s="27" t="s">
        <v>167</v>
      </c>
      <c r="T707" s="27" t="s">
        <v>2185</v>
      </c>
      <c r="U707" s="27">
        <v>375.67899999999997</v>
      </c>
    </row>
    <row r="708" spans="1:21" ht="16.5" thickBot="1">
      <c r="A708" t="s">
        <v>162</v>
      </c>
      <c r="B708" s="104">
        <v>46262</v>
      </c>
      <c r="C708" t="e">
        <v>#N/A</v>
      </c>
      <c r="F708" t="s">
        <v>179</v>
      </c>
      <c r="G708" s="2">
        <v>2000</v>
      </c>
      <c r="H708" s="2">
        <v>2000</v>
      </c>
      <c r="I708" s="2">
        <v>0</v>
      </c>
      <c r="J708" s="2">
        <v>0</v>
      </c>
      <c r="M708" s="92" t="s">
        <v>166</v>
      </c>
      <c r="N708" t="s">
        <v>4077</v>
      </c>
      <c r="O708" s="23">
        <v>20260828</v>
      </c>
      <c r="P708" s="31">
        <v>202608280000015</v>
      </c>
      <c r="Q708" s="24">
        <v>2000</v>
      </c>
      <c r="R708" s="25"/>
      <c r="S708" s="24" t="s">
        <v>167</v>
      </c>
      <c r="T708" s="24" t="s">
        <v>2787</v>
      </c>
      <c r="U708" s="24">
        <v>377.67899999999997</v>
      </c>
    </row>
    <row r="709" spans="1:21" ht="16.5" hidden="1" thickBot="1">
      <c r="A709" t="s">
        <v>162</v>
      </c>
      <c r="B709" s="104">
        <v>46263</v>
      </c>
      <c r="C709" t="s">
        <v>2108</v>
      </c>
      <c r="D709" t="s">
        <v>2109</v>
      </c>
      <c r="F709" t="s">
        <v>165</v>
      </c>
      <c r="G709" s="2">
        <v>3850</v>
      </c>
      <c r="I709" s="2">
        <v>3850</v>
      </c>
      <c r="J709" s="2">
        <v>0</v>
      </c>
      <c r="M709" s="92" t="s">
        <v>166</v>
      </c>
      <c r="O709" s="23">
        <v>20260829</v>
      </c>
      <c r="P709" s="31">
        <v>202608290000001</v>
      </c>
      <c r="Q709" s="24">
        <v>3850</v>
      </c>
      <c r="R709" s="25"/>
      <c r="S709" s="24" t="s">
        <v>167</v>
      </c>
      <c r="T709" s="24" t="s">
        <v>689</v>
      </c>
      <c r="U709" s="24">
        <v>381.529</v>
      </c>
    </row>
    <row r="710" spans="1:21" ht="16.5" thickBot="1">
      <c r="A710" t="s">
        <v>3296</v>
      </c>
      <c r="B710" s="104">
        <v>46263</v>
      </c>
      <c r="C710" t="s">
        <v>386</v>
      </c>
      <c r="D710" t="s">
        <v>387</v>
      </c>
      <c r="F710" t="s">
        <v>179</v>
      </c>
      <c r="G710" s="2">
        <v>6850</v>
      </c>
      <c r="H710" s="2">
        <v>6850</v>
      </c>
      <c r="I710" s="2">
        <v>0</v>
      </c>
      <c r="J710" s="2">
        <v>0</v>
      </c>
      <c r="M710" s="92" t="s">
        <v>175</v>
      </c>
      <c r="N710" t="s">
        <v>4180</v>
      </c>
      <c r="O710" s="26">
        <v>20260829</v>
      </c>
      <c r="P710" s="32">
        <v>202608290000002</v>
      </c>
      <c r="Q710" s="27">
        <v>6850</v>
      </c>
      <c r="R710" s="28"/>
      <c r="S710" s="27" t="s">
        <v>184</v>
      </c>
      <c r="T710" s="27" t="s">
        <v>2788</v>
      </c>
      <c r="U710" s="27">
        <v>388.37900000000002</v>
      </c>
    </row>
    <row r="711" spans="1:21" ht="16.5" hidden="1" thickBot="1">
      <c r="A711" t="s">
        <v>162</v>
      </c>
      <c r="B711" s="104">
        <v>46263</v>
      </c>
      <c r="C711" t="s">
        <v>273</v>
      </c>
      <c r="D711" t="s">
        <v>274</v>
      </c>
      <c r="F711" t="s">
        <v>165</v>
      </c>
      <c r="G711" s="2">
        <v>3850</v>
      </c>
      <c r="I711" s="2">
        <v>3850</v>
      </c>
      <c r="J711" s="2">
        <v>0</v>
      </c>
      <c r="M711" s="92" t="s">
        <v>166</v>
      </c>
      <c r="O711" s="20">
        <v>20260829</v>
      </c>
      <c r="P711" s="30">
        <v>202608290000003</v>
      </c>
      <c r="Q711" s="21">
        <v>3850</v>
      </c>
      <c r="R711" s="22"/>
      <c r="S711" s="21" t="s">
        <v>167</v>
      </c>
      <c r="T711" s="21" t="s">
        <v>275</v>
      </c>
      <c r="U711" s="21">
        <v>392.22899999999998</v>
      </c>
    </row>
    <row r="712" spans="1:21" ht="16.5" hidden="1" thickBot="1">
      <c r="A712" t="s">
        <v>3293</v>
      </c>
      <c r="B712" s="104">
        <v>46264</v>
      </c>
      <c r="C712" t="s">
        <v>1586</v>
      </c>
      <c r="D712" t="s">
        <v>1587</v>
      </c>
      <c r="F712" t="s">
        <v>165</v>
      </c>
      <c r="G712" s="2">
        <v>6850</v>
      </c>
      <c r="H712" s="2">
        <v>3000</v>
      </c>
      <c r="I712" s="2">
        <v>3850</v>
      </c>
      <c r="J712" s="2">
        <v>0</v>
      </c>
      <c r="M712" s="92" t="s">
        <v>175</v>
      </c>
      <c r="O712" s="26">
        <v>20260830</v>
      </c>
      <c r="P712" s="32">
        <v>202608300000001</v>
      </c>
      <c r="Q712" s="27">
        <v>6850</v>
      </c>
      <c r="R712" s="28"/>
      <c r="S712" s="27" t="s">
        <v>167</v>
      </c>
      <c r="T712" s="27" t="s">
        <v>2789</v>
      </c>
      <c r="U712" s="27">
        <v>399.07900000000001</v>
      </c>
    </row>
    <row r="713" spans="1:21" ht="16.5" thickBot="1">
      <c r="A713" t="s">
        <v>162</v>
      </c>
      <c r="B713" s="104">
        <v>46264</v>
      </c>
      <c r="C713" t="e">
        <v>#N/A</v>
      </c>
      <c r="F713" t="s">
        <v>179</v>
      </c>
      <c r="G713" s="2">
        <v>2000</v>
      </c>
      <c r="I713" s="2">
        <v>2000</v>
      </c>
      <c r="J713" s="2">
        <v>0</v>
      </c>
      <c r="M713" s="92" t="s">
        <v>166</v>
      </c>
      <c r="N713" t="s">
        <v>4085</v>
      </c>
      <c r="O713" s="23">
        <v>20260830</v>
      </c>
      <c r="P713" s="31">
        <v>202608300000002</v>
      </c>
      <c r="Q713" s="24">
        <v>2000</v>
      </c>
      <c r="R713" s="25"/>
      <c r="S713" s="24" t="s">
        <v>184</v>
      </c>
      <c r="T713" s="24" t="s">
        <v>2790</v>
      </c>
      <c r="U713" s="24">
        <v>401.07900000000001</v>
      </c>
    </row>
    <row r="714" spans="1:21" ht="16.5" thickBot="1">
      <c r="A714" t="s">
        <v>3293</v>
      </c>
      <c r="B714" s="104">
        <v>46264</v>
      </c>
      <c r="C714" t="s">
        <v>177</v>
      </c>
      <c r="D714" t="s">
        <v>178</v>
      </c>
      <c r="F714" t="s">
        <v>179</v>
      </c>
      <c r="G714" s="2">
        <v>6850</v>
      </c>
      <c r="H714" s="2">
        <v>6850</v>
      </c>
      <c r="I714" s="2">
        <v>0</v>
      </c>
      <c r="J714" s="2">
        <v>0</v>
      </c>
      <c r="M714" s="92" t="s">
        <v>175</v>
      </c>
      <c r="N714" t="s">
        <v>4262</v>
      </c>
      <c r="O714" s="26">
        <v>20260830</v>
      </c>
      <c r="P714" s="32">
        <v>202608300000003</v>
      </c>
      <c r="Q714" s="27">
        <v>6850</v>
      </c>
      <c r="R714" s="28"/>
      <c r="S714" s="27" t="s">
        <v>167</v>
      </c>
      <c r="T714" s="27" t="s">
        <v>2791</v>
      </c>
      <c r="U714" s="27">
        <v>407.92899999999997</v>
      </c>
    </row>
    <row r="715" spans="1:21" ht="16.5" thickBot="1">
      <c r="A715" t="s">
        <v>3293</v>
      </c>
      <c r="B715" s="104">
        <v>46264</v>
      </c>
      <c r="C715" t="s">
        <v>214</v>
      </c>
      <c r="D715" t="s">
        <v>215</v>
      </c>
      <c r="F715" t="s">
        <v>179</v>
      </c>
      <c r="G715" s="2">
        <v>6850</v>
      </c>
      <c r="H715" s="2">
        <v>6850</v>
      </c>
      <c r="I715" s="2">
        <v>0</v>
      </c>
      <c r="J715" s="2">
        <v>0</v>
      </c>
      <c r="L715" s="92"/>
      <c r="M715" s="92" t="s">
        <v>175</v>
      </c>
      <c r="N715" t="s">
        <v>4200</v>
      </c>
      <c r="O715" s="23">
        <v>20260830</v>
      </c>
      <c r="P715" s="31">
        <v>202608300000004</v>
      </c>
      <c r="Q715" s="24">
        <v>6850</v>
      </c>
      <c r="R715" s="25"/>
      <c r="S715" s="24" t="s">
        <v>167</v>
      </c>
      <c r="T715" s="24" t="s">
        <v>208</v>
      </c>
      <c r="U715" s="24">
        <v>414.779</v>
      </c>
    </row>
    <row r="716" spans="1:21" ht="16.5" hidden="1" thickBot="1">
      <c r="A716" t="s">
        <v>172</v>
      </c>
      <c r="B716" s="104">
        <v>46264</v>
      </c>
      <c r="C716" t="s">
        <v>3251</v>
      </c>
      <c r="D716" t="s">
        <v>3252</v>
      </c>
      <c r="F716" t="s">
        <v>165</v>
      </c>
      <c r="G716" s="2">
        <v>5695</v>
      </c>
      <c r="H716" s="2">
        <v>3000</v>
      </c>
      <c r="I716" s="2">
        <v>2695</v>
      </c>
      <c r="J716" s="2">
        <v>0</v>
      </c>
      <c r="M716" s="92" t="s">
        <v>175</v>
      </c>
      <c r="O716" s="26">
        <v>20260830</v>
      </c>
      <c r="P716" s="32">
        <v>202608300000005</v>
      </c>
      <c r="Q716" s="27">
        <v>5695</v>
      </c>
      <c r="R716" s="28"/>
      <c r="S716" s="27" t="s">
        <v>167</v>
      </c>
      <c r="T716" s="27" t="s">
        <v>406</v>
      </c>
      <c r="U716" s="27">
        <v>420.47399999999999</v>
      </c>
    </row>
    <row r="717" spans="1:21" ht="16.5" thickBot="1">
      <c r="A717" t="s">
        <v>3293</v>
      </c>
      <c r="B717" s="104">
        <v>46265</v>
      </c>
      <c r="C717" t="s">
        <v>214</v>
      </c>
      <c r="D717" t="s">
        <v>215</v>
      </c>
      <c r="F717" t="s">
        <v>179</v>
      </c>
      <c r="G717" s="2">
        <v>6850</v>
      </c>
      <c r="H717" s="2">
        <v>6850</v>
      </c>
      <c r="I717" s="2">
        <v>0</v>
      </c>
      <c r="J717" s="2">
        <v>0</v>
      </c>
      <c r="L717" s="92"/>
      <c r="M717" s="92" t="s">
        <v>175</v>
      </c>
      <c r="N717" t="s">
        <v>4201</v>
      </c>
      <c r="O717" s="23">
        <v>20260831</v>
      </c>
      <c r="P717" s="31">
        <v>202608310000001</v>
      </c>
      <c r="Q717" s="24">
        <v>6850</v>
      </c>
      <c r="R717" s="25"/>
      <c r="S717" s="24" t="s">
        <v>167</v>
      </c>
      <c r="T717" s="24" t="s">
        <v>2792</v>
      </c>
      <c r="U717" s="24">
        <v>427.32400000000001</v>
      </c>
    </row>
    <row r="718" spans="1:21" ht="16.5" hidden="1" thickBot="1">
      <c r="A718" t="s">
        <v>176</v>
      </c>
      <c r="B718" s="104">
        <v>46265</v>
      </c>
      <c r="C718" t="s">
        <v>3253</v>
      </c>
      <c r="D718" t="s">
        <v>3254</v>
      </c>
      <c r="F718" t="s">
        <v>165</v>
      </c>
      <c r="G718" s="2">
        <v>5985</v>
      </c>
      <c r="H718" s="2">
        <v>3000</v>
      </c>
      <c r="I718" s="2">
        <v>2985</v>
      </c>
      <c r="J718" s="2">
        <v>0</v>
      </c>
      <c r="M718" s="92" t="s">
        <v>175</v>
      </c>
      <c r="O718" s="26">
        <v>20260831</v>
      </c>
      <c r="P718" s="32">
        <v>202608310000002</v>
      </c>
      <c r="Q718" s="27">
        <v>5985</v>
      </c>
      <c r="R718" s="28"/>
      <c r="S718" s="27" t="s">
        <v>167</v>
      </c>
      <c r="T718" s="27" t="s">
        <v>2793</v>
      </c>
      <c r="U718" s="27">
        <v>433.30900000000003</v>
      </c>
    </row>
    <row r="719" spans="1:21" ht="16.5" hidden="1" thickBot="1">
      <c r="A719" t="s">
        <v>172</v>
      </c>
      <c r="B719" s="104">
        <v>46265</v>
      </c>
      <c r="C719" t="s">
        <v>3255</v>
      </c>
      <c r="D719" t="s">
        <v>3256</v>
      </c>
      <c r="F719" t="s">
        <v>165</v>
      </c>
      <c r="G719" s="2">
        <v>8290</v>
      </c>
      <c r="H719" s="2">
        <v>4000</v>
      </c>
      <c r="I719" s="2">
        <v>4290</v>
      </c>
      <c r="J719" s="2">
        <v>0</v>
      </c>
      <c r="M719" s="92" t="s">
        <v>175</v>
      </c>
      <c r="O719" s="23">
        <v>20260831</v>
      </c>
      <c r="P719" s="31">
        <v>202608310000003</v>
      </c>
      <c r="Q719" s="24">
        <v>8290</v>
      </c>
      <c r="R719" s="25"/>
      <c r="S719" s="24" t="s">
        <v>167</v>
      </c>
      <c r="T719" s="24" t="s">
        <v>2794</v>
      </c>
      <c r="U719" s="24">
        <v>441.59899999999999</v>
      </c>
    </row>
    <row r="720" spans="1:21" ht="16.5" hidden="1" thickBot="1">
      <c r="A720" t="s">
        <v>180</v>
      </c>
      <c r="B720" s="104">
        <v>46265</v>
      </c>
      <c r="C720" t="s">
        <v>3257</v>
      </c>
      <c r="D720" t="s">
        <v>3258</v>
      </c>
      <c r="F720" t="s">
        <v>165</v>
      </c>
      <c r="G720" s="2">
        <v>8797</v>
      </c>
      <c r="H720" s="2">
        <v>4797</v>
      </c>
      <c r="I720" s="2">
        <v>4000</v>
      </c>
      <c r="J720" s="2">
        <v>0</v>
      </c>
      <c r="M720" s="92" t="s">
        <v>175</v>
      </c>
      <c r="O720" s="26">
        <v>20260831</v>
      </c>
      <c r="P720" s="32">
        <v>202608310000004</v>
      </c>
      <c r="Q720" s="27">
        <v>8797</v>
      </c>
      <c r="R720" s="28"/>
      <c r="S720" s="27" t="s">
        <v>167</v>
      </c>
      <c r="T720" s="27" t="s">
        <v>2795</v>
      </c>
      <c r="U720" s="27">
        <v>450.39600000000002</v>
      </c>
    </row>
    <row r="721" spans="1:21" ht="16.5" hidden="1" thickBot="1">
      <c r="A721" t="s">
        <v>176</v>
      </c>
      <c r="B721" s="104">
        <v>46265</v>
      </c>
      <c r="C721" t="s">
        <v>3259</v>
      </c>
      <c r="D721" t="s">
        <v>3260</v>
      </c>
      <c r="F721" t="s">
        <v>165</v>
      </c>
      <c r="G721" s="2">
        <v>8290</v>
      </c>
      <c r="H721" s="2">
        <v>4000</v>
      </c>
      <c r="I721" s="2">
        <v>4290</v>
      </c>
      <c r="J721" s="2">
        <v>0</v>
      </c>
      <c r="M721" s="92" t="s">
        <v>175</v>
      </c>
      <c r="O721" s="23">
        <v>20260831</v>
      </c>
      <c r="P721" s="31">
        <v>202608310000005</v>
      </c>
      <c r="Q721" s="24">
        <v>8290</v>
      </c>
      <c r="R721" s="25"/>
      <c r="S721" s="24" t="s">
        <v>167</v>
      </c>
      <c r="T721" s="24" t="s">
        <v>2796</v>
      </c>
      <c r="U721" s="24">
        <v>458.68599999999998</v>
      </c>
    </row>
    <row r="722" spans="1:21" ht="16.5" hidden="1" thickBot="1">
      <c r="A722" t="s">
        <v>172</v>
      </c>
      <c r="B722" s="104">
        <v>46265</v>
      </c>
      <c r="C722" t="s">
        <v>3261</v>
      </c>
      <c r="D722" t="s">
        <v>3262</v>
      </c>
      <c r="F722" t="s">
        <v>165</v>
      </c>
      <c r="G722" s="2">
        <v>5250</v>
      </c>
      <c r="H722" s="2">
        <v>3000</v>
      </c>
      <c r="I722" s="2">
        <v>2250</v>
      </c>
      <c r="J722" s="2">
        <v>0</v>
      </c>
      <c r="M722" s="92" t="s">
        <v>175</v>
      </c>
      <c r="O722" s="26">
        <v>20260831</v>
      </c>
      <c r="P722" s="32">
        <v>202608310000006</v>
      </c>
      <c r="Q722" s="27">
        <v>5250</v>
      </c>
      <c r="R722" s="28"/>
      <c r="S722" s="27" t="s">
        <v>167</v>
      </c>
      <c r="T722" s="27" t="s">
        <v>2797</v>
      </c>
      <c r="U722" s="27">
        <v>463.93599999999998</v>
      </c>
    </row>
    <row r="723" spans="1:21" ht="16.5" hidden="1" thickBot="1">
      <c r="A723" t="s">
        <v>172</v>
      </c>
      <c r="B723" s="104">
        <v>46265</v>
      </c>
      <c r="C723" t="s">
        <v>3263</v>
      </c>
      <c r="D723" t="s">
        <v>3264</v>
      </c>
      <c r="F723" t="s">
        <v>165</v>
      </c>
      <c r="G723" s="2">
        <v>5985</v>
      </c>
      <c r="H723" s="2">
        <v>3000</v>
      </c>
      <c r="I723" s="2">
        <v>2985</v>
      </c>
      <c r="J723" s="2">
        <v>0</v>
      </c>
      <c r="M723" s="92" t="s">
        <v>175</v>
      </c>
      <c r="O723" s="23">
        <v>20260831</v>
      </c>
      <c r="P723" s="31">
        <v>202608310000007</v>
      </c>
      <c r="Q723" s="24">
        <v>5985</v>
      </c>
      <c r="R723" s="25"/>
      <c r="S723" s="24" t="s">
        <v>167</v>
      </c>
      <c r="T723" s="24" t="s">
        <v>2798</v>
      </c>
      <c r="U723" s="24">
        <v>469.92099999999999</v>
      </c>
    </row>
    <row r="724" spans="1:21" ht="16.5" hidden="1" thickBot="1">
      <c r="A724" t="s">
        <v>180</v>
      </c>
      <c r="B724" s="104">
        <v>46265</v>
      </c>
      <c r="C724" t="s">
        <v>1737</v>
      </c>
      <c r="D724" t="s">
        <v>1738</v>
      </c>
      <c r="F724" t="s">
        <v>165</v>
      </c>
      <c r="G724" s="2">
        <v>4692</v>
      </c>
      <c r="H724" s="2">
        <v>3000</v>
      </c>
      <c r="I724" s="2">
        <v>1692</v>
      </c>
      <c r="J724" s="2">
        <v>0</v>
      </c>
      <c r="M724" s="92" t="s">
        <v>175</v>
      </c>
      <c r="O724" s="26">
        <v>20260831</v>
      </c>
      <c r="P724" s="32">
        <v>202608310000008</v>
      </c>
      <c r="Q724" s="27">
        <v>4692</v>
      </c>
      <c r="R724" s="28"/>
      <c r="S724" s="27" t="s">
        <v>167</v>
      </c>
      <c r="T724" s="27" t="s">
        <v>2799</v>
      </c>
      <c r="U724" s="27">
        <v>474.613</v>
      </c>
    </row>
    <row r="725" spans="1:21" ht="16.5" hidden="1" thickBot="1">
      <c r="A725" t="s">
        <v>172</v>
      </c>
      <c r="B725" s="104">
        <v>46265</v>
      </c>
      <c r="C725" t="s">
        <v>3265</v>
      </c>
      <c r="D725" t="s">
        <v>3266</v>
      </c>
      <c r="F725" t="s">
        <v>165</v>
      </c>
      <c r="G725" s="2">
        <v>7090</v>
      </c>
      <c r="H725" s="2">
        <v>4000</v>
      </c>
      <c r="I725" s="2">
        <v>3090</v>
      </c>
      <c r="J725" s="2">
        <v>0</v>
      </c>
      <c r="M725" s="92" t="s">
        <v>175</v>
      </c>
      <c r="O725" s="23">
        <v>20260831</v>
      </c>
      <c r="P725" s="31">
        <v>202608310000009</v>
      </c>
      <c r="Q725" s="24">
        <v>7090</v>
      </c>
      <c r="R725" s="25"/>
      <c r="S725" s="24" t="s">
        <v>167</v>
      </c>
      <c r="T725" s="24" t="s">
        <v>2800</v>
      </c>
      <c r="U725" s="24">
        <v>481.70299999999997</v>
      </c>
    </row>
    <row r="726" spans="1:21" ht="16.5" hidden="1" thickBot="1">
      <c r="A726" t="s">
        <v>172</v>
      </c>
      <c r="B726" s="104">
        <v>46265</v>
      </c>
      <c r="C726" t="s">
        <v>3267</v>
      </c>
      <c r="D726" t="s">
        <v>3268</v>
      </c>
      <c r="F726" t="s">
        <v>165</v>
      </c>
      <c r="G726" s="2">
        <v>5985</v>
      </c>
      <c r="H726" s="2">
        <v>3000</v>
      </c>
      <c r="I726" s="2">
        <v>2985</v>
      </c>
      <c r="J726" s="2">
        <v>0</v>
      </c>
      <c r="M726" s="92" t="s">
        <v>175</v>
      </c>
      <c r="O726" s="26">
        <v>20260831</v>
      </c>
      <c r="P726" s="32">
        <v>202608310000010</v>
      </c>
      <c r="Q726" s="27">
        <v>5985</v>
      </c>
      <c r="R726" s="28"/>
      <c r="S726" s="27" t="s">
        <v>167</v>
      </c>
      <c r="T726" s="27" t="s">
        <v>2801</v>
      </c>
      <c r="U726" s="27">
        <v>487.68799999999999</v>
      </c>
    </row>
    <row r="727" spans="1:21" ht="16.5" hidden="1" thickBot="1">
      <c r="A727" t="s">
        <v>176</v>
      </c>
      <c r="B727" s="104">
        <v>46265</v>
      </c>
      <c r="C727" t="s">
        <v>3269</v>
      </c>
      <c r="D727" t="s">
        <v>3270</v>
      </c>
      <c r="F727" t="s">
        <v>165</v>
      </c>
      <c r="G727" s="2">
        <v>5250</v>
      </c>
      <c r="H727" s="2">
        <v>3000</v>
      </c>
      <c r="I727" s="2">
        <v>2250</v>
      </c>
      <c r="J727" s="2">
        <v>0</v>
      </c>
      <c r="M727" s="92" t="s">
        <v>175</v>
      </c>
      <c r="O727" s="23">
        <v>20260831</v>
      </c>
      <c r="P727" s="31">
        <v>202608310000011</v>
      </c>
      <c r="Q727" s="24">
        <v>5250</v>
      </c>
      <c r="R727" s="25"/>
      <c r="S727" s="24" t="s">
        <v>167</v>
      </c>
      <c r="T727" s="24" t="s">
        <v>2802</v>
      </c>
      <c r="U727" s="24">
        <v>492.93799999999999</v>
      </c>
    </row>
    <row r="728" spans="1:21" ht="16.5" hidden="1" thickBot="1">
      <c r="A728" t="s">
        <v>180</v>
      </c>
      <c r="B728" s="104">
        <v>46265</v>
      </c>
      <c r="C728" t="s">
        <v>3271</v>
      </c>
      <c r="D728" t="s">
        <v>3272</v>
      </c>
      <c r="F728" t="s">
        <v>165</v>
      </c>
      <c r="G728" s="2">
        <v>6090</v>
      </c>
      <c r="H728" s="2">
        <v>3000</v>
      </c>
      <c r="I728" s="2">
        <v>3090</v>
      </c>
      <c r="J728" s="2">
        <v>0</v>
      </c>
      <c r="M728" s="92" t="s">
        <v>175</v>
      </c>
      <c r="O728" s="26">
        <v>20260831</v>
      </c>
      <c r="P728" s="32">
        <v>202608310000012</v>
      </c>
      <c r="Q728" s="27">
        <v>6090</v>
      </c>
      <c r="R728" s="28"/>
      <c r="S728" s="27" t="s">
        <v>167</v>
      </c>
      <c r="T728" s="27" t="s">
        <v>2803</v>
      </c>
      <c r="U728" s="27">
        <v>499.02800000000002</v>
      </c>
    </row>
    <row r="729" spans="1:21" ht="16.5" thickBot="1">
      <c r="A729" t="s">
        <v>172</v>
      </c>
      <c r="B729" s="104">
        <v>46265</v>
      </c>
      <c r="C729" t="s">
        <v>3273</v>
      </c>
      <c r="D729" t="s">
        <v>3274</v>
      </c>
      <c r="F729" t="s">
        <v>179</v>
      </c>
      <c r="G729" s="2">
        <v>4290</v>
      </c>
      <c r="H729" s="2">
        <v>4000</v>
      </c>
      <c r="I729" s="2">
        <v>290</v>
      </c>
      <c r="J729" s="2">
        <v>0</v>
      </c>
      <c r="M729" s="92" t="s">
        <v>175</v>
      </c>
      <c r="N729" t="s">
        <v>4177</v>
      </c>
      <c r="O729" s="23">
        <v>20260831</v>
      </c>
      <c r="P729" s="31">
        <v>202608310000013</v>
      </c>
      <c r="Q729" s="24">
        <v>4290</v>
      </c>
      <c r="R729" s="25"/>
      <c r="S729" s="24" t="s">
        <v>167</v>
      </c>
      <c r="T729" s="24" t="s">
        <v>2804</v>
      </c>
      <c r="U729" s="24">
        <v>503.31799999999998</v>
      </c>
    </row>
    <row r="730" spans="1:21" ht="16.5" thickBot="1">
      <c r="A730" t="s">
        <v>176</v>
      </c>
      <c r="B730" s="104">
        <v>46265</v>
      </c>
      <c r="C730" t="s">
        <v>3275</v>
      </c>
      <c r="D730" t="s">
        <v>3276</v>
      </c>
      <c r="F730" t="s">
        <v>179</v>
      </c>
      <c r="G730" s="2">
        <v>4290</v>
      </c>
      <c r="H730" s="2">
        <v>4000</v>
      </c>
      <c r="I730" s="2">
        <v>290</v>
      </c>
      <c r="J730" s="2">
        <v>0</v>
      </c>
      <c r="L730" s="92"/>
      <c r="M730" s="92" t="s">
        <v>175</v>
      </c>
      <c r="N730" t="s">
        <v>4164</v>
      </c>
      <c r="O730" s="26">
        <v>20260831</v>
      </c>
      <c r="P730" s="32">
        <v>202608310000014</v>
      </c>
      <c r="Q730" s="27">
        <v>4290</v>
      </c>
      <c r="R730" s="28"/>
      <c r="S730" s="27" t="s">
        <v>167</v>
      </c>
      <c r="T730" s="27" t="s">
        <v>2805</v>
      </c>
      <c r="U730" s="27">
        <v>507.608</v>
      </c>
    </row>
    <row r="731" spans="1:21" ht="16.5" thickBot="1">
      <c r="A731" t="s">
        <v>176</v>
      </c>
      <c r="B731" s="104">
        <v>46265</v>
      </c>
      <c r="C731" t="s">
        <v>3277</v>
      </c>
      <c r="D731" t="s">
        <v>3278</v>
      </c>
      <c r="F731" t="s">
        <v>179</v>
      </c>
      <c r="G731" s="2">
        <v>4290</v>
      </c>
      <c r="H731" s="2">
        <v>4000</v>
      </c>
      <c r="I731" s="2">
        <v>290</v>
      </c>
      <c r="J731" s="2">
        <v>0</v>
      </c>
      <c r="M731" s="92" t="s">
        <v>175</v>
      </c>
      <c r="N731" t="s">
        <v>4250</v>
      </c>
      <c r="O731" s="23">
        <v>20260831</v>
      </c>
      <c r="P731" s="31">
        <v>202608310000015</v>
      </c>
      <c r="Q731" s="24">
        <v>4290</v>
      </c>
      <c r="R731" s="25"/>
      <c r="S731" s="24" t="s">
        <v>167</v>
      </c>
      <c r="T731" s="24" t="s">
        <v>2806</v>
      </c>
      <c r="U731" s="24">
        <v>511.89800000000002</v>
      </c>
    </row>
    <row r="732" spans="1:21" ht="16.5" hidden="1" thickBot="1">
      <c r="A732" t="s">
        <v>180</v>
      </c>
      <c r="B732" s="104">
        <v>46265</v>
      </c>
      <c r="C732" t="s">
        <v>3279</v>
      </c>
      <c r="D732" t="s">
        <v>3280</v>
      </c>
      <c r="F732" t="s">
        <v>165</v>
      </c>
      <c r="G732" s="2">
        <v>10210</v>
      </c>
      <c r="H732" s="2">
        <v>6000</v>
      </c>
      <c r="I732" s="2">
        <v>4210</v>
      </c>
      <c r="J732" s="2">
        <v>0</v>
      </c>
      <c r="M732" s="92" t="s">
        <v>175</v>
      </c>
      <c r="O732" s="26">
        <v>20260831</v>
      </c>
      <c r="P732" s="32">
        <v>202608310000016</v>
      </c>
      <c r="Q732" s="27">
        <v>10210</v>
      </c>
      <c r="R732" s="28"/>
      <c r="S732" s="27" t="s">
        <v>167</v>
      </c>
      <c r="T732" s="27" t="s">
        <v>2807</v>
      </c>
      <c r="U732" s="27">
        <v>522.10799999999995</v>
      </c>
    </row>
    <row r="733" spans="1:21" ht="16.5" hidden="1" thickBot="1">
      <c r="A733" t="s">
        <v>180</v>
      </c>
      <c r="B733" s="104">
        <v>46265</v>
      </c>
      <c r="C733" t="s">
        <v>3281</v>
      </c>
      <c r="D733" t="s">
        <v>3282</v>
      </c>
      <c r="F733" t="s">
        <v>165</v>
      </c>
      <c r="G733" s="2">
        <v>9290</v>
      </c>
      <c r="H733" s="2">
        <v>5000</v>
      </c>
      <c r="I733" s="2">
        <v>4290</v>
      </c>
      <c r="J733" s="2">
        <v>0</v>
      </c>
      <c r="M733" s="92" t="s">
        <v>175</v>
      </c>
      <c r="O733" s="23">
        <v>20260831</v>
      </c>
      <c r="P733" s="31">
        <v>202608310000017</v>
      </c>
      <c r="Q733" s="24">
        <v>9290</v>
      </c>
      <c r="R733" s="25"/>
      <c r="S733" s="24" t="s">
        <v>167</v>
      </c>
      <c r="T733" s="24" t="s">
        <v>2808</v>
      </c>
      <c r="U733" s="24">
        <v>531.39800000000002</v>
      </c>
    </row>
    <row r="734" spans="1:21" ht="16.5" thickBot="1">
      <c r="A734" t="s">
        <v>176</v>
      </c>
      <c r="B734" s="104">
        <v>46265</v>
      </c>
      <c r="C734" t="s">
        <v>3283</v>
      </c>
      <c r="D734" t="s">
        <v>3284</v>
      </c>
      <c r="F734" t="s">
        <v>179</v>
      </c>
      <c r="G734" s="2">
        <v>4290</v>
      </c>
      <c r="H734" s="2">
        <v>4000</v>
      </c>
      <c r="I734" s="2">
        <v>290</v>
      </c>
      <c r="J734" s="2">
        <v>0</v>
      </c>
      <c r="L734" s="92"/>
      <c r="M734" s="92" t="s">
        <v>175</v>
      </c>
      <c r="N734" t="s">
        <v>4172</v>
      </c>
      <c r="O734" s="26">
        <v>20260831</v>
      </c>
      <c r="P734" s="32">
        <v>202608310000018</v>
      </c>
      <c r="Q734" s="27">
        <v>4290</v>
      </c>
      <c r="R734" s="28"/>
      <c r="S734" s="27" t="s">
        <v>167</v>
      </c>
      <c r="T734" s="27" t="s">
        <v>2809</v>
      </c>
      <c r="U734" s="27">
        <v>535.68799999999999</v>
      </c>
    </row>
    <row r="735" spans="1:21" ht="16.5" hidden="1" thickBot="1">
      <c r="A735" t="s">
        <v>180</v>
      </c>
      <c r="B735" s="104">
        <v>46265</v>
      </c>
      <c r="C735" t="s">
        <v>3285</v>
      </c>
      <c r="D735" t="s">
        <v>3286</v>
      </c>
      <c r="F735" t="s">
        <v>165</v>
      </c>
      <c r="G735" s="2">
        <v>8797</v>
      </c>
      <c r="H735" s="2">
        <v>4797</v>
      </c>
      <c r="I735" s="2">
        <v>4000</v>
      </c>
      <c r="J735" s="2">
        <v>0</v>
      </c>
      <c r="M735" s="92" t="s">
        <v>175</v>
      </c>
      <c r="O735" s="23">
        <v>20260831</v>
      </c>
      <c r="P735" s="31">
        <v>202608310000019</v>
      </c>
      <c r="Q735" s="24">
        <v>8797</v>
      </c>
      <c r="R735" s="25"/>
      <c r="S735" s="24" t="s">
        <v>167</v>
      </c>
      <c r="T735" s="24" t="s">
        <v>2810</v>
      </c>
      <c r="U735" s="24">
        <v>544.48500000000001</v>
      </c>
    </row>
    <row r="736" spans="1:21" ht="16.5" hidden="1" thickBot="1">
      <c r="A736" t="s">
        <v>180</v>
      </c>
      <c r="B736" s="104">
        <v>46265</v>
      </c>
      <c r="C736" t="s">
        <v>3287</v>
      </c>
      <c r="D736" t="s">
        <v>3288</v>
      </c>
      <c r="F736" t="s">
        <v>165</v>
      </c>
      <c r="G736" s="2">
        <v>7090</v>
      </c>
      <c r="H736" s="2">
        <v>4000</v>
      </c>
      <c r="I736" s="2">
        <v>3090</v>
      </c>
      <c r="J736" s="2">
        <v>0</v>
      </c>
      <c r="M736" s="92" t="s">
        <v>175</v>
      </c>
      <c r="O736" s="26">
        <v>20260831</v>
      </c>
      <c r="P736" s="32">
        <v>202608310000020</v>
      </c>
      <c r="Q736" s="27">
        <v>7090</v>
      </c>
      <c r="R736" s="28"/>
      <c r="S736" s="27" t="s">
        <v>167</v>
      </c>
      <c r="T736" s="27" t="s">
        <v>2811</v>
      </c>
      <c r="U736" s="27">
        <v>551.57500000000005</v>
      </c>
    </row>
    <row r="737" spans="1:21" ht="16.5" thickBot="1">
      <c r="A737" t="s">
        <v>180</v>
      </c>
      <c r="B737" s="104">
        <v>46265</v>
      </c>
      <c r="C737" t="s">
        <v>3188</v>
      </c>
      <c r="D737" t="s">
        <v>3189</v>
      </c>
      <c r="F737" t="s">
        <v>179</v>
      </c>
      <c r="G737" s="2">
        <v>3297</v>
      </c>
      <c r="H737" s="2">
        <v>3297</v>
      </c>
      <c r="I737" s="2">
        <v>0</v>
      </c>
      <c r="J737" s="2">
        <v>0</v>
      </c>
      <c r="M737" s="92" t="s">
        <v>175</v>
      </c>
      <c r="N737" t="s">
        <v>4255</v>
      </c>
      <c r="O737" s="23">
        <v>20260831</v>
      </c>
      <c r="P737" s="31">
        <v>202608310000021</v>
      </c>
      <c r="Q737" s="24">
        <v>3297</v>
      </c>
      <c r="R737" s="25"/>
      <c r="S737" s="24" t="s">
        <v>167</v>
      </c>
      <c r="T737" s="24" t="s">
        <v>2812</v>
      </c>
      <c r="U737" s="24">
        <v>554.87199999999996</v>
      </c>
    </row>
    <row r="738" spans="1:21" ht="16.5" hidden="1" thickBot="1">
      <c r="A738" t="s">
        <v>162</v>
      </c>
      <c r="B738" s="104">
        <v>46265</v>
      </c>
      <c r="C738" t="s">
        <v>355</v>
      </c>
      <c r="D738" t="s">
        <v>356</v>
      </c>
      <c r="F738" t="s">
        <v>165</v>
      </c>
      <c r="G738" s="2">
        <v>7700</v>
      </c>
      <c r="I738" s="2">
        <v>7700</v>
      </c>
      <c r="J738" s="2">
        <v>0</v>
      </c>
      <c r="M738" s="92" t="s">
        <v>166</v>
      </c>
      <c r="O738" s="26">
        <v>20260831</v>
      </c>
      <c r="P738" s="32">
        <v>202608310000022</v>
      </c>
      <c r="Q738" s="27">
        <v>7700</v>
      </c>
      <c r="R738" s="28"/>
      <c r="S738" s="27" t="s">
        <v>167</v>
      </c>
      <c r="T738" s="27" t="s">
        <v>2161</v>
      </c>
      <c r="U738" s="27">
        <v>562.572</v>
      </c>
    </row>
    <row r="739" spans="1:21" ht="16.5" hidden="1" thickBot="1">
      <c r="A739" t="s">
        <v>162</v>
      </c>
      <c r="B739" s="104">
        <v>46265</v>
      </c>
      <c r="C739" t="s">
        <v>401</v>
      </c>
      <c r="D739" t="s">
        <v>402</v>
      </c>
      <c r="F739" t="s">
        <v>165</v>
      </c>
      <c r="G739" s="2">
        <v>3850</v>
      </c>
      <c r="I739" s="2">
        <v>3850</v>
      </c>
      <c r="J739" s="2">
        <v>0</v>
      </c>
      <c r="M739" s="92" t="s">
        <v>166</v>
      </c>
      <c r="O739" s="23">
        <v>20260831</v>
      </c>
      <c r="P739" s="31">
        <v>202608310000023</v>
      </c>
      <c r="Q739" s="24">
        <v>3850</v>
      </c>
      <c r="R739" s="25"/>
      <c r="S739" s="24" t="s">
        <v>167</v>
      </c>
      <c r="T739" s="24" t="s">
        <v>403</v>
      </c>
      <c r="U739" s="24">
        <v>566.42200000000003</v>
      </c>
    </row>
    <row r="740" spans="1:21" ht="16.5" thickBot="1">
      <c r="A740" t="s">
        <v>180</v>
      </c>
      <c r="B740" s="104">
        <v>46265</v>
      </c>
      <c r="C740" t="s">
        <v>3289</v>
      </c>
      <c r="D740" t="s">
        <v>3290</v>
      </c>
      <c r="F740" t="s">
        <v>179</v>
      </c>
      <c r="G740" s="2">
        <v>500</v>
      </c>
      <c r="H740" s="2">
        <v>500</v>
      </c>
      <c r="I740" s="2">
        <v>0</v>
      </c>
      <c r="J740" s="2">
        <v>0</v>
      </c>
      <c r="L740" s="92"/>
      <c r="M740" s="92" t="s">
        <v>175</v>
      </c>
      <c r="N740" t="s">
        <v>4178</v>
      </c>
      <c r="O740" s="26">
        <v>20260831</v>
      </c>
      <c r="P740" s="32">
        <v>202608310000024</v>
      </c>
      <c r="Q740" s="27">
        <v>500</v>
      </c>
      <c r="R740" s="28"/>
      <c r="S740" s="27" t="s">
        <v>167</v>
      </c>
      <c r="T740" s="27" t="s">
        <v>2813</v>
      </c>
      <c r="U740" s="27">
        <v>566.92200000000003</v>
      </c>
    </row>
    <row r="741" spans="1:21" ht="16.5" hidden="1" thickBot="1">
      <c r="A741" t="s">
        <v>3295</v>
      </c>
      <c r="B741" s="104">
        <v>46265</v>
      </c>
      <c r="C741" t="e">
        <v>#N/A</v>
      </c>
      <c r="F741" t="s">
        <v>188</v>
      </c>
      <c r="G741" s="2">
        <v>21945</v>
      </c>
      <c r="I741" s="2">
        <v>0</v>
      </c>
      <c r="J741" s="2">
        <v>21945</v>
      </c>
      <c r="M741" s="92" t="s">
        <v>187</v>
      </c>
      <c r="O741" s="23">
        <v>20260831</v>
      </c>
      <c r="P741" s="31">
        <v>202608310000025</v>
      </c>
      <c r="Q741" s="24">
        <v>21945</v>
      </c>
      <c r="R741" s="25"/>
      <c r="S741" s="24" t="s">
        <v>167</v>
      </c>
      <c r="T741" s="24" t="s">
        <v>2814</v>
      </c>
      <c r="U741" s="24">
        <v>588.86699999999996</v>
      </c>
    </row>
    <row r="742" spans="1:21" ht="16.5" hidden="1" thickBot="1">
      <c r="A742" s="92" t="s">
        <v>3295</v>
      </c>
      <c r="B742" s="104">
        <v>46265</v>
      </c>
      <c r="C742" t="e">
        <v>#N/A</v>
      </c>
      <c r="F742" t="s">
        <v>188</v>
      </c>
      <c r="G742" s="2">
        <v>1513</v>
      </c>
      <c r="I742" s="2">
        <v>0</v>
      </c>
      <c r="J742" s="2">
        <v>1513</v>
      </c>
      <c r="M742" s="92" t="s">
        <v>187</v>
      </c>
      <c r="O742" s="26">
        <v>20260831</v>
      </c>
      <c r="P742" s="32">
        <v>202608310000026</v>
      </c>
      <c r="Q742" s="27">
        <v>1513</v>
      </c>
      <c r="R742" s="28"/>
      <c r="S742" s="27" t="s">
        <v>167</v>
      </c>
      <c r="T742" s="27" t="s">
        <v>193</v>
      </c>
      <c r="U742" s="27">
        <v>590.38</v>
      </c>
    </row>
    <row r="743" spans="1:21" ht="16.5" hidden="1" thickBot="1">
      <c r="A743" t="s">
        <v>162</v>
      </c>
      <c r="B743" s="104">
        <v>46265</v>
      </c>
      <c r="C743" t="s">
        <v>163</v>
      </c>
      <c r="D743" t="s">
        <v>164</v>
      </c>
      <c r="F743" t="s">
        <v>165</v>
      </c>
      <c r="G743" s="2">
        <v>3850</v>
      </c>
      <c r="I743" s="2">
        <v>3850</v>
      </c>
      <c r="J743" s="2">
        <v>0</v>
      </c>
      <c r="M743" s="92" t="s">
        <v>166</v>
      </c>
      <c r="O743" s="23">
        <v>20260831</v>
      </c>
      <c r="P743" s="31">
        <v>202608310000027</v>
      </c>
      <c r="Q743" s="24">
        <v>3850</v>
      </c>
      <c r="R743" s="25"/>
      <c r="S743" s="24" t="s">
        <v>167</v>
      </c>
      <c r="T743" s="24" t="s">
        <v>168</v>
      </c>
      <c r="U743" s="24">
        <v>594.23</v>
      </c>
    </row>
    <row r="744" spans="1:21" ht="16.5" hidden="1" thickBot="1">
      <c r="A744" t="s">
        <v>162</v>
      </c>
      <c r="B744" s="104">
        <v>46265</v>
      </c>
      <c r="C744" t="s">
        <v>2965</v>
      </c>
      <c r="D744" t="s">
        <v>2966</v>
      </c>
      <c r="F744" t="s">
        <v>165</v>
      </c>
      <c r="G744" s="2">
        <v>3850</v>
      </c>
      <c r="I744" s="2">
        <v>3850</v>
      </c>
      <c r="J744" s="2">
        <v>0</v>
      </c>
      <c r="M744" s="92" t="s">
        <v>166</v>
      </c>
      <c r="O744" s="26">
        <v>20260831</v>
      </c>
      <c r="P744" s="32">
        <v>202608310000028</v>
      </c>
      <c r="Q744" s="27">
        <v>3850</v>
      </c>
      <c r="R744" s="28"/>
      <c r="S744" s="27" t="s">
        <v>167</v>
      </c>
      <c r="T744" s="27" t="s">
        <v>2265</v>
      </c>
      <c r="U744" s="27">
        <v>598.08000000000004</v>
      </c>
    </row>
    <row r="745" spans="1:21" ht="16.5" thickBot="1">
      <c r="A745" t="s">
        <v>3293</v>
      </c>
      <c r="B745" s="104">
        <v>46265</v>
      </c>
      <c r="C745" t="s">
        <v>1000</v>
      </c>
      <c r="D745" t="s">
        <v>1001</v>
      </c>
      <c r="F745" t="s">
        <v>179</v>
      </c>
      <c r="G745" s="2">
        <v>7000</v>
      </c>
      <c r="H745" s="2">
        <v>7000</v>
      </c>
      <c r="I745" s="2">
        <v>0</v>
      </c>
      <c r="J745" s="2">
        <v>0</v>
      </c>
      <c r="M745" s="92" t="s">
        <v>175</v>
      </c>
      <c r="N745" t="s">
        <v>4203</v>
      </c>
      <c r="O745" s="23">
        <v>20260831</v>
      </c>
      <c r="P745" s="31">
        <v>202608310000029</v>
      </c>
      <c r="Q745" s="24">
        <v>7000</v>
      </c>
      <c r="R745" s="25"/>
      <c r="S745" s="24" t="s">
        <v>167</v>
      </c>
      <c r="T745" s="24" t="s">
        <v>208</v>
      </c>
      <c r="U745" s="24">
        <v>605.08000000000004</v>
      </c>
    </row>
    <row r="746" spans="1:21" ht="16.5" hidden="1" thickBot="1">
      <c r="A746" t="s">
        <v>176</v>
      </c>
      <c r="B746" s="104">
        <v>46265</v>
      </c>
      <c r="C746" t="s">
        <v>3057</v>
      </c>
      <c r="D746" t="s">
        <v>3058</v>
      </c>
      <c r="F746" t="s">
        <v>165</v>
      </c>
      <c r="G746" s="2">
        <v>3850</v>
      </c>
      <c r="I746" s="2">
        <v>3850</v>
      </c>
      <c r="J746" s="2">
        <v>0</v>
      </c>
      <c r="M746" s="92" t="s">
        <v>175</v>
      </c>
      <c r="O746" s="26">
        <v>20260831</v>
      </c>
      <c r="P746" s="32">
        <v>202608310000030</v>
      </c>
      <c r="Q746" s="27">
        <v>3850</v>
      </c>
      <c r="R746" s="28"/>
      <c r="S746" s="27" t="s">
        <v>167</v>
      </c>
      <c r="T746" s="27" t="s">
        <v>2815</v>
      </c>
      <c r="U746" s="27">
        <v>608.92999999999995</v>
      </c>
    </row>
    <row r="747" spans="1:21" ht="16.5" thickBot="1">
      <c r="A747" t="s">
        <v>3293</v>
      </c>
      <c r="B747" s="104">
        <v>46265</v>
      </c>
      <c r="C747" t="s">
        <v>1000</v>
      </c>
      <c r="D747" t="s">
        <v>1001</v>
      </c>
      <c r="F747" t="s">
        <v>179</v>
      </c>
      <c r="G747" s="2">
        <v>21000</v>
      </c>
      <c r="H747" s="2">
        <v>21000</v>
      </c>
      <c r="I747" s="2">
        <v>0</v>
      </c>
      <c r="J747" s="2">
        <v>0</v>
      </c>
      <c r="M747" s="92" t="s">
        <v>175</v>
      </c>
      <c r="N747" t="s">
        <v>4216</v>
      </c>
      <c r="O747" s="23">
        <v>20260831</v>
      </c>
      <c r="P747" s="31">
        <v>202608310000031</v>
      </c>
      <c r="Q747" s="24">
        <v>21000</v>
      </c>
      <c r="R747" s="25"/>
      <c r="S747" s="24" t="s">
        <v>167</v>
      </c>
      <c r="T747" s="24" t="s">
        <v>264</v>
      </c>
      <c r="U747" s="24">
        <v>629.92999999999995</v>
      </c>
    </row>
    <row r="748" spans="1:21" ht="16.5" hidden="1" thickBot="1">
      <c r="A748" t="s">
        <v>162</v>
      </c>
      <c r="B748" s="104">
        <v>46265</v>
      </c>
      <c r="C748" t="s">
        <v>606</v>
      </c>
      <c r="D748" t="s">
        <v>607</v>
      </c>
      <c r="F748" t="s">
        <v>165</v>
      </c>
      <c r="G748" s="2">
        <v>3850</v>
      </c>
      <c r="I748" s="2">
        <v>3850</v>
      </c>
      <c r="J748" s="2">
        <v>0</v>
      </c>
      <c r="M748" s="92" t="s">
        <v>166</v>
      </c>
      <c r="O748" s="26">
        <v>20260831</v>
      </c>
      <c r="P748" s="32">
        <v>202608310000032</v>
      </c>
      <c r="Q748" s="27">
        <v>3850</v>
      </c>
      <c r="R748" s="28"/>
      <c r="S748" s="27" t="s">
        <v>167</v>
      </c>
      <c r="T748" s="27" t="s">
        <v>208</v>
      </c>
      <c r="U748" s="27">
        <v>633.78</v>
      </c>
    </row>
    <row r="749" spans="1:21" ht="16.5" thickBot="1">
      <c r="A749" t="s">
        <v>3293</v>
      </c>
      <c r="B749" s="104">
        <v>46265</v>
      </c>
      <c r="C749" t="s">
        <v>3086</v>
      </c>
      <c r="D749" t="s">
        <v>3087</v>
      </c>
      <c r="F749" t="s">
        <v>179</v>
      </c>
      <c r="G749" s="2">
        <v>7000</v>
      </c>
      <c r="H749" s="2">
        <v>7000</v>
      </c>
      <c r="I749" s="2">
        <v>0</v>
      </c>
      <c r="J749" s="2">
        <v>0</v>
      </c>
      <c r="M749" s="92" t="s">
        <v>175</v>
      </c>
      <c r="N749" t="s">
        <v>4265</v>
      </c>
      <c r="O749" s="23">
        <v>20260831</v>
      </c>
      <c r="P749" s="31">
        <v>202608310000033</v>
      </c>
      <c r="Q749" s="24">
        <v>7000</v>
      </c>
      <c r="R749" s="25"/>
      <c r="S749" s="24" t="s">
        <v>167</v>
      </c>
      <c r="T749" s="24" t="s">
        <v>323</v>
      </c>
      <c r="U749" s="24">
        <v>640.78</v>
      </c>
    </row>
    <row r="750" spans="1:21" ht="16.5" hidden="1" thickBot="1">
      <c r="A750" t="s">
        <v>172</v>
      </c>
      <c r="B750" s="104">
        <v>46265</v>
      </c>
      <c r="C750" t="s">
        <v>3291</v>
      </c>
      <c r="D750" t="s">
        <v>3292</v>
      </c>
      <c r="F750" t="s">
        <v>165</v>
      </c>
      <c r="G750" s="2">
        <v>11390</v>
      </c>
      <c r="H750" s="2">
        <v>6000</v>
      </c>
      <c r="I750" s="2">
        <v>5390</v>
      </c>
      <c r="J750" s="2">
        <v>0</v>
      </c>
      <c r="M750" s="92" t="s">
        <v>175</v>
      </c>
      <c r="O750" s="26">
        <v>20260831</v>
      </c>
      <c r="P750" s="32">
        <v>202608310000034</v>
      </c>
      <c r="Q750" s="27">
        <v>11390</v>
      </c>
      <c r="R750" s="28"/>
      <c r="S750" s="27" t="s">
        <v>167</v>
      </c>
      <c r="T750" s="27" t="s">
        <v>2816</v>
      </c>
      <c r="U750" s="27">
        <v>652.16999999999996</v>
      </c>
    </row>
    <row r="751" spans="1:21" ht="16.5" thickBot="1">
      <c r="A751" t="s">
        <v>3293</v>
      </c>
      <c r="B751" s="104">
        <v>46265</v>
      </c>
      <c r="C751" t="s">
        <v>391</v>
      </c>
      <c r="D751" t="s">
        <v>392</v>
      </c>
      <c r="F751" t="s">
        <v>179</v>
      </c>
      <c r="G751" s="2">
        <v>7000</v>
      </c>
      <c r="H751" s="2">
        <v>7000</v>
      </c>
      <c r="I751" s="2">
        <v>0</v>
      </c>
      <c r="J751" s="2">
        <v>0</v>
      </c>
      <c r="M751" s="92" t="s">
        <v>175</v>
      </c>
      <c r="N751" s="92" t="s">
        <v>4267</v>
      </c>
      <c r="O751" s="23">
        <v>20260831</v>
      </c>
      <c r="P751" s="31">
        <v>202608310000035</v>
      </c>
      <c r="Q751" s="24">
        <v>7000</v>
      </c>
      <c r="R751" s="25"/>
      <c r="S751" s="24" t="s">
        <v>167</v>
      </c>
      <c r="T751" s="24" t="s">
        <v>491</v>
      </c>
      <c r="U751" s="24">
        <v>659.17</v>
      </c>
    </row>
  </sheetData>
  <autoFilter ref="A2:V751">
    <filterColumn colId="1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39997558519241921"/>
  </sheetPr>
  <dimension ref="A1:Q9385"/>
  <sheetViews>
    <sheetView zoomScale="95" zoomScaleNormal="95" workbookViewId="0">
      <pane ySplit="2" topLeftCell="A3" activePane="bottomLeft" state="frozen"/>
      <selection activeCell="C1" sqref="C1"/>
      <selection pane="bottomLeft" activeCell="H11" sqref="H11"/>
    </sheetView>
  </sheetViews>
  <sheetFormatPr defaultRowHeight="15"/>
  <cols>
    <col min="1" max="1" width="24" style="92" customWidth="1"/>
    <col min="2" max="2" width="15" style="92" customWidth="1"/>
    <col min="3" max="3" width="19" style="92" bestFit="1" customWidth="1"/>
    <col min="4" max="4" width="34" style="92" customWidth="1"/>
    <col min="5" max="6" width="17.375" style="92" customWidth="1"/>
    <col min="7" max="7" width="14.375" style="88" customWidth="1"/>
    <col min="8" max="8" width="15.5" style="88" customWidth="1"/>
    <col min="9" max="9" width="19.625" style="65" bestFit="1" customWidth="1"/>
    <col min="10" max="10" width="19.375" customWidth="1"/>
    <col min="11" max="11" width="18.375" style="18" customWidth="1"/>
    <col min="12" max="12" width="18.5" customWidth="1"/>
    <col min="13" max="13" width="11.875" bestFit="1" customWidth="1"/>
    <col min="15" max="15" width="10.5" style="2" bestFit="1" customWidth="1"/>
    <col min="17" max="17" width="19.5" style="65" customWidth="1"/>
  </cols>
  <sheetData>
    <row r="1" spans="1:12" ht="32.25" customHeight="1">
      <c r="A1" s="79" t="s">
        <v>151</v>
      </c>
      <c r="B1" s="79" t="s">
        <v>1184</v>
      </c>
      <c r="C1" s="79" t="s">
        <v>153</v>
      </c>
      <c r="D1" s="79" t="s">
        <v>154</v>
      </c>
      <c r="E1" s="79" t="s">
        <v>155</v>
      </c>
      <c r="F1" s="79" t="s">
        <v>156</v>
      </c>
      <c r="G1" s="80" t="s">
        <v>157</v>
      </c>
      <c r="H1" s="80" t="s">
        <v>158</v>
      </c>
      <c r="I1" s="169" t="s">
        <v>161</v>
      </c>
      <c r="J1" s="165" t="s">
        <v>3996</v>
      </c>
      <c r="K1" s="17"/>
    </row>
    <row r="2" spans="1:12" ht="29.25" customHeight="1">
      <c r="A2" s="74"/>
      <c r="B2" s="74"/>
      <c r="C2" s="74"/>
      <c r="D2" s="74"/>
      <c r="E2" s="74"/>
      <c r="F2" s="76">
        <f>SUBTOTAL(9,F3:F10000)</f>
        <v>588803</v>
      </c>
      <c r="G2" s="76">
        <f t="shared" ref="G2:H2" si="0">SUBTOTAL(9,G3:G10000)</f>
        <v>48451</v>
      </c>
      <c r="H2" s="76">
        <f t="shared" si="0"/>
        <v>540352</v>
      </c>
      <c r="I2" s="170"/>
      <c r="J2" s="165"/>
      <c r="K2" s="17"/>
    </row>
    <row r="3" spans="1:12">
      <c r="A3" s="92" t="s">
        <v>162</v>
      </c>
      <c r="B3" s="93">
        <v>46235</v>
      </c>
      <c r="C3" s="92" t="s">
        <v>3297</v>
      </c>
      <c r="D3" s="92" t="s">
        <v>3298</v>
      </c>
      <c r="E3" s="92" t="s">
        <v>3677</v>
      </c>
      <c r="F3" s="88">
        <v>2000</v>
      </c>
      <c r="H3" s="88">
        <v>2000</v>
      </c>
      <c r="I3" s="65" t="s">
        <v>4028</v>
      </c>
      <c r="J3" s="162">
        <v>1785115561423</v>
      </c>
      <c r="K3" s="65"/>
      <c r="L3" s="65"/>
    </row>
    <row r="4" spans="1:12">
      <c r="A4" s="92" t="s">
        <v>172</v>
      </c>
      <c r="B4" s="93">
        <v>46235</v>
      </c>
      <c r="C4" s="92" t="s">
        <v>3299</v>
      </c>
      <c r="D4" s="92" t="s">
        <v>3300</v>
      </c>
      <c r="E4" s="92" t="s">
        <v>3677</v>
      </c>
      <c r="F4" s="88">
        <v>2000</v>
      </c>
      <c r="H4" s="88">
        <v>2000</v>
      </c>
      <c r="I4" s="65" t="s">
        <v>4017</v>
      </c>
      <c r="J4" s="162">
        <v>1785396146511</v>
      </c>
      <c r="K4" s="65"/>
      <c r="L4" s="65"/>
    </row>
    <row r="5" spans="1:12">
      <c r="A5" s="92" t="s">
        <v>162</v>
      </c>
      <c r="B5" s="93">
        <v>46235</v>
      </c>
      <c r="C5" s="92" t="s">
        <v>3301</v>
      </c>
      <c r="D5" s="92" t="s">
        <v>3302</v>
      </c>
      <c r="E5" s="92" t="s">
        <v>3677</v>
      </c>
      <c r="F5" s="88">
        <v>2000</v>
      </c>
      <c r="H5" s="88">
        <v>2000</v>
      </c>
      <c r="I5" s="65" t="s">
        <v>57</v>
      </c>
      <c r="J5" s="162">
        <v>1785392650438</v>
      </c>
      <c r="K5" s="65"/>
      <c r="L5" s="65"/>
    </row>
    <row r="6" spans="1:12" hidden="1">
      <c r="A6" s="92" t="s">
        <v>162</v>
      </c>
      <c r="B6" s="93">
        <v>46235</v>
      </c>
      <c r="C6" s="92" t="s">
        <v>3303</v>
      </c>
      <c r="D6" s="92" t="s">
        <v>3304</v>
      </c>
      <c r="E6" s="92" t="s">
        <v>3678</v>
      </c>
      <c r="F6" s="88">
        <v>3850</v>
      </c>
      <c r="H6" s="88">
        <v>3850</v>
      </c>
      <c r="I6"/>
      <c r="J6" s="162">
        <v>1785546677369</v>
      </c>
      <c r="K6" s="65"/>
      <c r="L6" s="65"/>
    </row>
    <row r="7" spans="1:12">
      <c r="A7" s="92" t="s">
        <v>162</v>
      </c>
      <c r="B7" s="93">
        <v>46235</v>
      </c>
      <c r="C7" s="92" t="s">
        <v>3305</v>
      </c>
      <c r="D7" s="92" t="s">
        <v>3306</v>
      </c>
      <c r="E7" s="92" t="s">
        <v>3677</v>
      </c>
      <c r="F7" s="88">
        <v>3000</v>
      </c>
      <c r="H7" s="88">
        <v>3000</v>
      </c>
      <c r="I7" s="65" t="s">
        <v>4025</v>
      </c>
      <c r="J7" s="162">
        <v>1785373882254</v>
      </c>
      <c r="K7" s="65"/>
      <c r="L7" s="65"/>
    </row>
    <row r="8" spans="1:12" hidden="1">
      <c r="A8" s="92" t="s">
        <v>172</v>
      </c>
      <c r="B8" s="93">
        <v>46235</v>
      </c>
      <c r="C8" s="92" t="s">
        <v>3307</v>
      </c>
      <c r="D8" s="92" t="s">
        <v>3308</v>
      </c>
      <c r="E8" s="92" t="s">
        <v>3678</v>
      </c>
      <c r="F8" s="88">
        <v>8000</v>
      </c>
      <c r="G8" s="88">
        <v>4000</v>
      </c>
      <c r="H8" s="88">
        <v>4000</v>
      </c>
      <c r="I8"/>
      <c r="J8" s="162">
        <v>1785460890609</v>
      </c>
      <c r="K8" s="65"/>
      <c r="L8" s="65"/>
    </row>
    <row r="9" spans="1:12">
      <c r="A9" s="92" t="s">
        <v>162</v>
      </c>
      <c r="B9" s="93">
        <v>46235</v>
      </c>
      <c r="C9" s="92" t="s">
        <v>1256</v>
      </c>
      <c r="D9" s="92" t="s">
        <v>1257</v>
      </c>
      <c r="E9" s="92" t="s">
        <v>3677</v>
      </c>
      <c r="F9" s="88">
        <v>2000</v>
      </c>
      <c r="H9" s="88">
        <v>2000</v>
      </c>
      <c r="I9" s="65" t="s">
        <v>1258</v>
      </c>
      <c r="J9" s="162">
        <v>1785512384054</v>
      </c>
      <c r="K9" s="65"/>
      <c r="L9" s="65"/>
    </row>
    <row r="10" spans="1:12" hidden="1">
      <c r="A10" s="92" t="s">
        <v>172</v>
      </c>
      <c r="B10" s="93">
        <v>46235</v>
      </c>
      <c r="C10" s="92" t="s">
        <v>3309</v>
      </c>
      <c r="D10" s="92" t="s">
        <v>3310</v>
      </c>
      <c r="E10" s="92" t="s">
        <v>3678</v>
      </c>
      <c r="F10" s="88">
        <v>5695</v>
      </c>
      <c r="G10" s="88">
        <v>3000</v>
      </c>
      <c r="H10" s="88">
        <v>2695</v>
      </c>
      <c r="I10"/>
      <c r="J10" s="162">
        <v>1785495792228</v>
      </c>
      <c r="K10" s="65"/>
      <c r="L10" s="65"/>
    </row>
    <row r="11" spans="1:12" hidden="1">
      <c r="A11" s="92" t="s">
        <v>180</v>
      </c>
      <c r="B11" s="93">
        <v>46235</v>
      </c>
      <c r="C11" s="92" t="s">
        <v>3311</v>
      </c>
      <c r="D11" s="92" t="s">
        <v>3312</v>
      </c>
      <c r="E11" s="92" t="s">
        <v>3678</v>
      </c>
      <c r="F11" s="88">
        <v>7616</v>
      </c>
      <c r="H11" s="88">
        <v>7616</v>
      </c>
      <c r="I11"/>
      <c r="J11" s="162">
        <v>1785554189437</v>
      </c>
      <c r="K11" s="65"/>
      <c r="L11" s="65"/>
    </row>
    <row r="12" spans="1:12">
      <c r="A12" s="92" t="s">
        <v>180</v>
      </c>
      <c r="B12" s="93">
        <v>46235</v>
      </c>
      <c r="C12" s="92" t="s">
        <v>2865</v>
      </c>
      <c r="D12" s="92" t="s">
        <v>2866</v>
      </c>
      <c r="E12" s="92" t="s">
        <v>3677</v>
      </c>
      <c r="F12" s="88">
        <v>500</v>
      </c>
      <c r="G12" s="88">
        <v>500</v>
      </c>
      <c r="I12" t="s">
        <v>4255</v>
      </c>
      <c r="J12" s="162">
        <v>1785559423378</v>
      </c>
      <c r="K12" s="65"/>
      <c r="L12" s="65"/>
    </row>
    <row r="13" spans="1:12">
      <c r="A13" s="92" t="s">
        <v>162</v>
      </c>
      <c r="B13" s="93">
        <v>46235</v>
      </c>
      <c r="C13" s="92" t="s">
        <v>3313</v>
      </c>
      <c r="D13" s="92" t="s">
        <v>3314</v>
      </c>
      <c r="E13" s="92" t="s">
        <v>3677</v>
      </c>
      <c r="F13" s="88">
        <v>2000</v>
      </c>
      <c r="H13" s="88">
        <v>2000</v>
      </c>
      <c r="I13" s="65" t="s">
        <v>54</v>
      </c>
      <c r="J13" s="162">
        <v>1785304592709</v>
      </c>
      <c r="K13" s="65"/>
      <c r="L13" s="65"/>
    </row>
    <row r="14" spans="1:12">
      <c r="A14" s="92" t="s">
        <v>162</v>
      </c>
      <c r="B14" s="93">
        <v>46235</v>
      </c>
      <c r="C14" s="92" t="s">
        <v>3315</v>
      </c>
      <c r="D14" s="92" t="s">
        <v>3316</v>
      </c>
      <c r="E14" s="92" t="s">
        <v>3677</v>
      </c>
      <c r="F14" s="88">
        <v>2000</v>
      </c>
      <c r="H14" s="88">
        <v>2000</v>
      </c>
      <c r="I14" s="65" t="s">
        <v>4004</v>
      </c>
      <c r="J14" s="162">
        <v>1784958614699</v>
      </c>
      <c r="K14" s="65"/>
      <c r="L14" s="65"/>
    </row>
    <row r="15" spans="1:12">
      <c r="A15" s="92" t="s">
        <v>162</v>
      </c>
      <c r="B15" s="93">
        <v>46235</v>
      </c>
      <c r="C15" s="92" t="s">
        <v>1250</v>
      </c>
      <c r="D15" s="92" t="s">
        <v>1251</v>
      </c>
      <c r="E15" s="92" t="s">
        <v>3677</v>
      </c>
      <c r="F15" s="88">
        <v>2000</v>
      </c>
      <c r="H15" s="88">
        <v>2000</v>
      </c>
      <c r="I15" s="65" t="s">
        <v>119</v>
      </c>
      <c r="J15" s="162">
        <v>1784859962080</v>
      </c>
      <c r="K15" s="65"/>
      <c r="L15" s="65"/>
    </row>
    <row r="16" spans="1:12">
      <c r="A16" s="92" t="s">
        <v>162</v>
      </c>
      <c r="B16" s="93">
        <v>46235</v>
      </c>
      <c r="C16" s="92" t="s">
        <v>1277</v>
      </c>
      <c r="D16" s="92" t="s">
        <v>1278</v>
      </c>
      <c r="E16" s="92" t="s">
        <v>3677</v>
      </c>
      <c r="F16" s="88">
        <v>2000</v>
      </c>
      <c r="H16" s="88">
        <v>2000</v>
      </c>
      <c r="I16" s="65" t="s">
        <v>60</v>
      </c>
      <c r="J16" s="162">
        <v>1785063481184</v>
      </c>
      <c r="K16" s="65"/>
      <c r="L16" s="65"/>
    </row>
    <row r="17" spans="1:12">
      <c r="A17" s="92" t="s">
        <v>180</v>
      </c>
      <c r="B17" s="93">
        <v>46235</v>
      </c>
      <c r="C17" s="92" t="s">
        <v>2896</v>
      </c>
      <c r="D17" s="92" t="s">
        <v>2897</v>
      </c>
      <c r="E17" s="92" t="s">
        <v>3677</v>
      </c>
      <c r="F17" s="88">
        <v>500</v>
      </c>
      <c r="G17" s="88">
        <v>500</v>
      </c>
      <c r="I17" t="s">
        <v>4256</v>
      </c>
      <c r="J17" s="162">
        <v>1785479596947</v>
      </c>
      <c r="K17" s="65"/>
      <c r="L17" s="65"/>
    </row>
    <row r="18" spans="1:12" hidden="1">
      <c r="A18" s="92" t="s">
        <v>172</v>
      </c>
      <c r="B18" s="93">
        <v>46235</v>
      </c>
      <c r="C18" s="92" t="s">
        <v>2883</v>
      </c>
      <c r="D18" s="92" t="s">
        <v>2884</v>
      </c>
      <c r="E18" s="92" t="s">
        <v>3678</v>
      </c>
      <c r="F18" s="88">
        <v>493</v>
      </c>
      <c r="H18" s="88">
        <v>493</v>
      </c>
      <c r="I18"/>
      <c r="J18" s="162">
        <v>1785579762217</v>
      </c>
      <c r="K18" s="65"/>
      <c r="L18" s="65"/>
    </row>
    <row r="19" spans="1:12">
      <c r="A19" s="92" t="s">
        <v>162</v>
      </c>
      <c r="B19" s="93">
        <v>46235</v>
      </c>
      <c r="C19" s="92" t="s">
        <v>3317</v>
      </c>
      <c r="D19" s="92" t="s">
        <v>3318</v>
      </c>
      <c r="E19" s="92" t="s">
        <v>3677</v>
      </c>
      <c r="F19" s="88">
        <v>2000</v>
      </c>
      <c r="H19" s="88">
        <v>2000</v>
      </c>
      <c r="I19" s="65" t="s">
        <v>4083</v>
      </c>
      <c r="J19" s="162">
        <v>1785121344444</v>
      </c>
      <c r="K19" s="65"/>
      <c r="L19" s="65"/>
    </row>
    <row r="20" spans="1:12" hidden="1">
      <c r="A20" s="92" t="s">
        <v>162</v>
      </c>
      <c r="B20" s="93">
        <v>46235</v>
      </c>
      <c r="C20" s="92" t="s">
        <v>3319</v>
      </c>
      <c r="D20" s="92" t="s">
        <v>3320</v>
      </c>
      <c r="E20" s="92" t="s">
        <v>3678</v>
      </c>
      <c r="F20" s="88">
        <v>3850</v>
      </c>
      <c r="H20" s="88">
        <v>3850</v>
      </c>
      <c r="I20"/>
      <c r="J20" s="162">
        <v>1785505762025</v>
      </c>
      <c r="K20" s="65"/>
      <c r="L20" s="65"/>
    </row>
    <row r="21" spans="1:12">
      <c r="A21" s="92" t="s">
        <v>172</v>
      </c>
      <c r="B21" s="93">
        <v>46235</v>
      </c>
      <c r="C21" s="92" t="s">
        <v>3321</v>
      </c>
      <c r="D21" s="92" t="s">
        <v>3322</v>
      </c>
      <c r="E21" s="92" t="s">
        <v>3677</v>
      </c>
      <c r="F21" s="88">
        <v>2000</v>
      </c>
      <c r="H21" s="88">
        <v>2000</v>
      </c>
      <c r="I21" s="65" t="s">
        <v>51</v>
      </c>
      <c r="J21" s="162">
        <v>1785581747932</v>
      </c>
      <c r="K21" s="65"/>
      <c r="L21" s="65"/>
    </row>
    <row r="22" spans="1:12" hidden="1">
      <c r="A22" s="92" t="s">
        <v>162</v>
      </c>
      <c r="B22" s="93">
        <v>46235</v>
      </c>
      <c r="C22" s="92" t="s">
        <v>3323</v>
      </c>
      <c r="D22" s="92" t="s">
        <v>3324</v>
      </c>
      <c r="E22" s="92" t="s">
        <v>3678</v>
      </c>
      <c r="F22" s="88">
        <v>3850</v>
      </c>
      <c r="H22" s="88">
        <v>3850</v>
      </c>
      <c r="I22"/>
      <c r="J22" s="162">
        <v>1785555041516</v>
      </c>
      <c r="K22" s="65"/>
      <c r="L22" s="65"/>
    </row>
    <row r="23" spans="1:12">
      <c r="A23" s="92" t="s">
        <v>162</v>
      </c>
      <c r="B23" s="93">
        <v>46235</v>
      </c>
      <c r="C23" s="92" t="s">
        <v>1221</v>
      </c>
      <c r="D23" s="92" t="s">
        <v>1222</v>
      </c>
      <c r="E23" s="92" t="s">
        <v>3677</v>
      </c>
      <c r="F23" s="88">
        <v>2000</v>
      </c>
      <c r="H23" s="88">
        <v>2000</v>
      </c>
      <c r="I23" s="65" t="s">
        <v>35</v>
      </c>
      <c r="J23" s="162">
        <v>1784905956032</v>
      </c>
      <c r="K23" s="65"/>
      <c r="L23" s="65"/>
    </row>
    <row r="24" spans="1:12">
      <c r="A24" s="92" t="s">
        <v>162</v>
      </c>
      <c r="B24" s="93">
        <v>46236</v>
      </c>
      <c r="C24" s="92" t="s">
        <v>3325</v>
      </c>
      <c r="D24" s="92" t="s">
        <v>3326</v>
      </c>
      <c r="E24" s="92" t="s">
        <v>3677</v>
      </c>
      <c r="F24" s="88">
        <v>2000</v>
      </c>
      <c r="H24" s="88">
        <v>2000</v>
      </c>
      <c r="I24" s="65" t="s">
        <v>2153</v>
      </c>
      <c r="J24" s="162">
        <v>1784883948457</v>
      </c>
      <c r="K24" s="65"/>
      <c r="L24" s="65"/>
    </row>
    <row r="25" spans="1:12">
      <c r="A25" s="92" t="s">
        <v>162</v>
      </c>
      <c r="B25" s="93">
        <v>46236</v>
      </c>
      <c r="C25" s="92" t="s">
        <v>1274</v>
      </c>
      <c r="D25" s="92" t="s">
        <v>1275</v>
      </c>
      <c r="E25" s="92" t="s">
        <v>3677</v>
      </c>
      <c r="F25" s="88">
        <v>2000</v>
      </c>
      <c r="H25" s="88">
        <v>2000</v>
      </c>
      <c r="I25" s="65" t="s">
        <v>2084</v>
      </c>
      <c r="J25" s="162">
        <v>1785119355590</v>
      </c>
      <c r="K25" s="65"/>
      <c r="L25" s="65"/>
    </row>
    <row r="26" spans="1:12">
      <c r="A26" s="92" t="s">
        <v>162</v>
      </c>
      <c r="B26" s="93">
        <v>46236</v>
      </c>
      <c r="C26" s="92" t="s">
        <v>3327</v>
      </c>
      <c r="D26" s="92" t="s">
        <v>3328</v>
      </c>
      <c r="E26" s="92" t="s">
        <v>3677</v>
      </c>
      <c r="F26" s="88">
        <v>2000</v>
      </c>
      <c r="H26" s="88">
        <v>2000</v>
      </c>
      <c r="I26" s="65" t="s">
        <v>1276</v>
      </c>
      <c r="J26" s="162">
        <v>1784983146902</v>
      </c>
      <c r="K26" s="65"/>
      <c r="L26" s="65"/>
    </row>
    <row r="27" spans="1:12">
      <c r="A27" s="92" t="s">
        <v>162</v>
      </c>
      <c r="B27" s="93">
        <v>46236</v>
      </c>
      <c r="C27" s="92" t="s">
        <v>3329</v>
      </c>
      <c r="D27" s="92" t="s">
        <v>3330</v>
      </c>
      <c r="E27" s="92" t="s">
        <v>3677</v>
      </c>
      <c r="F27" s="88">
        <v>2000</v>
      </c>
      <c r="H27" s="88">
        <v>2000</v>
      </c>
      <c r="I27" s="65" t="s">
        <v>55</v>
      </c>
      <c r="J27" s="162">
        <v>1785550913498</v>
      </c>
      <c r="K27" s="65"/>
      <c r="L27" s="65"/>
    </row>
    <row r="28" spans="1:12">
      <c r="A28" s="92" t="s">
        <v>172</v>
      </c>
      <c r="B28" s="93">
        <v>46236</v>
      </c>
      <c r="C28" s="92" t="s">
        <v>2082</v>
      </c>
      <c r="D28" s="92" t="s">
        <v>2083</v>
      </c>
      <c r="E28" s="92" t="s">
        <v>3677</v>
      </c>
      <c r="F28" s="88">
        <v>2000</v>
      </c>
      <c r="H28" s="88">
        <v>2000</v>
      </c>
      <c r="I28" s="65" t="s">
        <v>122</v>
      </c>
      <c r="J28" s="162">
        <v>1785380301800</v>
      </c>
      <c r="K28" s="65"/>
      <c r="L28" s="65"/>
    </row>
    <row r="29" spans="1:12" hidden="1">
      <c r="A29" s="92" t="s">
        <v>162</v>
      </c>
      <c r="B29" s="93">
        <v>46236</v>
      </c>
      <c r="C29" s="92" t="s">
        <v>3331</v>
      </c>
      <c r="D29" s="92" t="s">
        <v>3332</v>
      </c>
      <c r="E29" s="92" t="s">
        <v>3678</v>
      </c>
      <c r="F29" s="88">
        <v>4200</v>
      </c>
      <c r="H29" s="88">
        <v>4200</v>
      </c>
      <c r="I29"/>
      <c r="J29" s="162">
        <v>1785637917320</v>
      </c>
      <c r="K29" s="65"/>
      <c r="L29" s="65"/>
    </row>
    <row r="30" spans="1:12" hidden="1">
      <c r="A30" s="92" t="s">
        <v>172</v>
      </c>
      <c r="B30" s="93">
        <v>46236</v>
      </c>
      <c r="C30" s="92" t="s">
        <v>366</v>
      </c>
      <c r="D30" s="92" t="s">
        <v>367</v>
      </c>
      <c r="E30" s="92" t="s">
        <v>3678</v>
      </c>
      <c r="F30" s="88">
        <v>3850</v>
      </c>
      <c r="H30" s="88">
        <v>3850</v>
      </c>
      <c r="I30"/>
      <c r="J30" s="162">
        <v>1785656644300</v>
      </c>
      <c r="K30" s="65"/>
      <c r="L30" s="65"/>
    </row>
    <row r="31" spans="1:12" hidden="1">
      <c r="A31" s="92" t="s">
        <v>162</v>
      </c>
      <c r="B31" s="93">
        <v>46236</v>
      </c>
      <c r="C31" s="92" t="s">
        <v>203</v>
      </c>
      <c r="D31" s="92" t="s">
        <v>204</v>
      </c>
      <c r="E31" s="92" t="s">
        <v>3678</v>
      </c>
      <c r="F31" s="88">
        <v>3850</v>
      </c>
      <c r="H31" s="88">
        <v>3850</v>
      </c>
      <c r="I31"/>
      <c r="J31" s="162">
        <v>1785118537589</v>
      </c>
      <c r="K31" s="65"/>
      <c r="L31" s="65"/>
    </row>
    <row r="32" spans="1:12">
      <c r="A32" s="92" t="s">
        <v>162</v>
      </c>
      <c r="B32" s="93">
        <v>46236</v>
      </c>
      <c r="C32" s="92" t="s">
        <v>3333</v>
      </c>
      <c r="D32" s="92" t="s">
        <v>3334</v>
      </c>
      <c r="E32" s="92" t="s">
        <v>3677</v>
      </c>
      <c r="F32" s="88">
        <v>2000</v>
      </c>
      <c r="H32" s="88">
        <v>2000</v>
      </c>
      <c r="I32" s="65" t="s">
        <v>72</v>
      </c>
      <c r="J32" s="162">
        <v>1784860226637</v>
      </c>
      <c r="K32" s="65"/>
      <c r="L32" s="65"/>
    </row>
    <row r="33" spans="1:12" hidden="1">
      <c r="A33" s="92" t="s">
        <v>172</v>
      </c>
      <c r="B33" s="93">
        <v>46237</v>
      </c>
      <c r="C33" s="92" t="s">
        <v>3335</v>
      </c>
      <c r="D33" s="92" t="s">
        <v>3336</v>
      </c>
      <c r="E33" s="92" t="s">
        <v>3678</v>
      </c>
      <c r="F33" s="88">
        <v>2800</v>
      </c>
      <c r="H33" s="88">
        <v>2800</v>
      </c>
      <c r="I33"/>
      <c r="J33" s="162">
        <v>1785648913957</v>
      </c>
      <c r="K33" s="65"/>
      <c r="L33" s="65"/>
    </row>
    <row r="34" spans="1:12" hidden="1">
      <c r="A34" s="92" t="s">
        <v>162</v>
      </c>
      <c r="B34" s="93">
        <v>46237</v>
      </c>
      <c r="C34" s="92" t="s">
        <v>3337</v>
      </c>
      <c r="D34" s="92" t="s">
        <v>3338</v>
      </c>
      <c r="E34" s="92" t="s">
        <v>3678</v>
      </c>
      <c r="F34" s="88">
        <v>3850</v>
      </c>
      <c r="H34" s="88">
        <v>3850</v>
      </c>
      <c r="I34"/>
      <c r="J34" s="162">
        <v>1785724690239</v>
      </c>
      <c r="K34" s="65"/>
      <c r="L34" s="65"/>
    </row>
    <row r="35" spans="1:12">
      <c r="A35" s="92" t="s">
        <v>180</v>
      </c>
      <c r="B35" s="93">
        <v>46237</v>
      </c>
      <c r="C35" s="92" t="s">
        <v>2914</v>
      </c>
      <c r="D35" s="92" t="s">
        <v>2915</v>
      </c>
      <c r="E35" s="92" t="s">
        <v>3677</v>
      </c>
      <c r="F35" s="88">
        <v>500</v>
      </c>
      <c r="G35" s="88">
        <v>500</v>
      </c>
      <c r="I35" t="s">
        <v>4249</v>
      </c>
      <c r="J35" s="162">
        <v>1785559246581</v>
      </c>
      <c r="K35" s="65"/>
      <c r="L35" s="65"/>
    </row>
    <row r="36" spans="1:12" hidden="1">
      <c r="A36" s="92" t="s">
        <v>162</v>
      </c>
      <c r="B36" s="93">
        <v>46237</v>
      </c>
      <c r="C36" s="92" t="s">
        <v>3339</v>
      </c>
      <c r="D36" s="92" t="s">
        <v>3340</v>
      </c>
      <c r="E36" s="92" t="s">
        <v>3678</v>
      </c>
      <c r="F36" s="88">
        <v>2800</v>
      </c>
      <c r="H36" s="88">
        <v>2800</v>
      </c>
      <c r="I36"/>
      <c r="J36" s="162">
        <v>1785658741422</v>
      </c>
      <c r="K36" s="65"/>
      <c r="L36" s="65"/>
    </row>
    <row r="37" spans="1:12">
      <c r="A37" s="92" t="s">
        <v>162</v>
      </c>
      <c r="B37" s="93">
        <v>46237</v>
      </c>
      <c r="C37" s="92" t="s">
        <v>1382</v>
      </c>
      <c r="D37" s="92" t="s">
        <v>1383</v>
      </c>
      <c r="E37" s="92" t="s">
        <v>3677</v>
      </c>
      <c r="F37" s="88">
        <v>2000</v>
      </c>
      <c r="H37" s="88">
        <v>2000</v>
      </c>
      <c r="I37" s="65" t="s">
        <v>38</v>
      </c>
      <c r="J37" s="162">
        <v>1785207838734</v>
      </c>
      <c r="K37" s="65"/>
      <c r="L37" s="65"/>
    </row>
    <row r="38" spans="1:12" hidden="1">
      <c r="A38" s="92" t="s">
        <v>162</v>
      </c>
      <c r="B38" s="93">
        <v>46237</v>
      </c>
      <c r="C38" s="92" t="s">
        <v>1203</v>
      </c>
      <c r="D38" s="92" t="s">
        <v>1204</v>
      </c>
      <c r="E38" s="92" t="s">
        <v>3678</v>
      </c>
      <c r="F38" s="88">
        <v>2800</v>
      </c>
      <c r="H38" s="88">
        <v>2800</v>
      </c>
      <c r="I38"/>
      <c r="J38" s="162">
        <v>1785723345086</v>
      </c>
      <c r="K38" s="65"/>
      <c r="L38" s="65"/>
    </row>
    <row r="39" spans="1:12" hidden="1">
      <c r="A39" s="92" t="s">
        <v>162</v>
      </c>
      <c r="B39" s="93">
        <v>46237</v>
      </c>
      <c r="C39" s="92" t="s">
        <v>1203</v>
      </c>
      <c r="D39" s="92" t="s">
        <v>1204</v>
      </c>
      <c r="E39" s="92" t="s">
        <v>3678</v>
      </c>
      <c r="F39" s="88">
        <v>1077</v>
      </c>
      <c r="H39" s="88">
        <v>1077</v>
      </c>
      <c r="I39"/>
      <c r="J39" s="162">
        <v>1785723345086</v>
      </c>
      <c r="K39" s="65"/>
      <c r="L39" s="65"/>
    </row>
    <row r="40" spans="1:12" hidden="1">
      <c r="A40" s="92" t="s">
        <v>162</v>
      </c>
      <c r="B40" s="93">
        <v>46237</v>
      </c>
      <c r="C40" s="92" t="s">
        <v>1203</v>
      </c>
      <c r="D40" s="92" t="s">
        <v>1204</v>
      </c>
      <c r="E40" s="92" t="s">
        <v>3678</v>
      </c>
      <c r="F40" s="88">
        <v>653</v>
      </c>
      <c r="H40" s="88">
        <v>653</v>
      </c>
      <c r="I40"/>
      <c r="J40" s="162">
        <v>1785723345086</v>
      </c>
      <c r="K40" s="65"/>
      <c r="L40" s="65"/>
    </row>
    <row r="41" spans="1:12">
      <c r="A41" s="92" t="s">
        <v>162</v>
      </c>
      <c r="B41" s="93">
        <v>46237</v>
      </c>
      <c r="C41" s="92" t="s">
        <v>3341</v>
      </c>
      <c r="D41" s="92" t="s">
        <v>3342</v>
      </c>
      <c r="E41" s="92" t="s">
        <v>3677</v>
      </c>
      <c r="F41" s="88">
        <v>2000</v>
      </c>
      <c r="H41" s="88">
        <v>2000</v>
      </c>
      <c r="I41" s="65" t="s">
        <v>103</v>
      </c>
      <c r="J41" s="162">
        <v>1785746398474</v>
      </c>
      <c r="K41" s="65"/>
      <c r="L41" s="65"/>
    </row>
    <row r="42" spans="1:12">
      <c r="A42" s="92" t="s">
        <v>172</v>
      </c>
      <c r="B42" s="93">
        <v>46238</v>
      </c>
      <c r="C42" s="92" t="s">
        <v>3343</v>
      </c>
      <c r="D42" s="92" t="s">
        <v>3344</v>
      </c>
      <c r="E42" s="92" t="s">
        <v>3677</v>
      </c>
      <c r="F42" s="88">
        <v>2000</v>
      </c>
      <c r="H42" s="88">
        <v>2000</v>
      </c>
      <c r="I42" s="65" t="s">
        <v>4086</v>
      </c>
      <c r="J42" s="162">
        <v>1785776160693</v>
      </c>
      <c r="K42" s="65"/>
      <c r="L42" s="65"/>
    </row>
    <row r="43" spans="1:12">
      <c r="A43" s="92" t="s">
        <v>180</v>
      </c>
      <c r="B43" s="93">
        <v>46238</v>
      </c>
      <c r="C43" s="92" t="s">
        <v>2922</v>
      </c>
      <c r="D43" s="92" t="s">
        <v>2923</v>
      </c>
      <c r="E43" s="92" t="s">
        <v>3677</v>
      </c>
      <c r="F43" s="88">
        <v>500</v>
      </c>
      <c r="G43" s="88">
        <v>500</v>
      </c>
      <c r="I43" t="s">
        <v>4250</v>
      </c>
      <c r="J43" s="162">
        <v>1785720771044</v>
      </c>
      <c r="K43" s="65"/>
      <c r="L43" s="65"/>
    </row>
    <row r="44" spans="1:12">
      <c r="A44" s="92" t="s">
        <v>162</v>
      </c>
      <c r="B44" s="93">
        <v>46238</v>
      </c>
      <c r="C44" s="92" t="s">
        <v>1206</v>
      </c>
      <c r="D44" s="92" t="s">
        <v>1207</v>
      </c>
      <c r="E44" s="92" t="s">
        <v>3677</v>
      </c>
      <c r="F44" s="88">
        <v>2000</v>
      </c>
      <c r="H44" s="88">
        <v>2000</v>
      </c>
      <c r="I44" s="65" t="s">
        <v>1212</v>
      </c>
      <c r="J44" s="162">
        <v>1785135753025</v>
      </c>
      <c r="K44" s="65"/>
      <c r="L44" s="65"/>
    </row>
    <row r="45" spans="1:12">
      <c r="A45" s="92" t="s">
        <v>172</v>
      </c>
      <c r="B45" s="93">
        <v>46238</v>
      </c>
      <c r="C45" s="92" t="s">
        <v>3345</v>
      </c>
      <c r="D45" s="92" t="s">
        <v>3346</v>
      </c>
      <c r="E45" s="92" t="s">
        <v>3677</v>
      </c>
      <c r="F45" s="88">
        <v>2000</v>
      </c>
      <c r="H45" s="88">
        <v>2000</v>
      </c>
      <c r="I45" s="65" t="s">
        <v>4071</v>
      </c>
      <c r="J45" s="162">
        <v>1785047180576</v>
      </c>
      <c r="K45" s="65"/>
    </row>
    <row r="46" spans="1:12">
      <c r="A46" s="92" t="s">
        <v>162</v>
      </c>
      <c r="B46" s="93">
        <v>46238</v>
      </c>
      <c r="C46" s="92" t="s">
        <v>3347</v>
      </c>
      <c r="D46" s="92" t="s">
        <v>3348</v>
      </c>
      <c r="E46" s="92" t="s">
        <v>3677</v>
      </c>
      <c r="F46" s="88">
        <v>3000</v>
      </c>
      <c r="H46" s="88">
        <v>3000</v>
      </c>
      <c r="I46" s="65" t="s">
        <v>4014</v>
      </c>
      <c r="J46" s="162">
        <v>1785733508728</v>
      </c>
      <c r="K46" s="65"/>
      <c r="L46" s="65"/>
    </row>
    <row r="47" spans="1:12" hidden="1">
      <c r="A47" s="92" t="s">
        <v>180</v>
      </c>
      <c r="B47" s="93">
        <v>46238</v>
      </c>
      <c r="C47" s="92" t="s">
        <v>3349</v>
      </c>
      <c r="D47" s="92" t="s">
        <v>3350</v>
      </c>
      <c r="E47" s="92" t="s">
        <v>3678</v>
      </c>
      <c r="F47" s="88">
        <v>3850</v>
      </c>
      <c r="H47" s="88">
        <v>3850</v>
      </c>
      <c r="I47"/>
      <c r="J47" s="162">
        <v>1785743249776</v>
      </c>
      <c r="K47" s="65"/>
      <c r="L47" s="65"/>
    </row>
    <row r="48" spans="1:12">
      <c r="A48" s="92" t="s">
        <v>162</v>
      </c>
      <c r="B48" s="93">
        <v>46238</v>
      </c>
      <c r="C48" s="92" t="s">
        <v>1197</v>
      </c>
      <c r="D48" s="92" t="s">
        <v>1198</v>
      </c>
      <c r="E48" s="92" t="s">
        <v>3677</v>
      </c>
      <c r="F48" s="88">
        <v>2000</v>
      </c>
      <c r="H48" s="88">
        <v>2000</v>
      </c>
      <c r="I48" s="65" t="s">
        <v>77</v>
      </c>
      <c r="J48" s="162">
        <v>1784954418365</v>
      </c>
      <c r="K48" s="65"/>
      <c r="L48" s="65"/>
    </row>
    <row r="49" spans="1:12">
      <c r="A49" s="92" t="s">
        <v>180</v>
      </c>
      <c r="B49" s="93">
        <v>46238</v>
      </c>
      <c r="C49" s="92" t="s">
        <v>3351</v>
      </c>
      <c r="D49" s="92" t="s">
        <v>3352</v>
      </c>
      <c r="E49" s="92" t="s">
        <v>3677</v>
      </c>
      <c r="F49" s="88">
        <v>2000</v>
      </c>
      <c r="H49" s="88">
        <v>2000</v>
      </c>
      <c r="I49" s="65" t="s">
        <v>4057</v>
      </c>
      <c r="J49" s="162">
        <v>1785512625186</v>
      </c>
      <c r="K49" s="65"/>
      <c r="L49" s="65"/>
    </row>
    <row r="50" spans="1:12">
      <c r="A50" s="92" t="s">
        <v>162</v>
      </c>
      <c r="B50" s="93">
        <v>46238</v>
      </c>
      <c r="C50" s="92" t="s">
        <v>1188</v>
      </c>
      <c r="D50" s="92" t="s">
        <v>1189</v>
      </c>
      <c r="E50" s="92" t="s">
        <v>3677</v>
      </c>
      <c r="F50" s="88">
        <v>2000</v>
      </c>
      <c r="H50" s="88">
        <v>2000</v>
      </c>
      <c r="I50" s="65" t="s">
        <v>1190</v>
      </c>
      <c r="J50" s="162">
        <v>1785121437750</v>
      </c>
      <c r="K50" s="65"/>
      <c r="L50" s="65"/>
    </row>
    <row r="51" spans="1:12">
      <c r="A51" s="92" t="s">
        <v>162</v>
      </c>
      <c r="B51" s="93">
        <v>46238</v>
      </c>
      <c r="C51" s="92" t="s">
        <v>1191</v>
      </c>
      <c r="D51" s="92" t="s">
        <v>1192</v>
      </c>
      <c r="E51" s="92" t="s">
        <v>3677</v>
      </c>
      <c r="F51" s="88">
        <v>2000</v>
      </c>
      <c r="H51" s="88">
        <v>2000</v>
      </c>
      <c r="I51" s="65" t="s">
        <v>2149</v>
      </c>
      <c r="J51" s="162">
        <v>1784855607959</v>
      </c>
      <c r="K51" s="65"/>
      <c r="L51" s="65"/>
    </row>
    <row r="52" spans="1:12">
      <c r="A52" s="92" t="s">
        <v>180</v>
      </c>
      <c r="B52" s="93">
        <v>46238</v>
      </c>
      <c r="C52" s="92" t="s">
        <v>3353</v>
      </c>
      <c r="D52" s="92" t="s">
        <v>3354</v>
      </c>
      <c r="E52" s="92" t="s">
        <v>3677</v>
      </c>
      <c r="F52" s="88">
        <v>2000</v>
      </c>
      <c r="H52" s="88">
        <v>2000</v>
      </c>
      <c r="I52" s="65" t="s">
        <v>33</v>
      </c>
      <c r="J52" s="162">
        <v>1785807289965</v>
      </c>
      <c r="K52" s="65"/>
      <c r="L52" s="65"/>
    </row>
    <row r="53" spans="1:12" hidden="1">
      <c r="A53" s="92" t="s">
        <v>162</v>
      </c>
      <c r="B53" s="93">
        <v>46238</v>
      </c>
      <c r="C53" s="92" t="s">
        <v>3355</v>
      </c>
      <c r="D53" s="92" t="s">
        <v>3356</v>
      </c>
      <c r="E53" s="92" t="s">
        <v>3678</v>
      </c>
      <c r="F53" s="88">
        <v>3850</v>
      </c>
      <c r="H53" s="88">
        <v>3850</v>
      </c>
      <c r="I53"/>
      <c r="J53" s="162">
        <v>1785394701752</v>
      </c>
      <c r="K53" s="65"/>
      <c r="L53" s="65"/>
    </row>
    <row r="54" spans="1:12">
      <c r="A54" s="92" t="s">
        <v>162</v>
      </c>
      <c r="B54" s="93">
        <v>46238</v>
      </c>
      <c r="C54" s="92" t="s">
        <v>3355</v>
      </c>
      <c r="D54" s="92" t="s">
        <v>3356</v>
      </c>
      <c r="E54" s="92" t="s">
        <v>3677</v>
      </c>
      <c r="F54" s="88">
        <v>4000</v>
      </c>
      <c r="H54" s="88">
        <v>4000</v>
      </c>
      <c r="I54" s="65" t="s">
        <v>96</v>
      </c>
      <c r="J54" s="162">
        <v>1785394701752</v>
      </c>
      <c r="K54" s="65"/>
      <c r="L54" s="65"/>
    </row>
    <row r="55" spans="1:12">
      <c r="A55" s="92" t="s">
        <v>162</v>
      </c>
      <c r="B55" s="93">
        <v>46238</v>
      </c>
      <c r="C55" s="92" t="s">
        <v>1217</v>
      </c>
      <c r="D55" s="92" t="s">
        <v>1218</v>
      </c>
      <c r="E55" s="92" t="s">
        <v>3677</v>
      </c>
      <c r="F55" s="88">
        <v>2000</v>
      </c>
      <c r="H55" s="88">
        <v>2000</v>
      </c>
      <c r="I55" s="65" t="s">
        <v>69</v>
      </c>
      <c r="J55" s="162">
        <v>1785316270497</v>
      </c>
      <c r="K55" s="65"/>
      <c r="L55" s="65"/>
    </row>
    <row r="56" spans="1:12">
      <c r="A56" s="92" t="s">
        <v>162</v>
      </c>
      <c r="B56" s="93">
        <v>46238</v>
      </c>
      <c r="C56" s="92" t="s">
        <v>1235</v>
      </c>
      <c r="D56" s="92" t="s">
        <v>1236</v>
      </c>
      <c r="E56" s="92" t="s">
        <v>3677</v>
      </c>
      <c r="F56" s="88">
        <v>2000</v>
      </c>
      <c r="H56" s="88">
        <v>2000</v>
      </c>
      <c r="I56" s="65" t="s">
        <v>1237</v>
      </c>
      <c r="J56" s="162">
        <v>1784884946919</v>
      </c>
      <c r="K56" s="65"/>
      <c r="L56" s="65"/>
    </row>
    <row r="57" spans="1:12">
      <c r="A57" s="92" t="s">
        <v>180</v>
      </c>
      <c r="B57" s="93">
        <v>46238</v>
      </c>
      <c r="C57" s="92" t="s">
        <v>3357</v>
      </c>
      <c r="D57" s="92" t="s">
        <v>3358</v>
      </c>
      <c r="E57" s="92" t="s">
        <v>3677</v>
      </c>
      <c r="F57" s="88">
        <v>3000</v>
      </c>
      <c r="G57" s="88">
        <v>3000</v>
      </c>
      <c r="I57" t="s">
        <v>4244</v>
      </c>
      <c r="J57" s="162">
        <v>1785823675100</v>
      </c>
      <c r="K57" s="65"/>
      <c r="L57" s="65"/>
    </row>
    <row r="58" spans="1:12">
      <c r="A58" s="92" t="s">
        <v>180</v>
      </c>
      <c r="B58" s="93">
        <v>46238</v>
      </c>
      <c r="C58" s="92" t="s">
        <v>3359</v>
      </c>
      <c r="D58" s="92" t="s">
        <v>3360</v>
      </c>
      <c r="E58" s="92" t="s">
        <v>3677</v>
      </c>
      <c r="F58" s="88">
        <v>2000</v>
      </c>
      <c r="H58" s="88">
        <v>2000</v>
      </c>
      <c r="I58" s="65" t="s">
        <v>4064</v>
      </c>
      <c r="J58" s="162">
        <v>1784977135578</v>
      </c>
      <c r="K58" s="65"/>
      <c r="L58" s="65"/>
    </row>
    <row r="59" spans="1:12">
      <c r="A59" s="92" t="s">
        <v>172</v>
      </c>
      <c r="B59" s="93">
        <v>46238</v>
      </c>
      <c r="C59" s="92" t="s">
        <v>3361</v>
      </c>
      <c r="D59" s="92" t="s">
        <v>3362</v>
      </c>
      <c r="E59" s="92" t="s">
        <v>3677</v>
      </c>
      <c r="F59" s="88">
        <v>2000</v>
      </c>
      <c r="H59" s="88">
        <v>2000</v>
      </c>
      <c r="I59" s="65" t="s">
        <v>4060</v>
      </c>
      <c r="J59" s="162">
        <v>1785853445097</v>
      </c>
      <c r="K59" s="65"/>
      <c r="L59" s="65"/>
    </row>
    <row r="60" spans="1:12">
      <c r="A60" s="92" t="s">
        <v>162</v>
      </c>
      <c r="B60" s="93">
        <v>46239</v>
      </c>
      <c r="C60" s="92" t="s">
        <v>3363</v>
      </c>
      <c r="D60" s="92" t="s">
        <v>3364</v>
      </c>
      <c r="E60" s="92" t="s">
        <v>3677</v>
      </c>
      <c r="F60" s="88">
        <v>2000</v>
      </c>
      <c r="H60" s="88">
        <v>2000</v>
      </c>
      <c r="I60" s="65" t="s">
        <v>4062</v>
      </c>
      <c r="J60" s="162">
        <v>1784885964662</v>
      </c>
      <c r="K60" s="65"/>
      <c r="L60" s="65"/>
    </row>
    <row r="61" spans="1:12">
      <c r="A61" s="92" t="s">
        <v>162</v>
      </c>
      <c r="B61" s="93">
        <v>46239</v>
      </c>
      <c r="C61" s="92" t="s">
        <v>3365</v>
      </c>
      <c r="D61" s="92" t="s">
        <v>3366</v>
      </c>
      <c r="E61" s="92" t="s">
        <v>3677</v>
      </c>
      <c r="F61" s="88">
        <v>2000</v>
      </c>
      <c r="H61" s="88">
        <v>2000</v>
      </c>
      <c r="I61" s="65" t="s">
        <v>77</v>
      </c>
      <c r="J61" s="162">
        <v>1785218581445</v>
      </c>
      <c r="K61" s="65"/>
      <c r="L61" s="65"/>
    </row>
    <row r="62" spans="1:12">
      <c r="A62" s="92" t="s">
        <v>172</v>
      </c>
      <c r="B62" s="93">
        <v>46239</v>
      </c>
      <c r="C62" s="92" t="s">
        <v>3367</v>
      </c>
      <c r="D62" s="92" t="s">
        <v>3368</v>
      </c>
      <c r="E62" s="92" t="s">
        <v>3677</v>
      </c>
      <c r="F62" s="88">
        <v>3000</v>
      </c>
      <c r="H62" s="88">
        <v>3000</v>
      </c>
      <c r="I62" s="65" t="s">
        <v>1710</v>
      </c>
      <c r="J62" s="162">
        <v>1784983488361</v>
      </c>
      <c r="K62" s="65"/>
      <c r="L62" s="65"/>
    </row>
    <row r="63" spans="1:12">
      <c r="A63" s="92" t="s">
        <v>180</v>
      </c>
      <c r="B63" s="93">
        <v>46239</v>
      </c>
      <c r="C63" s="92" t="s">
        <v>3369</v>
      </c>
      <c r="D63" s="92" t="s">
        <v>3370</v>
      </c>
      <c r="E63" s="92" t="s">
        <v>3677</v>
      </c>
      <c r="F63" s="88">
        <v>3000</v>
      </c>
      <c r="H63" s="88">
        <v>3000</v>
      </c>
      <c r="I63" s="65" t="s">
        <v>4023</v>
      </c>
      <c r="J63" s="162">
        <v>1785852169238</v>
      </c>
      <c r="K63" s="65"/>
      <c r="L63" s="65"/>
    </row>
    <row r="64" spans="1:12">
      <c r="A64" s="92" t="s">
        <v>162</v>
      </c>
      <c r="B64" s="93">
        <v>46239</v>
      </c>
      <c r="C64" s="92" t="s">
        <v>3371</v>
      </c>
      <c r="D64" s="92" t="s">
        <v>3372</v>
      </c>
      <c r="E64" s="92" t="s">
        <v>3677</v>
      </c>
      <c r="F64" s="88">
        <v>2000</v>
      </c>
      <c r="H64" s="88">
        <v>2000</v>
      </c>
      <c r="I64" s="65" t="s">
        <v>90</v>
      </c>
      <c r="J64" s="162">
        <v>1785826116266</v>
      </c>
      <c r="K64" s="65"/>
      <c r="L64" s="65"/>
    </row>
    <row r="65" spans="1:12" hidden="1">
      <c r="A65" s="92" t="s">
        <v>162</v>
      </c>
      <c r="B65" s="93">
        <v>46239</v>
      </c>
      <c r="C65" s="92" t="s">
        <v>3373</v>
      </c>
      <c r="D65" s="92" t="s">
        <v>3374</v>
      </c>
      <c r="E65" s="92" t="s">
        <v>3678</v>
      </c>
      <c r="F65" s="88">
        <v>3850</v>
      </c>
      <c r="H65" s="88">
        <v>3850</v>
      </c>
      <c r="I65"/>
      <c r="J65" s="162">
        <v>1785913123837</v>
      </c>
      <c r="K65" s="65"/>
      <c r="L65" s="65"/>
    </row>
    <row r="66" spans="1:12">
      <c r="A66" s="92" t="s">
        <v>180</v>
      </c>
      <c r="B66" s="93">
        <v>46239</v>
      </c>
      <c r="C66" s="92" t="s">
        <v>3375</v>
      </c>
      <c r="D66" s="92" t="s">
        <v>3376</v>
      </c>
      <c r="E66" s="92" t="s">
        <v>3677</v>
      </c>
      <c r="F66" s="88">
        <v>4000</v>
      </c>
      <c r="G66" s="88">
        <v>4000</v>
      </c>
      <c r="I66" t="s">
        <v>4245</v>
      </c>
      <c r="J66" s="162">
        <v>1785901652460</v>
      </c>
      <c r="K66" s="65"/>
      <c r="L66" s="65"/>
    </row>
    <row r="67" spans="1:12" hidden="1">
      <c r="A67" s="92" t="s">
        <v>162</v>
      </c>
      <c r="B67" s="93">
        <v>46239</v>
      </c>
      <c r="C67" s="92" t="s">
        <v>1234</v>
      </c>
      <c r="D67" s="92" t="s">
        <v>3377</v>
      </c>
      <c r="E67" s="92" t="s">
        <v>3678</v>
      </c>
      <c r="F67" s="88">
        <v>2915</v>
      </c>
      <c r="H67" s="88">
        <v>2915</v>
      </c>
      <c r="I67"/>
      <c r="J67" s="162">
        <v>1785901747111</v>
      </c>
      <c r="K67" s="65"/>
      <c r="L67" s="65"/>
    </row>
    <row r="68" spans="1:12">
      <c r="A68" s="92" t="s">
        <v>180</v>
      </c>
      <c r="B68" s="93">
        <v>46239</v>
      </c>
      <c r="C68" s="92" t="s">
        <v>2940</v>
      </c>
      <c r="D68" s="92" t="s">
        <v>2941</v>
      </c>
      <c r="E68" s="92" t="s">
        <v>3677</v>
      </c>
      <c r="F68" s="88">
        <v>500</v>
      </c>
      <c r="G68" s="88">
        <v>500</v>
      </c>
      <c r="I68" t="s">
        <v>4243</v>
      </c>
      <c r="J68" s="162">
        <v>1785723755058</v>
      </c>
      <c r="K68" s="65"/>
      <c r="L68" s="65"/>
    </row>
    <row r="69" spans="1:12" hidden="1">
      <c r="A69" s="92" t="s">
        <v>162</v>
      </c>
      <c r="B69" s="93">
        <v>46239</v>
      </c>
      <c r="C69" s="92" t="s">
        <v>1254</v>
      </c>
      <c r="D69" s="92" t="s">
        <v>1255</v>
      </c>
      <c r="E69" s="92" t="s">
        <v>3678</v>
      </c>
      <c r="F69" s="88">
        <v>5830</v>
      </c>
      <c r="H69" s="88">
        <v>5830</v>
      </c>
      <c r="I69"/>
      <c r="J69" s="162">
        <v>1785902145923</v>
      </c>
      <c r="K69" s="65"/>
      <c r="L69" s="65"/>
    </row>
    <row r="70" spans="1:12">
      <c r="A70" s="92" t="s">
        <v>172</v>
      </c>
      <c r="B70" s="93">
        <v>46239</v>
      </c>
      <c r="C70" s="92" t="s">
        <v>2910</v>
      </c>
      <c r="D70" s="92" t="s">
        <v>2911</v>
      </c>
      <c r="E70" s="92" t="s">
        <v>3677</v>
      </c>
      <c r="F70" s="88">
        <v>500</v>
      </c>
      <c r="G70" s="88">
        <v>500</v>
      </c>
      <c r="I70" t="s">
        <v>4228</v>
      </c>
      <c r="J70" s="162">
        <v>1785918707093</v>
      </c>
      <c r="K70" s="65"/>
      <c r="L70" s="65"/>
    </row>
    <row r="71" spans="1:12" hidden="1">
      <c r="A71" s="92" t="s">
        <v>162</v>
      </c>
      <c r="B71" s="93">
        <v>46239</v>
      </c>
      <c r="C71" s="92" t="s">
        <v>1281</v>
      </c>
      <c r="D71" s="92" t="s">
        <v>1282</v>
      </c>
      <c r="E71" s="92" t="s">
        <v>3678</v>
      </c>
      <c r="F71" s="88">
        <v>2475</v>
      </c>
      <c r="H71" s="88">
        <v>2475</v>
      </c>
      <c r="I71"/>
      <c r="J71" s="162">
        <v>1785828313490</v>
      </c>
      <c r="K71" s="65"/>
      <c r="L71" s="65"/>
    </row>
    <row r="72" spans="1:12">
      <c r="A72" s="92" t="s">
        <v>180</v>
      </c>
      <c r="B72" s="93">
        <v>46239</v>
      </c>
      <c r="C72" s="92" t="s">
        <v>2959</v>
      </c>
      <c r="D72" s="92" t="s">
        <v>2960</v>
      </c>
      <c r="E72" s="92" t="s">
        <v>3677</v>
      </c>
      <c r="F72" s="88">
        <v>500</v>
      </c>
      <c r="G72" s="88">
        <v>500</v>
      </c>
      <c r="I72" t="s">
        <v>4227</v>
      </c>
      <c r="J72" s="162">
        <v>1785920793232</v>
      </c>
      <c r="K72" s="65"/>
      <c r="L72" s="65"/>
    </row>
    <row r="73" spans="1:12">
      <c r="A73" s="92" t="s">
        <v>162</v>
      </c>
      <c r="B73" s="93">
        <v>46239</v>
      </c>
      <c r="C73" s="92" t="s">
        <v>1279</v>
      </c>
      <c r="D73" s="92" t="s">
        <v>1280</v>
      </c>
      <c r="E73" s="92" t="s">
        <v>3677</v>
      </c>
      <c r="F73" s="88">
        <v>2000</v>
      </c>
      <c r="H73" s="88">
        <v>2000</v>
      </c>
      <c r="I73" s="65" t="s">
        <v>4039</v>
      </c>
      <c r="J73" s="162">
        <v>1785378997190</v>
      </c>
      <c r="K73" s="65"/>
      <c r="L73" s="65"/>
    </row>
    <row r="74" spans="1:12">
      <c r="A74" s="92" t="s">
        <v>162</v>
      </c>
      <c r="B74" s="93">
        <v>46239</v>
      </c>
      <c r="C74" s="92" t="s">
        <v>1331</v>
      </c>
      <c r="D74" s="92" t="s">
        <v>1332</v>
      </c>
      <c r="E74" s="92" t="s">
        <v>3677</v>
      </c>
      <c r="F74" s="88">
        <v>2000</v>
      </c>
      <c r="H74" s="88">
        <v>2000</v>
      </c>
      <c r="I74" s="65" t="s">
        <v>87</v>
      </c>
      <c r="J74" s="162">
        <v>1785563698244</v>
      </c>
      <c r="K74" s="65"/>
      <c r="L74" s="65"/>
    </row>
    <row r="75" spans="1:12">
      <c r="A75" s="92" t="s">
        <v>180</v>
      </c>
      <c r="B75" s="93">
        <v>46239</v>
      </c>
      <c r="C75" s="92" t="s">
        <v>3378</v>
      </c>
      <c r="D75" s="92" t="s">
        <v>3379</v>
      </c>
      <c r="E75" s="92" t="s">
        <v>3677</v>
      </c>
      <c r="F75" s="88">
        <v>4000</v>
      </c>
      <c r="G75" s="88">
        <v>4000</v>
      </c>
      <c r="I75" t="s">
        <v>4222</v>
      </c>
      <c r="J75" s="162">
        <v>1785814756078</v>
      </c>
    </row>
    <row r="76" spans="1:12">
      <c r="A76" s="92" t="s">
        <v>162</v>
      </c>
      <c r="B76" s="93">
        <v>46239</v>
      </c>
      <c r="C76" s="92" t="s">
        <v>1210</v>
      </c>
      <c r="D76" s="92" t="s">
        <v>1211</v>
      </c>
      <c r="E76" s="92" t="s">
        <v>3677</v>
      </c>
      <c r="F76" s="88">
        <v>2000</v>
      </c>
      <c r="H76" s="88">
        <v>2000</v>
      </c>
      <c r="I76" s="65" t="s">
        <v>1261</v>
      </c>
      <c r="J76" s="162">
        <v>1785467242848</v>
      </c>
      <c r="K76" s="65"/>
      <c r="L76" s="65"/>
    </row>
    <row r="77" spans="1:12">
      <c r="A77" s="92" t="s">
        <v>162</v>
      </c>
      <c r="B77" s="93">
        <v>46239</v>
      </c>
      <c r="C77" s="92" t="s">
        <v>1708</v>
      </c>
      <c r="D77" s="92" t="s">
        <v>1709</v>
      </c>
      <c r="E77" s="92" t="s">
        <v>3677</v>
      </c>
      <c r="F77" s="88">
        <v>3000</v>
      </c>
      <c r="H77" s="88">
        <v>3000</v>
      </c>
      <c r="I77" s="65" t="s">
        <v>4048</v>
      </c>
      <c r="J77" s="162">
        <v>1785132594945</v>
      </c>
      <c r="K77" s="65"/>
      <c r="L77" s="65"/>
    </row>
    <row r="78" spans="1:12" hidden="1">
      <c r="A78" s="92" t="s">
        <v>162</v>
      </c>
      <c r="B78" s="93">
        <v>46239</v>
      </c>
      <c r="C78" s="92" t="s">
        <v>1234</v>
      </c>
      <c r="D78" s="92" t="s">
        <v>3377</v>
      </c>
      <c r="E78" s="92" t="s">
        <v>3678</v>
      </c>
      <c r="F78" s="88">
        <v>5830</v>
      </c>
      <c r="H78" s="88">
        <v>5830</v>
      </c>
      <c r="I78"/>
      <c r="J78" s="162">
        <v>1785828321776</v>
      </c>
      <c r="K78" s="65"/>
      <c r="L78" s="65"/>
    </row>
    <row r="79" spans="1:12">
      <c r="A79" s="92" t="s">
        <v>162</v>
      </c>
      <c r="B79" s="93">
        <v>46239</v>
      </c>
      <c r="C79" s="92" t="s">
        <v>1259</v>
      </c>
      <c r="D79" s="92" t="s">
        <v>1260</v>
      </c>
      <c r="E79" s="92" t="s">
        <v>3677</v>
      </c>
      <c r="F79" s="88">
        <v>2000</v>
      </c>
      <c r="H79" s="88">
        <v>2000</v>
      </c>
      <c r="I79" s="65" t="s">
        <v>25</v>
      </c>
      <c r="J79" s="162">
        <v>1784976656318</v>
      </c>
      <c r="K79" s="65"/>
      <c r="L79" s="65"/>
    </row>
    <row r="80" spans="1:12" hidden="1">
      <c r="A80" s="92" t="s">
        <v>172</v>
      </c>
      <c r="B80" s="93">
        <v>46239</v>
      </c>
      <c r="C80" s="92" t="s">
        <v>3380</v>
      </c>
      <c r="D80" s="92" t="s">
        <v>3381</v>
      </c>
      <c r="E80" s="92" t="s">
        <v>3678</v>
      </c>
      <c r="F80" s="88">
        <v>4960</v>
      </c>
      <c r="G80" s="88">
        <v>3000</v>
      </c>
      <c r="H80" s="88">
        <v>1960</v>
      </c>
      <c r="I80"/>
      <c r="J80" s="162">
        <v>1785916251103</v>
      </c>
      <c r="K80" s="65"/>
      <c r="L80" s="65"/>
    </row>
    <row r="81" spans="1:12">
      <c r="A81" s="92" t="s">
        <v>180</v>
      </c>
      <c r="B81" s="93">
        <v>46240</v>
      </c>
      <c r="C81" s="92" t="s">
        <v>3382</v>
      </c>
      <c r="D81" s="92" t="s">
        <v>3383</v>
      </c>
      <c r="E81" s="92" t="s">
        <v>3677</v>
      </c>
      <c r="F81" s="88">
        <v>2000</v>
      </c>
      <c r="H81" s="88">
        <v>2000</v>
      </c>
      <c r="I81" s="65" t="s">
        <v>46</v>
      </c>
      <c r="J81" s="162">
        <v>1785399029520</v>
      </c>
      <c r="K81" s="65"/>
      <c r="L81" s="65"/>
    </row>
    <row r="82" spans="1:12" hidden="1">
      <c r="A82" s="92" t="s">
        <v>180</v>
      </c>
      <c r="B82" s="93">
        <v>46240</v>
      </c>
      <c r="C82" s="92" t="s">
        <v>2908</v>
      </c>
      <c r="D82" s="92" t="s">
        <v>2909</v>
      </c>
      <c r="E82" s="92" t="s">
        <v>3678</v>
      </c>
      <c r="F82" s="88">
        <v>493</v>
      </c>
      <c r="G82" s="88">
        <v>493</v>
      </c>
      <c r="I82"/>
      <c r="J82" s="162">
        <v>1785928449369</v>
      </c>
      <c r="K82" s="65"/>
      <c r="L82" s="65"/>
    </row>
    <row r="83" spans="1:12">
      <c r="A83" s="92" t="s">
        <v>162</v>
      </c>
      <c r="B83" s="93">
        <v>46240</v>
      </c>
      <c r="C83" s="92" t="s">
        <v>1293</v>
      </c>
      <c r="D83" s="92" t="s">
        <v>1294</v>
      </c>
      <c r="E83" s="92" t="s">
        <v>3677</v>
      </c>
      <c r="F83" s="88">
        <v>2000</v>
      </c>
      <c r="H83" s="88">
        <v>2000</v>
      </c>
      <c r="I83" s="65" t="s">
        <v>91</v>
      </c>
      <c r="J83" s="162">
        <v>1785838033221</v>
      </c>
      <c r="K83" s="65"/>
      <c r="L83" s="65"/>
    </row>
    <row r="84" spans="1:12">
      <c r="A84" s="92" t="s">
        <v>172</v>
      </c>
      <c r="B84" s="93">
        <v>46240</v>
      </c>
      <c r="C84" s="92" t="s">
        <v>3384</v>
      </c>
      <c r="D84" s="92" t="s">
        <v>3385</v>
      </c>
      <c r="E84" s="92" t="s">
        <v>3677</v>
      </c>
      <c r="F84" s="88">
        <v>6000</v>
      </c>
      <c r="H84" s="88">
        <v>6000</v>
      </c>
      <c r="I84" s="65" t="s">
        <v>4040</v>
      </c>
      <c r="J84" s="162">
        <v>1785858602012</v>
      </c>
      <c r="K84" s="65"/>
      <c r="L84" s="65"/>
    </row>
    <row r="85" spans="1:12">
      <c r="A85" s="92" t="s">
        <v>180</v>
      </c>
      <c r="B85" s="93">
        <v>46240</v>
      </c>
      <c r="C85" s="92" t="s">
        <v>3386</v>
      </c>
      <c r="D85" s="92" t="s">
        <v>3387</v>
      </c>
      <c r="E85" s="92" t="s">
        <v>3677</v>
      </c>
      <c r="F85" s="88">
        <v>500</v>
      </c>
      <c r="G85" s="88">
        <v>500</v>
      </c>
      <c r="I85" t="s">
        <v>4221</v>
      </c>
      <c r="J85" s="162">
        <v>1785893695010</v>
      </c>
      <c r="K85" s="65"/>
      <c r="L85" s="65"/>
    </row>
    <row r="86" spans="1:12">
      <c r="A86" s="92" t="s">
        <v>172</v>
      </c>
      <c r="B86" s="93">
        <v>46240</v>
      </c>
      <c r="C86" s="92" t="s">
        <v>1316</v>
      </c>
      <c r="D86" s="92" t="s">
        <v>1317</v>
      </c>
      <c r="E86" s="92" t="s">
        <v>3677</v>
      </c>
      <c r="F86" s="88">
        <v>2000</v>
      </c>
      <c r="H86" s="88">
        <v>2000</v>
      </c>
      <c r="I86" s="65" t="s">
        <v>1318</v>
      </c>
      <c r="J86" s="162">
        <v>1785892951046</v>
      </c>
      <c r="K86" s="65"/>
      <c r="L86" s="65"/>
    </row>
    <row r="87" spans="1:12">
      <c r="A87" s="92" t="s">
        <v>180</v>
      </c>
      <c r="B87" s="93">
        <v>46240</v>
      </c>
      <c r="C87" s="92" t="s">
        <v>3388</v>
      </c>
      <c r="D87" s="92" t="s">
        <v>3389</v>
      </c>
      <c r="E87" s="92" t="s">
        <v>3677</v>
      </c>
      <c r="F87" s="88">
        <v>2000</v>
      </c>
      <c r="H87" s="88">
        <v>2000</v>
      </c>
      <c r="I87" s="65" t="s">
        <v>76</v>
      </c>
      <c r="J87" s="162">
        <v>1785819438267</v>
      </c>
      <c r="K87" s="65"/>
      <c r="L87" s="65"/>
    </row>
    <row r="88" spans="1:12">
      <c r="A88" s="92" t="s">
        <v>172</v>
      </c>
      <c r="B88" s="93">
        <v>46240</v>
      </c>
      <c r="C88" s="92" t="s">
        <v>3390</v>
      </c>
      <c r="D88" s="92" t="s">
        <v>3391</v>
      </c>
      <c r="E88" s="92" t="s">
        <v>3677</v>
      </c>
      <c r="F88" s="88">
        <v>3000</v>
      </c>
      <c r="H88" s="88">
        <v>3000</v>
      </c>
      <c r="I88" s="65" t="s">
        <v>4036</v>
      </c>
      <c r="J88" s="162">
        <v>1786004402803</v>
      </c>
      <c r="K88" s="65"/>
      <c r="L88" s="65"/>
    </row>
    <row r="89" spans="1:12" hidden="1">
      <c r="A89" s="92" t="s">
        <v>162</v>
      </c>
      <c r="B89" s="93">
        <v>46240</v>
      </c>
      <c r="C89" s="92" t="s">
        <v>1248</v>
      </c>
      <c r="D89" s="92" t="s">
        <v>1249</v>
      </c>
      <c r="E89" s="92" t="s">
        <v>3678</v>
      </c>
      <c r="F89" s="88">
        <v>2915</v>
      </c>
      <c r="H89" s="88">
        <v>2915</v>
      </c>
      <c r="I89"/>
      <c r="J89" s="162">
        <v>1785828267100</v>
      </c>
      <c r="K89" s="65"/>
      <c r="L89" s="65"/>
    </row>
    <row r="90" spans="1:12" hidden="1">
      <c r="A90" s="92" t="s">
        <v>162</v>
      </c>
      <c r="B90" s="93">
        <v>46240</v>
      </c>
      <c r="C90" s="92" t="s">
        <v>1264</v>
      </c>
      <c r="D90" s="92" t="s">
        <v>1265</v>
      </c>
      <c r="E90" s="92" t="s">
        <v>3678</v>
      </c>
      <c r="F90" s="88">
        <v>2475</v>
      </c>
      <c r="H90" s="88">
        <v>2475</v>
      </c>
      <c r="I90"/>
      <c r="J90" s="162">
        <v>1785828385508</v>
      </c>
      <c r="K90" s="65"/>
      <c r="L90" s="65"/>
    </row>
    <row r="91" spans="1:12">
      <c r="A91" s="92" t="s">
        <v>162</v>
      </c>
      <c r="B91" s="93">
        <v>46240</v>
      </c>
      <c r="C91" s="92" t="s">
        <v>1199</v>
      </c>
      <c r="D91" s="92" t="s">
        <v>1200</v>
      </c>
      <c r="E91" s="92" t="s">
        <v>3677</v>
      </c>
      <c r="F91" s="88">
        <v>2000</v>
      </c>
      <c r="H91" s="88">
        <v>2000</v>
      </c>
      <c r="I91" s="65" t="s">
        <v>52</v>
      </c>
      <c r="J91" s="162">
        <v>1784884090955</v>
      </c>
      <c r="K91" s="65"/>
      <c r="L91" s="65"/>
    </row>
    <row r="92" spans="1:12">
      <c r="A92" s="92" t="s">
        <v>172</v>
      </c>
      <c r="B92" s="93">
        <v>46240</v>
      </c>
      <c r="C92" s="92" t="s">
        <v>3392</v>
      </c>
      <c r="D92" s="92" t="s">
        <v>3393</v>
      </c>
      <c r="E92" s="92" t="s">
        <v>3677</v>
      </c>
      <c r="F92" s="88">
        <v>2000</v>
      </c>
      <c r="H92" s="88">
        <v>2000</v>
      </c>
      <c r="I92" s="65" t="s">
        <v>4026</v>
      </c>
      <c r="J92" s="162">
        <v>1785992131847</v>
      </c>
      <c r="K92" s="65"/>
      <c r="L92" s="65"/>
    </row>
    <row r="93" spans="1:12">
      <c r="A93" s="92" t="s">
        <v>176</v>
      </c>
      <c r="B93" s="93">
        <v>46240</v>
      </c>
      <c r="C93" s="92" t="s">
        <v>3394</v>
      </c>
      <c r="D93" s="92" t="s">
        <v>3395</v>
      </c>
      <c r="E93" s="92" t="s">
        <v>3677</v>
      </c>
      <c r="F93" s="88">
        <v>2000</v>
      </c>
      <c r="H93" s="88">
        <v>2000</v>
      </c>
      <c r="I93" s="65" t="s">
        <v>4038</v>
      </c>
      <c r="J93" s="162">
        <v>1785919349196</v>
      </c>
      <c r="K93" s="65"/>
      <c r="L93" s="65"/>
    </row>
    <row r="94" spans="1:12" hidden="1">
      <c r="A94" s="92" t="s">
        <v>162</v>
      </c>
      <c r="B94" s="93">
        <v>46240</v>
      </c>
      <c r="C94" s="92" t="s">
        <v>3396</v>
      </c>
      <c r="D94" s="92" t="s">
        <v>3397</v>
      </c>
      <c r="E94" s="92" t="s">
        <v>3678</v>
      </c>
      <c r="F94" s="88">
        <v>3850</v>
      </c>
      <c r="H94" s="88">
        <v>3850</v>
      </c>
      <c r="I94"/>
      <c r="J94" s="162">
        <v>1786008611101</v>
      </c>
    </row>
    <row r="95" spans="1:12">
      <c r="A95" s="92" t="s">
        <v>162</v>
      </c>
      <c r="B95" s="93">
        <v>46240</v>
      </c>
      <c r="C95" s="92" t="s">
        <v>3398</v>
      </c>
      <c r="D95" s="92" t="s">
        <v>3399</v>
      </c>
      <c r="E95" s="92" t="s">
        <v>3677</v>
      </c>
      <c r="F95" s="88">
        <v>2000</v>
      </c>
      <c r="H95" s="88">
        <v>2000</v>
      </c>
      <c r="I95" s="65" t="s">
        <v>79</v>
      </c>
      <c r="J95" s="162">
        <v>1784863024889</v>
      </c>
      <c r="K95" s="65"/>
      <c r="L95" s="65"/>
    </row>
    <row r="96" spans="1:12" hidden="1">
      <c r="A96" s="92" t="s">
        <v>172</v>
      </c>
      <c r="B96" s="93">
        <v>46240</v>
      </c>
      <c r="C96" s="92" t="s">
        <v>3400</v>
      </c>
      <c r="D96" s="92" t="s">
        <v>3401</v>
      </c>
      <c r="E96" s="92" t="s">
        <v>3678</v>
      </c>
      <c r="F96" s="88">
        <v>6850</v>
      </c>
      <c r="G96" s="88">
        <v>3000</v>
      </c>
      <c r="H96" s="88">
        <v>3850</v>
      </c>
      <c r="I96"/>
      <c r="J96" s="162">
        <v>1784709665187</v>
      </c>
      <c r="K96" s="65"/>
      <c r="L96" s="65"/>
    </row>
    <row r="97" spans="1:12">
      <c r="A97" s="92" t="s">
        <v>172</v>
      </c>
      <c r="B97" s="93">
        <v>46240</v>
      </c>
      <c r="C97" s="92" t="s">
        <v>3402</v>
      </c>
      <c r="D97" s="92" t="s">
        <v>3403</v>
      </c>
      <c r="E97" s="92" t="s">
        <v>3677</v>
      </c>
      <c r="F97" s="88">
        <v>2000</v>
      </c>
      <c r="H97" s="88">
        <v>2000</v>
      </c>
      <c r="I97" s="65" t="s">
        <v>4050</v>
      </c>
      <c r="J97" s="162">
        <v>1785812039192</v>
      </c>
      <c r="K97" s="65"/>
      <c r="L97" s="65"/>
    </row>
    <row r="98" spans="1:12">
      <c r="A98" s="92" t="s">
        <v>172</v>
      </c>
      <c r="B98" s="93">
        <v>46240</v>
      </c>
      <c r="C98" s="92" t="s">
        <v>3404</v>
      </c>
      <c r="D98" s="92" t="s">
        <v>3405</v>
      </c>
      <c r="E98" s="92" t="s">
        <v>3677</v>
      </c>
      <c r="F98" s="88">
        <v>2000</v>
      </c>
      <c r="H98" s="88">
        <v>2000</v>
      </c>
      <c r="I98" s="65" t="s">
        <v>4026</v>
      </c>
      <c r="J98" s="162">
        <v>1785816264246</v>
      </c>
      <c r="K98" s="65"/>
      <c r="L98" s="65"/>
    </row>
    <row r="99" spans="1:12">
      <c r="A99" s="92" t="s">
        <v>162</v>
      </c>
      <c r="B99" s="93">
        <v>46240</v>
      </c>
      <c r="C99" s="92" t="s">
        <v>3406</v>
      </c>
      <c r="D99" s="92" t="s">
        <v>3407</v>
      </c>
      <c r="E99" s="92" t="s">
        <v>3677</v>
      </c>
      <c r="F99" s="88">
        <v>2000</v>
      </c>
      <c r="H99" s="88">
        <v>2000</v>
      </c>
      <c r="I99" s="65" t="s">
        <v>4063</v>
      </c>
      <c r="J99" s="162">
        <v>1784859174531</v>
      </c>
      <c r="K99" s="65"/>
      <c r="L99" s="65"/>
    </row>
    <row r="100" spans="1:12" hidden="1">
      <c r="A100" s="92" t="s">
        <v>162</v>
      </c>
      <c r="B100" s="93">
        <v>46240</v>
      </c>
      <c r="C100" s="92" t="s">
        <v>1244</v>
      </c>
      <c r="D100" s="92" t="s">
        <v>1245</v>
      </c>
      <c r="E100" s="92" t="s">
        <v>3678</v>
      </c>
      <c r="F100" s="88">
        <v>3850</v>
      </c>
      <c r="H100" s="88">
        <v>3850</v>
      </c>
      <c r="I100"/>
      <c r="J100" s="162">
        <v>1785828928559</v>
      </c>
      <c r="K100" s="65"/>
      <c r="L100" s="65"/>
    </row>
    <row r="101" spans="1:12">
      <c r="A101" s="92" t="s">
        <v>162</v>
      </c>
      <c r="B101" s="93">
        <v>46240</v>
      </c>
      <c r="C101" s="92" t="s">
        <v>1244</v>
      </c>
      <c r="D101" s="92" t="s">
        <v>1245</v>
      </c>
      <c r="E101" s="92" t="s">
        <v>3677</v>
      </c>
      <c r="F101" s="88">
        <v>1500</v>
      </c>
      <c r="H101" s="88">
        <v>1500</v>
      </c>
      <c r="I101" s="65" t="s">
        <v>2148</v>
      </c>
      <c r="J101" s="162">
        <v>1785828928559</v>
      </c>
      <c r="K101" s="65"/>
      <c r="L101" s="65"/>
    </row>
    <row r="102" spans="1:12" hidden="1">
      <c r="A102" s="92" t="s">
        <v>162</v>
      </c>
      <c r="B102" s="93">
        <v>46240</v>
      </c>
      <c r="C102" s="92" t="s">
        <v>1997</v>
      </c>
      <c r="D102" s="92" t="s">
        <v>1998</v>
      </c>
      <c r="E102" s="92" t="s">
        <v>3678</v>
      </c>
      <c r="F102" s="88">
        <v>3850</v>
      </c>
      <c r="H102" s="88">
        <v>3850</v>
      </c>
      <c r="I102"/>
      <c r="J102" s="162">
        <v>1785142053681</v>
      </c>
      <c r="K102" s="65"/>
      <c r="L102" s="65"/>
    </row>
    <row r="103" spans="1:12">
      <c r="A103" s="92" t="s">
        <v>162</v>
      </c>
      <c r="B103" s="93">
        <v>46241</v>
      </c>
      <c r="C103" s="92" t="s">
        <v>3408</v>
      </c>
      <c r="D103" s="92" t="s">
        <v>3409</v>
      </c>
      <c r="E103" s="92" t="s">
        <v>3677</v>
      </c>
      <c r="F103" s="88">
        <v>3000</v>
      </c>
      <c r="G103" s="166"/>
      <c r="H103" s="88">
        <v>3000</v>
      </c>
      <c r="I103" t="s">
        <v>70</v>
      </c>
      <c r="J103" s="162">
        <v>1786003074535</v>
      </c>
      <c r="K103" s="65"/>
      <c r="L103" s="65"/>
    </row>
    <row r="104" spans="1:12" hidden="1">
      <c r="A104" s="92" t="s">
        <v>162</v>
      </c>
      <c r="B104" s="93">
        <v>46241</v>
      </c>
      <c r="C104" s="92" t="s">
        <v>3410</v>
      </c>
      <c r="D104" s="92" t="s">
        <v>3411</v>
      </c>
      <c r="E104" s="92" t="s">
        <v>3678</v>
      </c>
      <c r="F104" s="88">
        <v>2915</v>
      </c>
      <c r="H104" s="88">
        <v>2915</v>
      </c>
      <c r="I104"/>
      <c r="J104" s="162">
        <v>1785828272138</v>
      </c>
      <c r="K104" s="65"/>
      <c r="L104" s="65"/>
    </row>
    <row r="105" spans="1:12">
      <c r="A105" s="92" t="s">
        <v>162</v>
      </c>
      <c r="B105" s="93">
        <v>46241</v>
      </c>
      <c r="C105" s="92" t="s">
        <v>3412</v>
      </c>
      <c r="D105" s="92" t="s">
        <v>3413</v>
      </c>
      <c r="E105" s="92" t="s">
        <v>3677</v>
      </c>
      <c r="F105" s="88">
        <v>2000</v>
      </c>
      <c r="H105" s="88">
        <v>2000</v>
      </c>
      <c r="I105" s="65" t="s">
        <v>29</v>
      </c>
      <c r="J105" s="162">
        <v>1786069463457</v>
      </c>
      <c r="K105" s="65"/>
      <c r="L105" s="65"/>
    </row>
    <row r="106" spans="1:12">
      <c r="A106" s="92" t="s">
        <v>180</v>
      </c>
      <c r="B106" s="93">
        <v>46241</v>
      </c>
      <c r="C106" s="92" t="s">
        <v>3414</v>
      </c>
      <c r="D106" s="92" t="s">
        <v>3415</v>
      </c>
      <c r="E106" s="92" t="s">
        <v>3677</v>
      </c>
      <c r="F106" s="88">
        <v>3000</v>
      </c>
      <c r="H106" s="88">
        <v>3000</v>
      </c>
      <c r="I106" s="65" t="s">
        <v>50</v>
      </c>
      <c r="J106" s="162">
        <v>1786080369793</v>
      </c>
      <c r="K106" s="65"/>
      <c r="L106" s="65"/>
    </row>
    <row r="107" spans="1:12" hidden="1">
      <c r="A107" s="92" t="s">
        <v>162</v>
      </c>
      <c r="B107" s="93">
        <v>46241</v>
      </c>
      <c r="C107" s="92" t="s">
        <v>1242</v>
      </c>
      <c r="D107" s="92" t="s">
        <v>1243</v>
      </c>
      <c r="E107" s="92" t="s">
        <v>3678</v>
      </c>
      <c r="F107" s="88">
        <v>2915</v>
      </c>
      <c r="H107" s="88">
        <v>2915</v>
      </c>
      <c r="I107"/>
      <c r="J107" s="162">
        <v>1786070887573</v>
      </c>
      <c r="K107" s="65"/>
      <c r="L107" s="65"/>
    </row>
    <row r="108" spans="1:12" hidden="1">
      <c r="A108" s="92" t="s">
        <v>162</v>
      </c>
      <c r="B108" s="93">
        <v>46241</v>
      </c>
      <c r="C108" s="92" t="s">
        <v>1272</v>
      </c>
      <c r="D108" s="92" t="s">
        <v>1273</v>
      </c>
      <c r="E108" s="92" t="s">
        <v>3678</v>
      </c>
      <c r="F108" s="88">
        <v>2915</v>
      </c>
      <c r="H108" s="88">
        <v>2915</v>
      </c>
      <c r="I108"/>
      <c r="J108" s="162">
        <v>1785828436975</v>
      </c>
      <c r="K108" s="65"/>
      <c r="L108" s="65"/>
    </row>
    <row r="109" spans="1:12">
      <c r="A109" s="92" t="s">
        <v>162</v>
      </c>
      <c r="B109" s="93">
        <v>46241</v>
      </c>
      <c r="C109" s="92" t="s">
        <v>3416</v>
      </c>
      <c r="D109" s="92" t="s">
        <v>3417</v>
      </c>
      <c r="E109" s="92" t="s">
        <v>3677</v>
      </c>
      <c r="F109" s="88">
        <v>4000</v>
      </c>
      <c r="H109" s="88">
        <v>4000</v>
      </c>
      <c r="I109" s="65" t="s">
        <v>4009</v>
      </c>
      <c r="J109" s="162">
        <v>1785132652376</v>
      </c>
      <c r="K109" s="65"/>
      <c r="L109" s="65"/>
    </row>
    <row r="110" spans="1:12" hidden="1">
      <c r="A110" s="92" t="s">
        <v>162</v>
      </c>
      <c r="B110" s="93">
        <v>46241</v>
      </c>
      <c r="C110" s="92" t="s">
        <v>3418</v>
      </c>
      <c r="D110" s="92" t="s">
        <v>3419</v>
      </c>
      <c r="E110" s="92" t="s">
        <v>3678</v>
      </c>
      <c r="F110" s="88">
        <v>8745</v>
      </c>
      <c r="H110" s="88">
        <v>8745</v>
      </c>
      <c r="I110"/>
      <c r="J110" s="162">
        <v>1785922722680</v>
      </c>
      <c r="K110" s="65"/>
      <c r="L110" s="65"/>
    </row>
    <row r="111" spans="1:12" hidden="1">
      <c r="A111" s="92" t="s">
        <v>162</v>
      </c>
      <c r="B111" s="93">
        <v>46241</v>
      </c>
      <c r="C111" s="92" t="s">
        <v>1234</v>
      </c>
      <c r="D111" s="92" t="s">
        <v>3377</v>
      </c>
      <c r="E111" s="92" t="s">
        <v>3678</v>
      </c>
      <c r="F111" s="88">
        <v>2915</v>
      </c>
      <c r="H111" s="88">
        <v>2915</v>
      </c>
      <c r="I111"/>
      <c r="J111" s="162">
        <v>1785828285841</v>
      </c>
      <c r="K111" s="65"/>
      <c r="L111" s="65"/>
    </row>
    <row r="112" spans="1:12">
      <c r="A112" s="92" t="s">
        <v>180</v>
      </c>
      <c r="B112" s="93">
        <v>46241</v>
      </c>
      <c r="C112" s="92" t="s">
        <v>3053</v>
      </c>
      <c r="D112" s="92" t="s">
        <v>3054</v>
      </c>
      <c r="E112" s="92" t="s">
        <v>3677</v>
      </c>
      <c r="F112" s="88">
        <v>500</v>
      </c>
      <c r="G112" s="88">
        <v>500</v>
      </c>
      <c r="I112" t="s">
        <v>874</v>
      </c>
      <c r="J112" s="162">
        <v>1785922642649</v>
      </c>
      <c r="K112" s="65"/>
      <c r="L112" s="65"/>
    </row>
    <row r="113" spans="1:12">
      <c r="A113" s="92" t="s">
        <v>180</v>
      </c>
      <c r="B113" s="93">
        <v>46241</v>
      </c>
      <c r="C113" s="92" t="s">
        <v>2979</v>
      </c>
      <c r="D113" s="92" t="s">
        <v>2980</v>
      </c>
      <c r="E113" s="92" t="s">
        <v>3677</v>
      </c>
      <c r="F113" s="88">
        <v>500</v>
      </c>
      <c r="G113" s="88">
        <v>500</v>
      </c>
      <c r="I113" t="s">
        <v>400</v>
      </c>
      <c r="J113" s="162">
        <v>1786104024487</v>
      </c>
      <c r="K113" s="65"/>
      <c r="L113" s="65"/>
    </row>
    <row r="114" spans="1:12" hidden="1">
      <c r="A114" s="92" t="s">
        <v>162</v>
      </c>
      <c r="B114" s="93">
        <v>46241</v>
      </c>
      <c r="C114" s="92" t="s">
        <v>1246</v>
      </c>
      <c r="D114" s="92" t="s">
        <v>1247</v>
      </c>
      <c r="E114" s="92" t="s">
        <v>3678</v>
      </c>
      <c r="F114" s="88">
        <v>2475</v>
      </c>
      <c r="H114" s="88">
        <v>2475</v>
      </c>
      <c r="I114"/>
      <c r="J114" s="162">
        <v>1785828285458</v>
      </c>
      <c r="K114" s="65"/>
      <c r="L114" s="65"/>
    </row>
    <row r="115" spans="1:12">
      <c r="A115" s="92" t="s">
        <v>162</v>
      </c>
      <c r="B115" s="93">
        <v>46241</v>
      </c>
      <c r="C115" s="92" t="s">
        <v>1228</v>
      </c>
      <c r="D115" s="92" t="s">
        <v>1229</v>
      </c>
      <c r="E115" s="92" t="s">
        <v>3677</v>
      </c>
      <c r="F115" s="88">
        <v>2000</v>
      </c>
      <c r="G115" s="166"/>
      <c r="H115" s="88">
        <v>2000</v>
      </c>
      <c r="I115" t="s">
        <v>94</v>
      </c>
      <c r="J115" s="162">
        <v>1785833662533</v>
      </c>
      <c r="K115" s="65"/>
      <c r="L115" s="65"/>
    </row>
    <row r="116" spans="1:12" hidden="1">
      <c r="A116" s="92" t="s">
        <v>162</v>
      </c>
      <c r="B116" s="93">
        <v>46242</v>
      </c>
      <c r="C116" s="92" t="s">
        <v>1268</v>
      </c>
      <c r="D116" s="92" t="s">
        <v>1269</v>
      </c>
      <c r="E116" s="92" t="s">
        <v>3678</v>
      </c>
      <c r="F116" s="88">
        <v>5830</v>
      </c>
      <c r="H116" s="88">
        <v>5830</v>
      </c>
      <c r="I116"/>
      <c r="J116" s="162">
        <v>1785828323650</v>
      </c>
      <c r="K116" s="65"/>
      <c r="L116" s="65"/>
    </row>
    <row r="117" spans="1:12">
      <c r="A117" s="92" t="s">
        <v>172</v>
      </c>
      <c r="B117" s="93">
        <v>46242</v>
      </c>
      <c r="C117" s="92" t="s">
        <v>3420</v>
      </c>
      <c r="D117" s="92" t="s">
        <v>3421</v>
      </c>
      <c r="E117" s="92" t="s">
        <v>3677</v>
      </c>
      <c r="F117" s="88">
        <v>4000</v>
      </c>
      <c r="H117" s="88">
        <v>4000</v>
      </c>
      <c r="I117" s="65" t="s">
        <v>4051</v>
      </c>
      <c r="J117" s="162">
        <v>1786193011279</v>
      </c>
      <c r="K117" s="65"/>
      <c r="L117" s="65"/>
    </row>
    <row r="118" spans="1:12" hidden="1">
      <c r="A118" s="92" t="s">
        <v>162</v>
      </c>
      <c r="B118" s="93">
        <v>46242</v>
      </c>
      <c r="C118" s="92" t="s">
        <v>1270</v>
      </c>
      <c r="D118" s="92" t="s">
        <v>1271</v>
      </c>
      <c r="E118" s="92" t="s">
        <v>3678</v>
      </c>
      <c r="F118" s="88">
        <v>2915</v>
      </c>
      <c r="H118" s="88">
        <v>2915</v>
      </c>
      <c r="I118"/>
      <c r="J118" s="162">
        <v>1785828349465</v>
      </c>
      <c r="K118" s="65"/>
      <c r="L118" s="65"/>
    </row>
    <row r="119" spans="1:12" hidden="1">
      <c r="A119" s="92" t="s">
        <v>162</v>
      </c>
      <c r="B119" s="93">
        <v>46242</v>
      </c>
      <c r="C119" s="92" t="s">
        <v>1252</v>
      </c>
      <c r="D119" s="92" t="s">
        <v>1253</v>
      </c>
      <c r="E119" s="92" t="s">
        <v>3678</v>
      </c>
      <c r="F119" s="88">
        <v>2475</v>
      </c>
      <c r="H119" s="88">
        <v>2475</v>
      </c>
      <c r="I119"/>
      <c r="J119" s="162">
        <v>1785828418325</v>
      </c>
      <c r="K119" s="65"/>
      <c r="L119" s="65"/>
    </row>
    <row r="120" spans="1:12">
      <c r="A120" s="92" t="s">
        <v>3675</v>
      </c>
      <c r="B120" s="93">
        <v>46242</v>
      </c>
      <c r="C120" s="92" t="s">
        <v>690</v>
      </c>
      <c r="D120" s="92" t="s">
        <v>691</v>
      </c>
      <c r="E120" s="92" t="s">
        <v>3677</v>
      </c>
      <c r="F120" s="88">
        <v>493</v>
      </c>
      <c r="G120" s="88">
        <v>493</v>
      </c>
      <c r="I120" t="s">
        <v>4095</v>
      </c>
      <c r="J120" s="162">
        <v>1786158745727</v>
      </c>
      <c r="K120" s="65"/>
      <c r="L120" s="65"/>
    </row>
    <row r="121" spans="1:12">
      <c r="A121" s="92" t="s">
        <v>162</v>
      </c>
      <c r="B121" s="93">
        <v>46242</v>
      </c>
      <c r="C121" s="92" t="s">
        <v>3422</v>
      </c>
      <c r="D121" s="92" t="s">
        <v>3423</v>
      </c>
      <c r="E121" s="92" t="s">
        <v>3677</v>
      </c>
      <c r="F121" s="88">
        <v>2000</v>
      </c>
      <c r="G121" s="166"/>
      <c r="H121" s="88">
        <v>2000</v>
      </c>
      <c r="I121" t="s">
        <v>104</v>
      </c>
      <c r="J121" s="162">
        <v>1786165743899</v>
      </c>
      <c r="K121" s="65"/>
      <c r="L121" s="65"/>
    </row>
    <row r="122" spans="1:12" hidden="1">
      <c r="A122" s="92" t="s">
        <v>3676</v>
      </c>
      <c r="B122" s="93">
        <v>46242</v>
      </c>
      <c r="C122" s="92" t="s">
        <v>2953</v>
      </c>
      <c r="D122" s="92" t="s">
        <v>2954</v>
      </c>
      <c r="E122" s="92" t="s">
        <v>3678</v>
      </c>
      <c r="F122" s="88">
        <v>493</v>
      </c>
      <c r="G122" s="88">
        <v>493</v>
      </c>
      <c r="I122"/>
      <c r="J122" s="162">
        <v>1786181548570</v>
      </c>
      <c r="K122" s="65"/>
      <c r="L122" s="65"/>
    </row>
    <row r="123" spans="1:12" hidden="1">
      <c r="A123" s="92" t="s">
        <v>3675</v>
      </c>
      <c r="B123" s="93">
        <v>46242</v>
      </c>
      <c r="C123" s="92" t="s">
        <v>3424</v>
      </c>
      <c r="D123" s="92" t="s">
        <v>3425</v>
      </c>
      <c r="E123" s="92" t="s">
        <v>3678</v>
      </c>
      <c r="F123" s="88">
        <v>4000</v>
      </c>
      <c r="G123" s="88">
        <v>4000</v>
      </c>
      <c r="I123"/>
      <c r="J123" s="162">
        <v>1785305233836</v>
      </c>
      <c r="K123" s="65"/>
      <c r="L123" s="65"/>
    </row>
    <row r="124" spans="1:12">
      <c r="A124" s="92" t="s">
        <v>172</v>
      </c>
      <c r="B124" s="93">
        <v>46243</v>
      </c>
      <c r="C124" s="92" t="s">
        <v>3426</v>
      </c>
      <c r="D124" s="92" t="s">
        <v>3427</v>
      </c>
      <c r="E124" s="92" t="s">
        <v>3677</v>
      </c>
      <c r="F124" s="88">
        <v>2000</v>
      </c>
      <c r="G124" s="168"/>
      <c r="H124" s="88">
        <v>2000</v>
      </c>
      <c r="I124" t="s">
        <v>4024</v>
      </c>
      <c r="J124" s="162">
        <v>1786236523705</v>
      </c>
      <c r="K124" s="65"/>
      <c r="L124" s="65"/>
    </row>
    <row r="125" spans="1:12" hidden="1">
      <c r="A125" s="92" t="s">
        <v>162</v>
      </c>
      <c r="B125" s="93">
        <v>46243</v>
      </c>
      <c r="C125" s="92" t="s">
        <v>1291</v>
      </c>
      <c r="D125" s="92" t="s">
        <v>1292</v>
      </c>
      <c r="E125" s="92" t="s">
        <v>3678</v>
      </c>
      <c r="F125" s="88">
        <v>2915</v>
      </c>
      <c r="H125" s="88">
        <v>2915</v>
      </c>
      <c r="I125"/>
      <c r="J125" s="162">
        <v>1785828439298</v>
      </c>
      <c r="K125" s="65"/>
      <c r="L125" s="65"/>
    </row>
    <row r="126" spans="1:12">
      <c r="A126" s="92" t="s">
        <v>180</v>
      </c>
      <c r="B126" s="93">
        <v>46243</v>
      </c>
      <c r="C126" s="92" t="s">
        <v>2975</v>
      </c>
      <c r="D126" s="92" t="s">
        <v>2976</v>
      </c>
      <c r="E126" s="92" t="s">
        <v>3677</v>
      </c>
      <c r="F126" s="88">
        <v>500</v>
      </c>
      <c r="G126" s="88">
        <v>500</v>
      </c>
      <c r="I126" t="s">
        <v>644</v>
      </c>
      <c r="J126" s="162">
        <v>1786196541095</v>
      </c>
      <c r="K126" s="65"/>
      <c r="L126" s="65"/>
    </row>
    <row r="127" spans="1:12" hidden="1">
      <c r="A127" s="92" t="s">
        <v>162</v>
      </c>
      <c r="B127" s="93">
        <v>46243</v>
      </c>
      <c r="C127" s="92" t="s">
        <v>3428</v>
      </c>
      <c r="D127" s="92" t="s">
        <v>3429</v>
      </c>
      <c r="E127" s="92" t="s">
        <v>3678</v>
      </c>
      <c r="F127" s="88">
        <v>6360</v>
      </c>
      <c r="H127" s="88">
        <v>6360</v>
      </c>
      <c r="I127"/>
      <c r="J127" s="162">
        <v>1786152900903</v>
      </c>
      <c r="K127" s="65"/>
      <c r="L127" s="65"/>
    </row>
    <row r="128" spans="1:12" hidden="1">
      <c r="A128" s="92" t="s">
        <v>162</v>
      </c>
      <c r="B128" s="93">
        <v>46243</v>
      </c>
      <c r="C128" s="92" t="s">
        <v>3430</v>
      </c>
      <c r="D128" s="92" t="s">
        <v>3431</v>
      </c>
      <c r="E128" s="92" t="s">
        <v>3678</v>
      </c>
      <c r="F128" s="88">
        <v>26136</v>
      </c>
      <c r="H128" s="88">
        <v>26136</v>
      </c>
      <c r="I128"/>
      <c r="J128" s="162">
        <v>1786018256310</v>
      </c>
      <c r="K128" s="65"/>
      <c r="L128" s="65"/>
    </row>
    <row r="129" spans="1:12">
      <c r="A129" s="92" t="s">
        <v>180</v>
      </c>
      <c r="B129" s="93">
        <v>46243</v>
      </c>
      <c r="C129" s="92" t="s">
        <v>371</v>
      </c>
      <c r="D129" s="92" t="s">
        <v>372</v>
      </c>
      <c r="E129" s="92" t="s">
        <v>3677</v>
      </c>
      <c r="F129" s="88">
        <v>2000</v>
      </c>
      <c r="H129" s="88">
        <v>2000</v>
      </c>
      <c r="I129" s="65" t="s">
        <v>4024</v>
      </c>
      <c r="J129" s="162">
        <v>1786187524824</v>
      </c>
      <c r="K129" s="65"/>
      <c r="L129" s="65"/>
    </row>
    <row r="130" spans="1:12">
      <c r="A130" s="92" t="s">
        <v>172</v>
      </c>
      <c r="B130" s="93">
        <v>46243</v>
      </c>
      <c r="C130" s="92" t="s">
        <v>3432</v>
      </c>
      <c r="D130" s="92" t="s">
        <v>3433</v>
      </c>
      <c r="E130" s="92" t="s">
        <v>3677</v>
      </c>
      <c r="F130" s="88">
        <v>4000</v>
      </c>
      <c r="H130" s="88">
        <v>4000</v>
      </c>
      <c r="I130" s="65" t="s">
        <v>4052</v>
      </c>
      <c r="J130" s="162">
        <v>1786352404560</v>
      </c>
      <c r="K130" s="65"/>
      <c r="L130" s="65"/>
    </row>
    <row r="131" spans="1:12">
      <c r="A131" s="92" t="s">
        <v>176</v>
      </c>
      <c r="B131" s="93">
        <v>46243</v>
      </c>
      <c r="C131" s="92" t="s">
        <v>3434</v>
      </c>
      <c r="D131" s="92" t="s">
        <v>3435</v>
      </c>
      <c r="E131" s="92" t="s">
        <v>3677</v>
      </c>
      <c r="F131" s="88">
        <v>1000</v>
      </c>
      <c r="H131" s="88">
        <v>1000</v>
      </c>
      <c r="I131" s="65" t="s">
        <v>4096</v>
      </c>
      <c r="J131" s="162">
        <v>1785985895019</v>
      </c>
      <c r="K131" s="65"/>
      <c r="L131" s="65"/>
    </row>
    <row r="132" spans="1:12" hidden="1">
      <c r="A132" s="92" t="s">
        <v>162</v>
      </c>
      <c r="B132" s="93">
        <v>46243</v>
      </c>
      <c r="C132" s="92" t="s">
        <v>3436</v>
      </c>
      <c r="D132" s="92" t="s">
        <v>3437</v>
      </c>
      <c r="E132" s="92" t="s">
        <v>3678</v>
      </c>
      <c r="F132" s="88">
        <v>2800</v>
      </c>
      <c r="H132" s="88">
        <v>2800</v>
      </c>
      <c r="I132"/>
      <c r="J132" s="162">
        <v>1785748514619</v>
      </c>
      <c r="K132" s="65"/>
      <c r="L132" s="65"/>
    </row>
    <row r="133" spans="1:12">
      <c r="A133" s="92" t="s">
        <v>3675</v>
      </c>
      <c r="B133" s="93">
        <v>46244</v>
      </c>
      <c r="C133" s="92" t="s">
        <v>2977</v>
      </c>
      <c r="D133" s="92" t="s">
        <v>2978</v>
      </c>
      <c r="E133" s="92" t="s">
        <v>3677</v>
      </c>
      <c r="F133" s="88">
        <v>493</v>
      </c>
      <c r="G133" s="88">
        <v>493</v>
      </c>
      <c r="I133" t="s">
        <v>4099</v>
      </c>
      <c r="J133" s="162">
        <v>1786153145511</v>
      </c>
      <c r="K133" s="65"/>
      <c r="L133" s="65"/>
    </row>
    <row r="134" spans="1:12">
      <c r="A134" s="92" t="s">
        <v>3676</v>
      </c>
      <c r="B134" s="93">
        <v>46244</v>
      </c>
      <c r="C134" s="92" t="s">
        <v>3025</v>
      </c>
      <c r="D134" s="92" t="s">
        <v>3026</v>
      </c>
      <c r="E134" s="92" t="s">
        <v>3677</v>
      </c>
      <c r="F134" s="88">
        <v>500</v>
      </c>
      <c r="G134" s="88">
        <v>500</v>
      </c>
      <c r="I134" t="s">
        <v>1062</v>
      </c>
      <c r="J134" s="162">
        <v>1786268240506</v>
      </c>
      <c r="K134" s="65"/>
      <c r="L134" s="65"/>
    </row>
    <row r="135" spans="1:12">
      <c r="A135" s="92" t="s">
        <v>162</v>
      </c>
      <c r="B135" s="93">
        <v>46244</v>
      </c>
      <c r="C135" s="92" t="s">
        <v>1307</v>
      </c>
      <c r="D135" s="92" t="s">
        <v>1308</v>
      </c>
      <c r="E135" s="92" t="s">
        <v>3677</v>
      </c>
      <c r="F135" s="88">
        <v>2000</v>
      </c>
      <c r="H135" s="88">
        <v>2000</v>
      </c>
      <c r="I135" s="65" t="s">
        <v>4055</v>
      </c>
      <c r="J135" s="162">
        <v>1786326225358</v>
      </c>
      <c r="K135" s="65"/>
      <c r="L135" s="65"/>
    </row>
    <row r="136" spans="1:12">
      <c r="A136" s="92" t="s">
        <v>3676</v>
      </c>
      <c r="B136" s="93">
        <v>46244</v>
      </c>
      <c r="C136" s="92" t="s">
        <v>3438</v>
      </c>
      <c r="D136" s="92" t="s">
        <v>3439</v>
      </c>
      <c r="E136" s="92" t="s">
        <v>3677</v>
      </c>
      <c r="F136" s="88">
        <v>2000</v>
      </c>
      <c r="G136" s="168"/>
      <c r="H136" s="88">
        <v>2000</v>
      </c>
      <c r="I136" s="171" t="s">
        <v>72</v>
      </c>
      <c r="J136" s="162">
        <v>1786291930699</v>
      </c>
      <c r="K136" s="65"/>
      <c r="L136" s="65"/>
    </row>
    <row r="137" spans="1:12" hidden="1">
      <c r="A137" s="92" t="s">
        <v>3676</v>
      </c>
      <c r="B137" s="93">
        <v>46244</v>
      </c>
      <c r="C137" s="92" t="s">
        <v>3440</v>
      </c>
      <c r="D137" s="92" t="s">
        <v>3441</v>
      </c>
      <c r="E137" s="92" t="s">
        <v>3678</v>
      </c>
      <c r="F137" s="88">
        <v>3850</v>
      </c>
      <c r="H137" s="88">
        <v>3850</v>
      </c>
      <c r="I137"/>
      <c r="J137" s="162">
        <v>1786352900683</v>
      </c>
      <c r="K137" s="65"/>
      <c r="L137" s="65"/>
    </row>
    <row r="138" spans="1:12">
      <c r="A138" s="92" t="s">
        <v>172</v>
      </c>
      <c r="B138" s="93">
        <v>46244</v>
      </c>
      <c r="C138" s="92" t="s">
        <v>3442</v>
      </c>
      <c r="D138" s="92" t="s">
        <v>3443</v>
      </c>
      <c r="E138" s="92" t="s">
        <v>3677</v>
      </c>
      <c r="F138" s="88">
        <v>4000</v>
      </c>
      <c r="H138" s="88">
        <v>4000</v>
      </c>
      <c r="I138" s="65" t="s">
        <v>4053</v>
      </c>
      <c r="J138" s="162">
        <v>1786353437111</v>
      </c>
      <c r="K138" s="65"/>
      <c r="L138" s="65"/>
    </row>
    <row r="139" spans="1:12">
      <c r="A139" s="92" t="s">
        <v>3676</v>
      </c>
      <c r="B139" s="93">
        <v>46244</v>
      </c>
      <c r="C139" s="92" t="s">
        <v>2957</v>
      </c>
      <c r="D139" s="92" t="s">
        <v>2958</v>
      </c>
      <c r="E139" s="92" t="s">
        <v>3677</v>
      </c>
      <c r="F139" s="88">
        <v>493</v>
      </c>
      <c r="G139" s="88">
        <v>493</v>
      </c>
      <c r="I139" t="s">
        <v>4101</v>
      </c>
      <c r="J139" s="162">
        <v>1786330710736</v>
      </c>
      <c r="K139" s="65"/>
      <c r="L139" s="65"/>
    </row>
    <row r="140" spans="1:12">
      <c r="A140" s="92" t="s">
        <v>180</v>
      </c>
      <c r="B140" s="93">
        <v>46244</v>
      </c>
      <c r="C140" s="92" t="s">
        <v>3444</v>
      </c>
      <c r="D140" s="92" t="s">
        <v>3445</v>
      </c>
      <c r="E140" s="92" t="s">
        <v>3677</v>
      </c>
      <c r="F140" s="88">
        <v>2000</v>
      </c>
      <c r="G140" s="168"/>
      <c r="H140" s="88">
        <v>2000</v>
      </c>
      <c r="I140" s="171" t="s">
        <v>76</v>
      </c>
      <c r="J140" s="162">
        <v>1786255032983</v>
      </c>
      <c r="K140" s="65"/>
      <c r="L140" s="65"/>
    </row>
    <row r="141" spans="1:12">
      <c r="A141" s="92" t="s">
        <v>162</v>
      </c>
      <c r="B141" s="93">
        <v>46244</v>
      </c>
      <c r="C141" s="92" t="s">
        <v>1208</v>
      </c>
      <c r="D141" s="92" t="s">
        <v>1209</v>
      </c>
      <c r="E141" s="92" t="s">
        <v>3677</v>
      </c>
      <c r="F141" s="88">
        <v>2000</v>
      </c>
      <c r="H141" s="88">
        <v>2000</v>
      </c>
      <c r="I141" s="65" t="s">
        <v>81</v>
      </c>
      <c r="J141" s="162">
        <v>1786334830266</v>
      </c>
      <c r="K141" s="65"/>
      <c r="L141" s="65"/>
    </row>
    <row r="142" spans="1:12">
      <c r="A142" s="92" t="s">
        <v>172</v>
      </c>
      <c r="B142" s="93">
        <v>46244</v>
      </c>
      <c r="C142" s="92" t="s">
        <v>3446</v>
      </c>
      <c r="D142" s="92" t="s">
        <v>3447</v>
      </c>
      <c r="E142" s="92" t="s">
        <v>3677</v>
      </c>
      <c r="F142" s="88">
        <v>2000</v>
      </c>
      <c r="H142" s="88">
        <v>2000</v>
      </c>
      <c r="I142" s="65" t="s">
        <v>2150</v>
      </c>
      <c r="J142" s="162">
        <v>1786328220931</v>
      </c>
      <c r="K142" s="65"/>
      <c r="L142" s="65"/>
    </row>
    <row r="143" spans="1:12">
      <c r="A143" s="92" t="s">
        <v>172</v>
      </c>
      <c r="B143" s="93">
        <v>46244</v>
      </c>
      <c r="C143" s="92" t="s">
        <v>3446</v>
      </c>
      <c r="D143" s="92" t="s">
        <v>3447</v>
      </c>
      <c r="E143" s="92" t="s">
        <v>3677</v>
      </c>
      <c r="F143" s="88">
        <v>1000</v>
      </c>
      <c r="H143" s="88">
        <v>1000</v>
      </c>
      <c r="I143" s="65" t="s">
        <v>4044</v>
      </c>
      <c r="J143" s="162">
        <v>1786331430460</v>
      </c>
      <c r="K143" s="65"/>
      <c r="L143" s="65"/>
    </row>
    <row r="144" spans="1:12">
      <c r="A144" s="92" t="s">
        <v>172</v>
      </c>
      <c r="B144" s="93">
        <v>46244</v>
      </c>
      <c r="C144" s="92" t="s">
        <v>3448</v>
      </c>
      <c r="D144" s="92" t="s">
        <v>3449</v>
      </c>
      <c r="E144" s="92" t="s">
        <v>3677</v>
      </c>
      <c r="F144" s="88">
        <v>2000</v>
      </c>
      <c r="H144" s="88">
        <v>2000</v>
      </c>
      <c r="I144" s="65" t="s">
        <v>1309</v>
      </c>
      <c r="J144" s="162">
        <v>1786350165464</v>
      </c>
      <c r="K144" s="65"/>
      <c r="L144" s="65"/>
    </row>
    <row r="145" spans="1:17" hidden="1">
      <c r="A145" s="92" t="s">
        <v>3676</v>
      </c>
      <c r="B145" s="93">
        <v>46244</v>
      </c>
      <c r="C145" s="92" t="s">
        <v>3021</v>
      </c>
      <c r="D145" s="92" t="s">
        <v>3022</v>
      </c>
      <c r="E145" s="92" t="s">
        <v>3678</v>
      </c>
      <c r="F145" s="88">
        <v>493</v>
      </c>
      <c r="G145" s="88">
        <v>493</v>
      </c>
      <c r="I145"/>
      <c r="J145" s="162">
        <v>1786273086279</v>
      </c>
      <c r="K145" s="65"/>
      <c r="L145" s="65"/>
    </row>
    <row r="146" spans="1:17">
      <c r="A146" s="92" t="s">
        <v>162</v>
      </c>
      <c r="B146" s="93">
        <v>46244</v>
      </c>
      <c r="C146" s="92" t="s">
        <v>1300</v>
      </c>
      <c r="D146" s="92" t="s">
        <v>1301</v>
      </c>
      <c r="E146" s="92" t="s">
        <v>3677</v>
      </c>
      <c r="F146" s="88">
        <v>2000</v>
      </c>
      <c r="H146" s="88">
        <v>2000</v>
      </c>
      <c r="I146" s="65" t="s">
        <v>4117</v>
      </c>
      <c r="J146" s="162">
        <v>1786346462565</v>
      </c>
      <c r="K146" s="65"/>
      <c r="L146" s="65"/>
    </row>
    <row r="147" spans="1:17">
      <c r="A147" s="92" t="s">
        <v>162</v>
      </c>
      <c r="B147" s="93">
        <v>46244</v>
      </c>
      <c r="C147" s="92" t="s">
        <v>2041</v>
      </c>
      <c r="D147" s="92" t="s">
        <v>2042</v>
      </c>
      <c r="E147" s="92" t="s">
        <v>3677</v>
      </c>
      <c r="F147" s="88">
        <v>2000</v>
      </c>
      <c r="H147" s="88">
        <v>2000</v>
      </c>
      <c r="I147" s="65" t="s">
        <v>4012</v>
      </c>
      <c r="J147" s="162">
        <v>1785121043393</v>
      </c>
      <c r="K147" s="65"/>
      <c r="L147" s="65"/>
    </row>
    <row r="148" spans="1:17" hidden="1">
      <c r="A148" s="92" t="s">
        <v>162</v>
      </c>
      <c r="B148" s="93">
        <v>46244</v>
      </c>
      <c r="C148" s="92" t="s">
        <v>3450</v>
      </c>
      <c r="D148" s="92" t="s">
        <v>3451</v>
      </c>
      <c r="E148" s="92" t="s">
        <v>3678</v>
      </c>
      <c r="F148" s="88">
        <v>8400</v>
      </c>
      <c r="H148" s="88">
        <v>8400</v>
      </c>
      <c r="I148"/>
      <c r="J148" s="162">
        <v>1786263301006</v>
      </c>
      <c r="K148" s="65"/>
      <c r="L148" s="65"/>
    </row>
    <row r="149" spans="1:17">
      <c r="A149" s="92" t="s">
        <v>172</v>
      </c>
      <c r="B149" s="93">
        <v>46244</v>
      </c>
      <c r="C149" s="92" t="s">
        <v>3452</v>
      </c>
      <c r="D149" s="92" t="s">
        <v>3453</v>
      </c>
      <c r="E149" s="92" t="s">
        <v>3677</v>
      </c>
      <c r="F149" s="88">
        <v>4000</v>
      </c>
      <c r="H149" s="88">
        <v>4000</v>
      </c>
      <c r="I149" s="65" t="s">
        <v>4058</v>
      </c>
      <c r="J149" s="162">
        <v>1786353513598</v>
      </c>
      <c r="K149" s="65"/>
      <c r="L149" s="65"/>
    </row>
    <row r="150" spans="1:17">
      <c r="A150" s="92" t="s">
        <v>162</v>
      </c>
      <c r="B150" s="93">
        <v>46244</v>
      </c>
      <c r="C150" s="92" t="s">
        <v>3454</v>
      </c>
      <c r="D150" s="92" t="s">
        <v>3455</v>
      </c>
      <c r="E150" s="92" t="s">
        <v>3677</v>
      </c>
      <c r="F150" s="88">
        <v>2000</v>
      </c>
      <c r="G150" s="168"/>
      <c r="H150" s="88">
        <v>2000</v>
      </c>
      <c r="I150" t="s">
        <v>4012</v>
      </c>
      <c r="J150" s="162">
        <v>1785833287090</v>
      </c>
      <c r="K150" s="65"/>
      <c r="L150" s="65"/>
    </row>
    <row r="151" spans="1:17">
      <c r="A151" s="92" t="s">
        <v>162</v>
      </c>
      <c r="B151" s="93">
        <v>46244</v>
      </c>
      <c r="C151" s="92" t="s">
        <v>3456</v>
      </c>
      <c r="D151" s="92" t="s">
        <v>3457</v>
      </c>
      <c r="E151" s="92" t="s">
        <v>3677</v>
      </c>
      <c r="F151" s="88">
        <v>2000</v>
      </c>
      <c r="H151" s="88">
        <v>2000</v>
      </c>
      <c r="I151" s="65" t="s">
        <v>65</v>
      </c>
      <c r="J151" s="162">
        <v>1786160674748</v>
      </c>
      <c r="K151" s="65"/>
      <c r="L151" s="65"/>
    </row>
    <row r="152" spans="1:17">
      <c r="A152" s="92" t="s">
        <v>172</v>
      </c>
      <c r="B152" s="93">
        <v>46245</v>
      </c>
      <c r="C152" s="92" t="s">
        <v>3092</v>
      </c>
      <c r="D152" s="92" t="s">
        <v>3093</v>
      </c>
      <c r="E152" s="92" t="s">
        <v>3677</v>
      </c>
      <c r="F152" s="88">
        <v>500</v>
      </c>
      <c r="G152" s="88">
        <v>500</v>
      </c>
      <c r="I152" t="s">
        <v>4102</v>
      </c>
      <c r="J152" s="162">
        <v>1786439145617</v>
      </c>
      <c r="K152" s="65"/>
      <c r="L152" s="65"/>
    </row>
    <row r="153" spans="1:17" hidden="1">
      <c r="A153" s="92" t="s">
        <v>162</v>
      </c>
      <c r="B153" s="93">
        <v>46245</v>
      </c>
      <c r="C153" s="92" t="s">
        <v>3458</v>
      </c>
      <c r="D153" s="92" t="s">
        <v>3459</v>
      </c>
      <c r="E153" s="92" t="s">
        <v>3678</v>
      </c>
      <c r="F153" s="88">
        <v>3850</v>
      </c>
      <c r="H153" s="88">
        <v>3850</v>
      </c>
      <c r="I153"/>
      <c r="J153" s="162">
        <v>1785116563593</v>
      </c>
      <c r="K153" s="65"/>
      <c r="L153" s="65"/>
    </row>
    <row r="154" spans="1:17">
      <c r="A154" s="92" t="s">
        <v>162</v>
      </c>
      <c r="B154" s="93">
        <v>46245</v>
      </c>
      <c r="C154" s="92" t="s">
        <v>1298</v>
      </c>
      <c r="D154" s="92" t="s">
        <v>1299</v>
      </c>
      <c r="E154" s="92" t="s">
        <v>3677</v>
      </c>
      <c r="F154" s="88">
        <v>2000</v>
      </c>
      <c r="H154" s="88">
        <v>2000</v>
      </c>
      <c r="I154" s="65" t="s">
        <v>101</v>
      </c>
      <c r="J154" s="162">
        <v>1786415877763</v>
      </c>
      <c r="K154" s="65"/>
      <c r="L154" s="65"/>
    </row>
    <row r="155" spans="1:17" hidden="1">
      <c r="A155" s="92" t="s">
        <v>172</v>
      </c>
      <c r="B155" s="93">
        <v>46245</v>
      </c>
      <c r="C155" s="92" t="s">
        <v>3460</v>
      </c>
      <c r="D155" s="92" t="s">
        <v>3461</v>
      </c>
      <c r="E155" s="92" t="s">
        <v>3678</v>
      </c>
      <c r="F155" s="88">
        <v>3850</v>
      </c>
      <c r="H155" s="88">
        <v>3850</v>
      </c>
      <c r="I155"/>
      <c r="J155" s="162">
        <v>1786415913848</v>
      </c>
      <c r="K155" s="65"/>
      <c r="L155" s="65"/>
    </row>
    <row r="156" spans="1:17" hidden="1">
      <c r="A156" s="92" t="s">
        <v>172</v>
      </c>
      <c r="B156" s="93">
        <v>46245</v>
      </c>
      <c r="C156" s="92" t="s">
        <v>3460</v>
      </c>
      <c r="D156" s="92" t="s">
        <v>3461</v>
      </c>
      <c r="E156" s="92" t="s">
        <v>3678</v>
      </c>
      <c r="F156" s="88">
        <v>1925</v>
      </c>
      <c r="H156" s="88">
        <v>1925</v>
      </c>
      <c r="I156"/>
      <c r="J156" s="162">
        <v>1786415913848</v>
      </c>
      <c r="K156" s="65"/>
      <c r="L156" s="65"/>
    </row>
    <row r="157" spans="1:17" hidden="1">
      <c r="A157" s="92" t="s">
        <v>162</v>
      </c>
      <c r="B157" s="93">
        <v>46245</v>
      </c>
      <c r="C157" s="92" t="s">
        <v>1238</v>
      </c>
      <c r="D157" s="92" t="s">
        <v>1239</v>
      </c>
      <c r="E157" s="92" t="s">
        <v>3678</v>
      </c>
      <c r="F157" s="88">
        <v>3850</v>
      </c>
      <c r="H157" s="88">
        <v>3850</v>
      </c>
      <c r="I157"/>
      <c r="J157" s="162">
        <v>1786416517099</v>
      </c>
      <c r="K157" s="65"/>
      <c r="L157" s="65"/>
    </row>
    <row r="158" spans="1:17" hidden="1">
      <c r="A158" s="92" t="s">
        <v>162</v>
      </c>
      <c r="B158" s="93">
        <v>46245</v>
      </c>
      <c r="C158" s="92" t="s">
        <v>3462</v>
      </c>
      <c r="D158" s="92" t="s">
        <v>3463</v>
      </c>
      <c r="E158" s="92" t="s">
        <v>3678</v>
      </c>
      <c r="F158" s="88">
        <v>3850</v>
      </c>
      <c r="H158" s="88">
        <v>3850</v>
      </c>
      <c r="I158"/>
      <c r="J158" s="162">
        <v>1786334812373</v>
      </c>
      <c r="K158" s="65"/>
      <c r="L158" s="65"/>
    </row>
    <row r="159" spans="1:17">
      <c r="A159" s="92" t="s">
        <v>162</v>
      </c>
      <c r="B159" s="93">
        <v>46245</v>
      </c>
      <c r="C159" s="92" t="s">
        <v>1304</v>
      </c>
      <c r="D159" s="92" t="s">
        <v>1305</v>
      </c>
      <c r="E159" s="92" t="s">
        <v>3677</v>
      </c>
      <c r="F159" s="88">
        <v>2000</v>
      </c>
      <c r="H159" s="88">
        <v>2000</v>
      </c>
      <c r="I159" s="65" t="s">
        <v>1306</v>
      </c>
      <c r="J159" s="162">
        <v>1786088309403</v>
      </c>
      <c r="K159" s="65"/>
      <c r="L159" s="65"/>
    </row>
    <row r="160" spans="1:17" s="62" customFormat="1">
      <c r="A160" s="89" t="s">
        <v>162</v>
      </c>
      <c r="B160" s="90">
        <v>46245</v>
      </c>
      <c r="C160" s="89" t="s">
        <v>3464</v>
      </c>
      <c r="D160" s="92" t="s">
        <v>3465</v>
      </c>
      <c r="E160" s="92" t="s">
        <v>3677</v>
      </c>
      <c r="F160" s="91">
        <v>4000</v>
      </c>
      <c r="G160" s="91"/>
      <c r="H160" s="91">
        <v>4000</v>
      </c>
      <c r="I160" s="65" t="s">
        <v>4006</v>
      </c>
      <c r="J160" s="163">
        <v>1786352989645</v>
      </c>
      <c r="K160" s="65"/>
      <c r="L160" s="65"/>
      <c r="M160"/>
      <c r="N160"/>
      <c r="O160" s="2"/>
      <c r="P160"/>
      <c r="Q160" s="65"/>
    </row>
    <row r="161" spans="1:17" hidden="1">
      <c r="A161" s="92" t="s">
        <v>180</v>
      </c>
      <c r="B161" s="93">
        <v>46245</v>
      </c>
      <c r="C161" s="92" t="s">
        <v>3047</v>
      </c>
      <c r="D161" s="92" t="s">
        <v>3048</v>
      </c>
      <c r="E161" s="92" t="s">
        <v>3678</v>
      </c>
      <c r="F161" s="88">
        <v>493</v>
      </c>
      <c r="G161" s="88">
        <v>493</v>
      </c>
      <c r="I161"/>
      <c r="J161" s="162">
        <v>1786419644577</v>
      </c>
      <c r="K161" s="65"/>
      <c r="L161" s="65"/>
    </row>
    <row r="162" spans="1:17" hidden="1">
      <c r="A162" s="92" t="s">
        <v>180</v>
      </c>
      <c r="B162" s="93">
        <v>46245</v>
      </c>
      <c r="C162" s="92" t="s">
        <v>3051</v>
      </c>
      <c r="D162" s="92" t="s">
        <v>3052</v>
      </c>
      <c r="E162" s="92" t="s">
        <v>3678</v>
      </c>
      <c r="F162" s="88">
        <v>493</v>
      </c>
      <c r="G162" s="88">
        <v>493</v>
      </c>
      <c r="I162"/>
      <c r="J162" s="162">
        <v>1786414190268</v>
      </c>
      <c r="K162" s="64"/>
      <c r="L162" s="64"/>
      <c r="M162" s="62"/>
      <c r="N162" s="62"/>
      <c r="O162" s="63"/>
      <c r="P162" s="62"/>
    </row>
    <row r="163" spans="1:17">
      <c r="A163" s="92" t="s">
        <v>180</v>
      </c>
      <c r="B163" s="93">
        <v>46245</v>
      </c>
      <c r="C163" s="92" t="s">
        <v>3466</v>
      </c>
      <c r="D163" s="92" t="s">
        <v>3467</v>
      </c>
      <c r="E163" s="92" t="s">
        <v>3677</v>
      </c>
      <c r="F163" s="88">
        <v>2000</v>
      </c>
      <c r="H163" s="88">
        <v>2000</v>
      </c>
      <c r="I163" s="65" t="s">
        <v>42</v>
      </c>
      <c r="J163" s="162">
        <v>1786328235934</v>
      </c>
      <c r="K163" s="65"/>
      <c r="L163" s="65"/>
    </row>
    <row r="164" spans="1:17">
      <c r="A164" s="92" t="s">
        <v>172</v>
      </c>
      <c r="B164" s="93">
        <v>46245</v>
      </c>
      <c r="C164" s="92" t="s">
        <v>3468</v>
      </c>
      <c r="D164" s="92" t="s">
        <v>3469</v>
      </c>
      <c r="E164" s="92" t="s">
        <v>3677</v>
      </c>
      <c r="F164" s="88">
        <v>4000</v>
      </c>
      <c r="G164" s="88">
        <v>4000</v>
      </c>
      <c r="I164" t="s">
        <v>1061</v>
      </c>
      <c r="J164" s="162">
        <v>1786001724668</v>
      </c>
      <c r="K164" s="65"/>
      <c r="L164" s="65"/>
    </row>
    <row r="165" spans="1:17">
      <c r="A165" s="92" t="s">
        <v>162</v>
      </c>
      <c r="B165" s="93">
        <v>46245</v>
      </c>
      <c r="C165" s="92" t="s">
        <v>1284</v>
      </c>
      <c r="D165" s="92" t="s">
        <v>1285</v>
      </c>
      <c r="E165" s="92" t="s">
        <v>3677</v>
      </c>
      <c r="F165" s="88">
        <v>2000</v>
      </c>
      <c r="G165" s="167"/>
      <c r="H165" s="88">
        <v>2000</v>
      </c>
      <c r="I165" t="s">
        <v>42</v>
      </c>
      <c r="J165" s="162">
        <v>1786416421432</v>
      </c>
      <c r="K165" s="65"/>
      <c r="L165" s="65"/>
      <c r="Q165" s="64"/>
    </row>
    <row r="166" spans="1:17">
      <c r="A166" s="92" t="s">
        <v>180</v>
      </c>
      <c r="B166" s="93">
        <v>46246</v>
      </c>
      <c r="C166" s="92" t="s">
        <v>3470</v>
      </c>
      <c r="D166" s="92" t="s">
        <v>3471</v>
      </c>
      <c r="E166" s="92" t="s">
        <v>3677</v>
      </c>
      <c r="F166" s="88">
        <v>2000</v>
      </c>
      <c r="H166" s="88">
        <v>2000</v>
      </c>
      <c r="I166" s="65" t="s">
        <v>1312</v>
      </c>
      <c r="J166" s="162">
        <v>1786500641939</v>
      </c>
      <c r="K166" s="65"/>
      <c r="L166" s="65"/>
    </row>
    <row r="167" spans="1:17">
      <c r="A167" s="92" t="s">
        <v>162</v>
      </c>
      <c r="B167" s="93">
        <v>46246</v>
      </c>
      <c r="C167" s="92" t="s">
        <v>3472</v>
      </c>
      <c r="D167" s="92" t="s">
        <v>3473</v>
      </c>
      <c r="E167" s="92" t="s">
        <v>3677</v>
      </c>
      <c r="F167" s="88">
        <v>2000</v>
      </c>
      <c r="H167" s="88">
        <v>2000</v>
      </c>
      <c r="I167" s="65" t="s">
        <v>109</v>
      </c>
      <c r="J167" s="162">
        <v>1786325408263</v>
      </c>
      <c r="K167" s="65"/>
      <c r="L167" s="65"/>
    </row>
    <row r="168" spans="1:17" hidden="1">
      <c r="A168" s="92" t="s">
        <v>180</v>
      </c>
      <c r="B168" s="93">
        <v>46246</v>
      </c>
      <c r="C168" s="92" t="s">
        <v>3068</v>
      </c>
      <c r="D168" s="92" t="s">
        <v>3069</v>
      </c>
      <c r="E168" s="92" t="s">
        <v>3678</v>
      </c>
      <c r="F168" s="88">
        <v>500</v>
      </c>
      <c r="G168" s="88">
        <v>500</v>
      </c>
      <c r="I168"/>
      <c r="J168" s="162">
        <v>1786501057497</v>
      </c>
      <c r="K168" s="65"/>
      <c r="L168" s="65"/>
    </row>
    <row r="169" spans="1:17">
      <c r="A169" s="92" t="s">
        <v>162</v>
      </c>
      <c r="B169" s="93">
        <v>46246</v>
      </c>
      <c r="C169" s="92" t="s">
        <v>3474</v>
      </c>
      <c r="D169" s="92" t="s">
        <v>3475</v>
      </c>
      <c r="E169" s="92" t="s">
        <v>3677</v>
      </c>
      <c r="F169" s="88">
        <v>2000</v>
      </c>
      <c r="H169" s="88">
        <v>2000</v>
      </c>
      <c r="I169" s="65" t="s">
        <v>4008</v>
      </c>
      <c r="J169" s="162">
        <v>1786416344301</v>
      </c>
      <c r="K169" s="65"/>
      <c r="L169" s="65"/>
    </row>
    <row r="170" spans="1:17">
      <c r="A170" s="92" t="s">
        <v>172</v>
      </c>
      <c r="B170" s="93">
        <v>46246</v>
      </c>
      <c r="C170" s="92" t="s">
        <v>3074</v>
      </c>
      <c r="D170" s="92" t="s">
        <v>3075</v>
      </c>
      <c r="E170" s="92" t="s">
        <v>3677</v>
      </c>
      <c r="F170" s="88">
        <v>500</v>
      </c>
      <c r="G170" s="88">
        <v>500</v>
      </c>
      <c r="I170" t="s">
        <v>4103</v>
      </c>
      <c r="J170" s="162">
        <v>1786505746998</v>
      </c>
      <c r="K170" s="65"/>
      <c r="L170" s="65"/>
    </row>
    <row r="171" spans="1:17">
      <c r="A171" s="92" t="s">
        <v>172</v>
      </c>
      <c r="B171" s="93">
        <v>46246</v>
      </c>
      <c r="C171" s="92" t="s">
        <v>3064</v>
      </c>
      <c r="D171" s="92" t="s">
        <v>3065</v>
      </c>
      <c r="E171" s="92" t="s">
        <v>3677</v>
      </c>
      <c r="F171" s="88">
        <v>500</v>
      </c>
      <c r="G171" s="88">
        <v>500</v>
      </c>
      <c r="I171" t="s">
        <v>4105</v>
      </c>
      <c r="J171" s="162">
        <v>1786515805817</v>
      </c>
      <c r="K171" s="65"/>
      <c r="L171" s="65"/>
    </row>
    <row r="172" spans="1:17">
      <c r="A172" s="92" t="s">
        <v>180</v>
      </c>
      <c r="B172" s="93">
        <v>46246</v>
      </c>
      <c r="C172" s="92" t="s">
        <v>3019</v>
      </c>
      <c r="D172" s="92" t="s">
        <v>3020</v>
      </c>
      <c r="E172" s="92" t="s">
        <v>3677</v>
      </c>
      <c r="F172" s="88">
        <v>500</v>
      </c>
      <c r="G172" s="88">
        <v>500</v>
      </c>
      <c r="I172" t="s">
        <v>4106</v>
      </c>
      <c r="J172" s="162">
        <v>1786376694312</v>
      </c>
      <c r="K172" s="65"/>
      <c r="L172" s="65"/>
    </row>
    <row r="173" spans="1:17" hidden="1">
      <c r="A173" s="92" t="s">
        <v>162</v>
      </c>
      <c r="B173" s="93">
        <v>46246</v>
      </c>
      <c r="C173" s="92" t="s">
        <v>1397</v>
      </c>
      <c r="D173" s="92" t="s">
        <v>1398</v>
      </c>
      <c r="E173" s="92" t="s">
        <v>3678</v>
      </c>
      <c r="F173" s="88">
        <v>3850</v>
      </c>
      <c r="H173" s="88">
        <v>3850</v>
      </c>
      <c r="I173"/>
      <c r="J173" s="162">
        <v>1786441975830</v>
      </c>
      <c r="K173" s="65"/>
      <c r="L173" s="65"/>
    </row>
    <row r="174" spans="1:17" hidden="1">
      <c r="A174" s="92" t="s">
        <v>162</v>
      </c>
      <c r="B174" s="93">
        <v>46246</v>
      </c>
      <c r="C174" s="92" t="s">
        <v>3476</v>
      </c>
      <c r="D174" s="92" t="s">
        <v>3477</v>
      </c>
      <c r="E174" s="92" t="s">
        <v>3678</v>
      </c>
      <c r="F174" s="88">
        <v>5600</v>
      </c>
      <c r="H174" s="88">
        <v>5600</v>
      </c>
      <c r="I174"/>
      <c r="J174" s="162">
        <v>1786519458267</v>
      </c>
      <c r="K174" s="65"/>
      <c r="L174" s="65"/>
    </row>
    <row r="175" spans="1:17">
      <c r="A175" s="92" t="s">
        <v>180</v>
      </c>
      <c r="B175" s="93">
        <v>46246</v>
      </c>
      <c r="C175" s="92" t="s">
        <v>3478</v>
      </c>
      <c r="D175" s="92" t="s">
        <v>3479</v>
      </c>
      <c r="E175" s="92" t="s">
        <v>3677</v>
      </c>
      <c r="F175" s="88">
        <v>3000</v>
      </c>
      <c r="G175" s="167"/>
      <c r="H175" s="88">
        <v>3000</v>
      </c>
      <c r="I175" t="s">
        <v>4027</v>
      </c>
      <c r="J175" s="162">
        <v>1785832363311</v>
      </c>
      <c r="K175" s="65"/>
      <c r="L175" s="65"/>
    </row>
    <row r="176" spans="1:17" hidden="1">
      <c r="A176" s="92" t="s">
        <v>172</v>
      </c>
      <c r="B176" s="93">
        <v>46246</v>
      </c>
      <c r="C176" s="92" t="s">
        <v>3480</v>
      </c>
      <c r="D176" s="92" t="s">
        <v>3481</v>
      </c>
      <c r="E176" s="92" t="s">
        <v>3678</v>
      </c>
      <c r="F176" s="88">
        <v>6000</v>
      </c>
      <c r="G176" s="88">
        <v>4000</v>
      </c>
      <c r="H176" s="88">
        <v>2000</v>
      </c>
      <c r="I176"/>
      <c r="J176" s="162">
        <v>1786442590434</v>
      </c>
      <c r="K176" s="65"/>
      <c r="L176" s="65"/>
    </row>
    <row r="177" spans="1:12">
      <c r="A177" s="92" t="s">
        <v>180</v>
      </c>
      <c r="B177" s="93">
        <v>46246</v>
      </c>
      <c r="C177" s="92" t="s">
        <v>3076</v>
      </c>
      <c r="D177" s="92" t="s">
        <v>3077</v>
      </c>
      <c r="E177" s="92" t="s">
        <v>3677</v>
      </c>
      <c r="F177" s="88">
        <v>500</v>
      </c>
      <c r="G177" s="88">
        <v>500</v>
      </c>
      <c r="I177" t="s">
        <v>438</v>
      </c>
      <c r="J177" s="162">
        <v>1786510647277</v>
      </c>
      <c r="K177" s="65"/>
      <c r="L177" s="65"/>
    </row>
    <row r="178" spans="1:12" hidden="1">
      <c r="A178" s="92" t="s">
        <v>162</v>
      </c>
      <c r="B178" s="93">
        <v>46246</v>
      </c>
      <c r="C178" s="92" t="s">
        <v>3076</v>
      </c>
      <c r="D178" s="92" t="s">
        <v>3077</v>
      </c>
      <c r="E178" s="92" t="s">
        <v>3678</v>
      </c>
      <c r="F178" s="88">
        <v>2800</v>
      </c>
      <c r="H178" s="88">
        <v>2800</v>
      </c>
      <c r="I178"/>
      <c r="J178" s="162">
        <v>1786526222674</v>
      </c>
      <c r="K178" s="65"/>
      <c r="L178" s="65"/>
    </row>
    <row r="179" spans="1:12">
      <c r="A179" s="92" t="s">
        <v>162</v>
      </c>
      <c r="B179" s="93">
        <v>46246</v>
      </c>
      <c r="C179" s="92" t="s">
        <v>3076</v>
      </c>
      <c r="D179" s="92" t="s">
        <v>3077</v>
      </c>
      <c r="E179" s="92" t="s">
        <v>3677</v>
      </c>
      <c r="F179" s="88">
        <v>1500</v>
      </c>
      <c r="H179" s="88">
        <v>1500</v>
      </c>
      <c r="I179" s="65" t="s">
        <v>4056</v>
      </c>
      <c r="J179" s="162">
        <v>1786526222674</v>
      </c>
      <c r="K179" s="65"/>
      <c r="L179" s="65"/>
    </row>
    <row r="180" spans="1:12" hidden="1">
      <c r="A180" s="92" t="s">
        <v>180</v>
      </c>
      <c r="B180" s="93">
        <v>46246</v>
      </c>
      <c r="C180" s="92" t="s">
        <v>3070</v>
      </c>
      <c r="D180" s="92" t="s">
        <v>3071</v>
      </c>
      <c r="E180" s="92" t="s">
        <v>3678</v>
      </c>
      <c r="F180" s="88">
        <v>493</v>
      </c>
      <c r="G180" s="88">
        <v>493</v>
      </c>
      <c r="I180"/>
      <c r="J180" s="162">
        <v>1786520983239</v>
      </c>
      <c r="K180" s="65"/>
      <c r="L180" s="65"/>
    </row>
    <row r="181" spans="1:12">
      <c r="A181" s="92" t="s">
        <v>180</v>
      </c>
      <c r="B181" s="93">
        <v>46246</v>
      </c>
      <c r="C181" s="92" t="s">
        <v>3037</v>
      </c>
      <c r="D181" s="92" t="s">
        <v>3038</v>
      </c>
      <c r="E181" s="92" t="s">
        <v>3677</v>
      </c>
      <c r="F181" s="88">
        <v>500</v>
      </c>
      <c r="G181" s="88">
        <v>500</v>
      </c>
      <c r="I181" t="s">
        <v>4110</v>
      </c>
      <c r="J181" s="162">
        <v>1786326995097</v>
      </c>
      <c r="K181" s="65"/>
      <c r="L181" s="65"/>
    </row>
    <row r="182" spans="1:12">
      <c r="A182" s="92" t="s">
        <v>180</v>
      </c>
      <c r="B182" s="93">
        <v>46246</v>
      </c>
      <c r="C182" s="92" t="s">
        <v>1310</v>
      </c>
      <c r="D182" s="92" t="s">
        <v>1311</v>
      </c>
      <c r="E182" s="92" t="s">
        <v>3677</v>
      </c>
      <c r="F182" s="88">
        <v>2000</v>
      </c>
      <c r="G182" s="167"/>
      <c r="H182" s="88">
        <v>2000</v>
      </c>
      <c r="I182" t="s">
        <v>1312</v>
      </c>
      <c r="J182" s="162">
        <v>1786531767322</v>
      </c>
      <c r="K182" s="65"/>
      <c r="L182" s="65"/>
    </row>
    <row r="183" spans="1:12" hidden="1">
      <c r="A183" s="92" t="s">
        <v>172</v>
      </c>
      <c r="B183" s="93">
        <v>46246</v>
      </c>
      <c r="C183" s="92" t="s">
        <v>3482</v>
      </c>
      <c r="D183" s="92" t="s">
        <v>3483</v>
      </c>
      <c r="E183" s="92" t="s">
        <v>3678</v>
      </c>
      <c r="F183" s="88">
        <v>1000</v>
      </c>
      <c r="G183" s="88">
        <v>1000</v>
      </c>
      <c r="I183"/>
      <c r="J183" s="162">
        <v>1786521119364</v>
      </c>
      <c r="K183" s="65"/>
      <c r="L183" s="65"/>
    </row>
    <row r="184" spans="1:12">
      <c r="A184" s="92" t="s">
        <v>180</v>
      </c>
      <c r="B184" s="93">
        <v>46246</v>
      </c>
      <c r="C184" s="92" t="s">
        <v>3484</v>
      </c>
      <c r="D184" s="92" t="s">
        <v>3485</v>
      </c>
      <c r="E184" s="92" t="s">
        <v>3677</v>
      </c>
      <c r="F184" s="88">
        <v>3000</v>
      </c>
      <c r="H184" s="88">
        <v>3000</v>
      </c>
      <c r="I184" s="65" t="s">
        <v>4035</v>
      </c>
      <c r="J184" s="162">
        <v>1786503625530</v>
      </c>
      <c r="K184" s="65"/>
      <c r="L184" s="65"/>
    </row>
    <row r="185" spans="1:12" hidden="1">
      <c r="A185" s="92" t="s">
        <v>162</v>
      </c>
      <c r="B185" s="93">
        <v>46246</v>
      </c>
      <c r="C185" s="92" t="s">
        <v>3486</v>
      </c>
      <c r="D185" s="92" t="s">
        <v>3487</v>
      </c>
      <c r="E185" s="92" t="s">
        <v>3678</v>
      </c>
      <c r="F185" s="88">
        <v>3850</v>
      </c>
      <c r="H185" s="88">
        <v>3850</v>
      </c>
      <c r="I185"/>
      <c r="J185" s="162">
        <v>1785547823673</v>
      </c>
      <c r="K185" s="65"/>
      <c r="L185" s="65"/>
    </row>
    <row r="186" spans="1:12" hidden="1">
      <c r="A186" s="92" t="s">
        <v>162</v>
      </c>
      <c r="B186" s="93">
        <v>46246</v>
      </c>
      <c r="C186" s="92" t="s">
        <v>1490</v>
      </c>
      <c r="D186" s="92" t="s">
        <v>1491</v>
      </c>
      <c r="E186" s="92" t="s">
        <v>3678</v>
      </c>
      <c r="F186" s="88">
        <v>280</v>
      </c>
      <c r="H186" s="88">
        <v>280</v>
      </c>
      <c r="I186"/>
      <c r="J186" s="162">
        <v>1786412068082</v>
      </c>
      <c r="K186" s="65"/>
      <c r="L186" s="65"/>
    </row>
    <row r="187" spans="1:12">
      <c r="A187" s="92" t="s">
        <v>172</v>
      </c>
      <c r="B187" s="93">
        <v>46246</v>
      </c>
      <c r="C187" s="92" t="s">
        <v>3488</v>
      </c>
      <c r="D187" s="92" t="s">
        <v>3489</v>
      </c>
      <c r="E187" s="92" t="s">
        <v>3677</v>
      </c>
      <c r="F187" s="88">
        <v>1000</v>
      </c>
      <c r="H187" s="88">
        <v>1000</v>
      </c>
      <c r="I187" s="65" t="s">
        <v>4079</v>
      </c>
      <c r="J187" s="162">
        <v>1786001365275</v>
      </c>
      <c r="K187" s="65"/>
      <c r="L187" s="65"/>
    </row>
    <row r="188" spans="1:12">
      <c r="A188" s="92" t="s">
        <v>3676</v>
      </c>
      <c r="B188" s="93">
        <v>46247</v>
      </c>
      <c r="C188" s="92" t="s">
        <v>3039</v>
      </c>
      <c r="D188" s="92" t="s">
        <v>3040</v>
      </c>
      <c r="E188" s="92" t="s">
        <v>3677</v>
      </c>
      <c r="F188" s="88">
        <v>500</v>
      </c>
      <c r="G188" s="88">
        <v>500</v>
      </c>
      <c r="I188" t="s">
        <v>873</v>
      </c>
      <c r="J188" s="162">
        <v>1786585346160</v>
      </c>
      <c r="K188" s="65"/>
      <c r="L188" s="65"/>
    </row>
    <row r="189" spans="1:12" hidden="1">
      <c r="A189" s="92" t="s">
        <v>162</v>
      </c>
      <c r="B189" s="93">
        <v>46247</v>
      </c>
      <c r="C189" s="92" t="s">
        <v>3490</v>
      </c>
      <c r="D189" s="92" t="s">
        <v>3491</v>
      </c>
      <c r="E189" s="92" t="s">
        <v>3678</v>
      </c>
      <c r="F189" s="88">
        <v>5600</v>
      </c>
      <c r="H189" s="88">
        <v>5600</v>
      </c>
      <c r="I189"/>
      <c r="J189" s="162">
        <v>1786444624767</v>
      </c>
      <c r="K189" s="65"/>
      <c r="L189" s="65"/>
    </row>
    <row r="190" spans="1:12">
      <c r="A190" s="92" t="s">
        <v>162</v>
      </c>
      <c r="B190" s="93">
        <v>46247</v>
      </c>
      <c r="C190" s="92" t="s">
        <v>1649</v>
      </c>
      <c r="D190" s="92" t="s">
        <v>1650</v>
      </c>
      <c r="E190" s="92" t="s">
        <v>3677</v>
      </c>
      <c r="F190" s="88">
        <v>2000</v>
      </c>
      <c r="H190" s="88">
        <v>2000</v>
      </c>
      <c r="I190" s="65" t="s">
        <v>110</v>
      </c>
      <c r="J190" s="162">
        <v>1786583554104</v>
      </c>
      <c r="K190" s="65"/>
      <c r="L190" s="65"/>
    </row>
    <row r="191" spans="1:12">
      <c r="A191" s="92" t="s">
        <v>3675</v>
      </c>
      <c r="B191" s="93">
        <v>46247</v>
      </c>
      <c r="C191" s="92" t="s">
        <v>3062</v>
      </c>
      <c r="D191" s="92" t="s">
        <v>3063</v>
      </c>
      <c r="E191" s="92" t="s">
        <v>3677</v>
      </c>
      <c r="F191" s="88">
        <v>500</v>
      </c>
      <c r="G191" s="88">
        <v>500</v>
      </c>
      <c r="I191" t="s">
        <v>4111</v>
      </c>
      <c r="J191" s="162">
        <v>1786438471149</v>
      </c>
      <c r="K191" s="65"/>
      <c r="L191" s="65"/>
    </row>
    <row r="192" spans="1:12" hidden="1">
      <c r="A192" s="92" t="s">
        <v>162</v>
      </c>
      <c r="B192" s="93">
        <v>46247</v>
      </c>
      <c r="C192" s="92" t="s">
        <v>1203</v>
      </c>
      <c r="D192" s="92" t="s">
        <v>1204</v>
      </c>
      <c r="E192" s="92" t="s">
        <v>3678</v>
      </c>
      <c r="F192" s="88">
        <v>2475</v>
      </c>
      <c r="H192" s="88">
        <v>2475</v>
      </c>
      <c r="I192"/>
      <c r="J192" s="162">
        <v>1785828393337</v>
      </c>
      <c r="K192" s="65"/>
      <c r="L192" s="65"/>
    </row>
    <row r="193" spans="1:12" hidden="1">
      <c r="A193" s="92" t="s">
        <v>187</v>
      </c>
      <c r="B193" s="93">
        <v>46247</v>
      </c>
      <c r="C193" s="92" t="e">
        <v>#N/A</v>
      </c>
      <c r="E193" s="92" t="s">
        <v>3678</v>
      </c>
      <c r="F193" s="88">
        <v>3850</v>
      </c>
      <c r="H193" s="88">
        <v>3850</v>
      </c>
      <c r="I193"/>
      <c r="J193" s="162">
        <v>1786530072262</v>
      </c>
      <c r="K193" s="65"/>
      <c r="L193" s="65"/>
    </row>
    <row r="194" spans="1:12">
      <c r="A194" s="92" t="s">
        <v>180</v>
      </c>
      <c r="B194" s="93">
        <v>46247</v>
      </c>
      <c r="C194" s="92" t="s">
        <v>3492</v>
      </c>
      <c r="D194" s="92" t="s">
        <v>3493</v>
      </c>
      <c r="E194" s="92" t="s">
        <v>3677</v>
      </c>
      <c r="F194" s="88">
        <v>2000</v>
      </c>
      <c r="H194" s="88">
        <v>2000</v>
      </c>
      <c r="I194" s="65" t="s">
        <v>4073</v>
      </c>
      <c r="J194" s="162">
        <v>1786503364851</v>
      </c>
      <c r="K194" s="65"/>
      <c r="L194" s="65"/>
    </row>
    <row r="195" spans="1:12" hidden="1">
      <c r="A195" s="92" t="s">
        <v>162</v>
      </c>
      <c r="B195" s="93">
        <v>46248</v>
      </c>
      <c r="C195" s="92" t="s">
        <v>3494</v>
      </c>
      <c r="D195" s="92" t="s">
        <v>3495</v>
      </c>
      <c r="E195" s="92" t="s">
        <v>3678</v>
      </c>
      <c r="F195" s="88">
        <v>7700</v>
      </c>
      <c r="H195" s="88">
        <v>7700</v>
      </c>
      <c r="I195"/>
      <c r="J195" s="162">
        <v>1786529982040</v>
      </c>
      <c r="K195" s="65"/>
      <c r="L195" s="65"/>
    </row>
    <row r="196" spans="1:12">
      <c r="A196" s="92" t="s">
        <v>180</v>
      </c>
      <c r="B196" s="93">
        <v>46248</v>
      </c>
      <c r="C196" s="92" t="s">
        <v>3496</v>
      </c>
      <c r="D196" s="92" t="s">
        <v>3497</v>
      </c>
      <c r="E196" s="92" t="s">
        <v>3677</v>
      </c>
      <c r="F196" s="88">
        <v>3000</v>
      </c>
      <c r="H196" s="88">
        <v>3000</v>
      </c>
      <c r="I196" s="65" t="s">
        <v>4094</v>
      </c>
      <c r="J196" s="162">
        <v>1786591056180</v>
      </c>
      <c r="K196" s="65"/>
      <c r="L196" s="65"/>
    </row>
    <row r="197" spans="1:12" hidden="1">
      <c r="A197" s="92" t="s">
        <v>162</v>
      </c>
      <c r="B197" s="93">
        <v>46248</v>
      </c>
      <c r="C197" s="92" t="s">
        <v>3498</v>
      </c>
      <c r="D197" s="92" t="s">
        <v>3499</v>
      </c>
      <c r="E197" s="92" t="s">
        <v>3678</v>
      </c>
      <c r="F197" s="88">
        <v>8575</v>
      </c>
      <c r="H197" s="88">
        <v>8575</v>
      </c>
      <c r="I197"/>
      <c r="J197" s="162">
        <v>1786526227714</v>
      </c>
      <c r="K197" s="65"/>
      <c r="L197" s="65"/>
    </row>
    <row r="198" spans="1:12" hidden="1">
      <c r="A198" s="92" t="s">
        <v>180</v>
      </c>
      <c r="B198" s="93">
        <v>46248</v>
      </c>
      <c r="C198" s="92" t="s">
        <v>3498</v>
      </c>
      <c r="D198" s="92" t="s">
        <v>3499</v>
      </c>
      <c r="E198" s="92" t="s">
        <v>3678</v>
      </c>
      <c r="F198" s="88">
        <v>7100</v>
      </c>
      <c r="G198" s="88">
        <v>5000</v>
      </c>
      <c r="H198" s="88">
        <v>2100</v>
      </c>
      <c r="I198"/>
      <c r="J198" s="162">
        <v>1786583687052</v>
      </c>
      <c r="K198" s="65"/>
      <c r="L198" s="65"/>
    </row>
    <row r="199" spans="1:12" hidden="1">
      <c r="A199" s="92" t="s">
        <v>162</v>
      </c>
      <c r="B199" s="93">
        <v>46248</v>
      </c>
      <c r="C199" s="92" t="s">
        <v>3500</v>
      </c>
      <c r="D199" s="92" t="s">
        <v>3501</v>
      </c>
      <c r="E199" s="92" t="s">
        <v>3678</v>
      </c>
      <c r="F199" s="88">
        <v>7700</v>
      </c>
      <c r="H199" s="88">
        <v>7700</v>
      </c>
      <c r="I199"/>
      <c r="J199" s="162">
        <v>1786674152080</v>
      </c>
      <c r="K199" s="65"/>
      <c r="L199" s="65"/>
    </row>
    <row r="200" spans="1:12" hidden="1">
      <c r="A200" s="92" t="s">
        <v>162</v>
      </c>
      <c r="B200" s="93">
        <v>46248</v>
      </c>
      <c r="C200" s="92" t="s">
        <v>3502</v>
      </c>
      <c r="D200" s="92" t="s">
        <v>3503</v>
      </c>
      <c r="E200" s="92" t="s">
        <v>3678</v>
      </c>
      <c r="F200" s="88">
        <v>3850</v>
      </c>
      <c r="H200" s="88">
        <v>3850</v>
      </c>
      <c r="I200"/>
      <c r="J200" s="162">
        <v>1785720741153</v>
      </c>
      <c r="K200" s="65"/>
      <c r="L200" s="65"/>
    </row>
    <row r="201" spans="1:12" hidden="1">
      <c r="A201" s="92" t="s">
        <v>162</v>
      </c>
      <c r="B201" s="93">
        <v>46248</v>
      </c>
      <c r="C201" s="92" t="s">
        <v>3504</v>
      </c>
      <c r="D201" s="92" t="s">
        <v>3505</v>
      </c>
      <c r="E201" s="92" t="s">
        <v>3678</v>
      </c>
      <c r="F201" s="88">
        <v>4200</v>
      </c>
      <c r="H201" s="88">
        <v>4200</v>
      </c>
      <c r="I201"/>
      <c r="J201" s="162">
        <v>1786610420251</v>
      </c>
      <c r="K201" s="65"/>
      <c r="L201" s="65"/>
    </row>
    <row r="202" spans="1:12">
      <c r="A202" s="92" t="s">
        <v>180</v>
      </c>
      <c r="B202" s="93">
        <v>46248</v>
      </c>
      <c r="C202" s="92" t="s">
        <v>3152</v>
      </c>
      <c r="D202" s="92" t="s">
        <v>3153</v>
      </c>
      <c r="E202" s="92" t="s">
        <v>3677</v>
      </c>
      <c r="F202" s="88">
        <v>493</v>
      </c>
      <c r="G202" s="88">
        <v>493</v>
      </c>
      <c r="I202" t="s">
        <v>4112</v>
      </c>
      <c r="J202" s="162">
        <v>1786689486930</v>
      </c>
      <c r="K202" s="65"/>
      <c r="L202" s="65"/>
    </row>
    <row r="203" spans="1:12" hidden="1">
      <c r="A203" s="92" t="s">
        <v>180</v>
      </c>
      <c r="B203" s="93">
        <v>46248</v>
      </c>
      <c r="C203" s="92" t="s">
        <v>1617</v>
      </c>
      <c r="D203" s="92" t="s">
        <v>1618</v>
      </c>
      <c r="E203" s="92" t="s">
        <v>3678</v>
      </c>
      <c r="F203" s="88">
        <v>493</v>
      </c>
      <c r="G203" s="88">
        <v>493</v>
      </c>
      <c r="I203"/>
      <c r="J203" s="162">
        <v>1786692007232</v>
      </c>
      <c r="K203" s="65"/>
      <c r="L203" s="65"/>
    </row>
    <row r="204" spans="1:12">
      <c r="A204" s="92" t="s">
        <v>180</v>
      </c>
      <c r="B204" s="93">
        <v>46248</v>
      </c>
      <c r="C204" s="92" t="s">
        <v>3506</v>
      </c>
      <c r="D204" s="92" t="s">
        <v>3507</v>
      </c>
      <c r="E204" s="92" t="s">
        <v>3677</v>
      </c>
      <c r="F204" s="88">
        <v>4000</v>
      </c>
      <c r="G204" s="88">
        <v>4000</v>
      </c>
      <c r="I204" t="s">
        <v>4113</v>
      </c>
      <c r="J204" s="162">
        <v>1786949926928</v>
      </c>
      <c r="K204" s="65"/>
      <c r="L204" s="65"/>
    </row>
    <row r="205" spans="1:12" hidden="1">
      <c r="A205" s="92" t="s">
        <v>162</v>
      </c>
      <c r="B205" s="93">
        <v>46248</v>
      </c>
      <c r="C205" s="92" t="s">
        <v>1326</v>
      </c>
      <c r="D205" s="92" t="s">
        <v>1327</v>
      </c>
      <c r="E205" s="92" t="s">
        <v>3678</v>
      </c>
      <c r="F205" s="88">
        <v>7700</v>
      </c>
      <c r="H205" s="88">
        <v>7700</v>
      </c>
      <c r="I205"/>
      <c r="J205" s="162">
        <v>1786583826334</v>
      </c>
      <c r="K205" s="65"/>
      <c r="L205" s="65"/>
    </row>
    <row r="206" spans="1:12" hidden="1">
      <c r="A206" s="92" t="s">
        <v>162</v>
      </c>
      <c r="B206" s="93">
        <v>46248</v>
      </c>
      <c r="C206" s="92" t="s">
        <v>3508</v>
      </c>
      <c r="D206" s="92" t="s">
        <v>3509</v>
      </c>
      <c r="E206" s="92" t="s">
        <v>3678</v>
      </c>
      <c r="F206" s="88">
        <v>7095</v>
      </c>
      <c r="H206" s="88">
        <v>7095</v>
      </c>
      <c r="I206"/>
      <c r="J206" s="162">
        <v>1786691855395</v>
      </c>
      <c r="K206" s="65"/>
      <c r="L206" s="65"/>
    </row>
    <row r="207" spans="1:12" hidden="1">
      <c r="A207" s="92" t="s">
        <v>162</v>
      </c>
      <c r="B207" s="93">
        <v>46248</v>
      </c>
      <c r="C207" s="92" t="s">
        <v>3510</v>
      </c>
      <c r="D207" s="92" t="s">
        <v>3511</v>
      </c>
      <c r="E207" s="92" t="s">
        <v>3678</v>
      </c>
      <c r="F207" s="88">
        <v>11550</v>
      </c>
      <c r="H207" s="88">
        <v>11550</v>
      </c>
      <c r="I207"/>
      <c r="J207" s="162">
        <v>1786431051836</v>
      </c>
      <c r="K207" s="65"/>
      <c r="L207" s="65"/>
    </row>
    <row r="208" spans="1:12" hidden="1">
      <c r="A208" s="92" t="s">
        <v>162</v>
      </c>
      <c r="B208" s="93">
        <v>46248</v>
      </c>
      <c r="C208" s="92" t="s">
        <v>1378</v>
      </c>
      <c r="D208" s="92" t="s">
        <v>1379</v>
      </c>
      <c r="E208" s="92" t="s">
        <v>3678</v>
      </c>
      <c r="F208" s="88">
        <v>21000</v>
      </c>
      <c r="H208" s="88">
        <v>21000</v>
      </c>
      <c r="I208"/>
      <c r="J208" s="162">
        <v>1786673905034</v>
      </c>
      <c r="K208" s="65"/>
      <c r="L208" s="65"/>
    </row>
    <row r="209" spans="1:12" hidden="1">
      <c r="A209" s="92" t="s">
        <v>162</v>
      </c>
      <c r="B209" s="93">
        <v>46249</v>
      </c>
      <c r="C209" s="92" t="s">
        <v>1341</v>
      </c>
      <c r="D209" s="92" t="s">
        <v>1342</v>
      </c>
      <c r="E209" s="92" t="s">
        <v>3678</v>
      </c>
      <c r="F209" s="88">
        <v>4200</v>
      </c>
      <c r="H209" s="88">
        <v>4200</v>
      </c>
      <c r="I209"/>
      <c r="J209" s="162">
        <v>1786598249175</v>
      </c>
      <c r="K209" s="65"/>
      <c r="L209" s="65"/>
    </row>
    <row r="210" spans="1:12" hidden="1">
      <c r="A210" s="92" t="s">
        <v>162</v>
      </c>
      <c r="B210" s="93">
        <v>46249</v>
      </c>
      <c r="C210" s="92" t="s">
        <v>1341</v>
      </c>
      <c r="D210" s="92" t="s">
        <v>1342</v>
      </c>
      <c r="E210" s="92" t="s">
        <v>3678</v>
      </c>
      <c r="F210" s="88">
        <v>3850</v>
      </c>
      <c r="H210" s="88">
        <v>3850</v>
      </c>
      <c r="I210"/>
      <c r="J210" s="162">
        <v>1786598249175</v>
      </c>
      <c r="K210" s="65"/>
      <c r="L210" s="65"/>
    </row>
    <row r="211" spans="1:12" hidden="1">
      <c r="A211" s="92" t="s">
        <v>162</v>
      </c>
      <c r="B211" s="93">
        <v>46249</v>
      </c>
      <c r="C211" s="92" t="s">
        <v>1466</v>
      </c>
      <c r="D211" s="92" t="s">
        <v>1467</v>
      </c>
      <c r="E211" s="92" t="s">
        <v>3678</v>
      </c>
      <c r="F211" s="88">
        <v>2800</v>
      </c>
      <c r="H211" s="88">
        <v>2800</v>
      </c>
      <c r="I211"/>
      <c r="J211" s="162">
        <v>1786597842208</v>
      </c>
      <c r="K211" s="65"/>
      <c r="L211" s="65"/>
    </row>
    <row r="212" spans="1:12" hidden="1">
      <c r="A212" s="92" t="s">
        <v>162</v>
      </c>
      <c r="B212" s="93">
        <v>46249</v>
      </c>
      <c r="C212" s="92" t="s">
        <v>1439</v>
      </c>
      <c r="D212" s="92" t="s">
        <v>1440</v>
      </c>
      <c r="E212" s="92" t="s">
        <v>3678</v>
      </c>
      <c r="F212" s="88">
        <v>3850</v>
      </c>
      <c r="H212" s="88">
        <v>3850</v>
      </c>
      <c r="I212"/>
      <c r="J212" s="162">
        <v>1786530653592</v>
      </c>
      <c r="K212" s="65"/>
      <c r="L212" s="65"/>
    </row>
    <row r="213" spans="1:12">
      <c r="A213" s="92" t="s">
        <v>172</v>
      </c>
      <c r="B213" s="93">
        <v>46249</v>
      </c>
      <c r="C213" s="92" t="s">
        <v>3512</v>
      </c>
      <c r="D213" s="92" t="s">
        <v>3513</v>
      </c>
      <c r="E213" s="92" t="s">
        <v>3677</v>
      </c>
      <c r="F213" s="88">
        <v>2000</v>
      </c>
      <c r="H213" s="88">
        <v>2000</v>
      </c>
      <c r="I213" t="s">
        <v>4104</v>
      </c>
      <c r="J213" s="162">
        <v>1786605631808</v>
      </c>
      <c r="K213" s="65"/>
      <c r="L213" s="65"/>
    </row>
    <row r="214" spans="1:12" hidden="1">
      <c r="A214" s="92" t="s">
        <v>162</v>
      </c>
      <c r="B214" s="93">
        <v>46249</v>
      </c>
      <c r="C214" s="92" t="s">
        <v>1324</v>
      </c>
      <c r="D214" s="92" t="s">
        <v>1325</v>
      </c>
      <c r="E214" s="92" t="s">
        <v>3678</v>
      </c>
      <c r="F214" s="88">
        <v>3850</v>
      </c>
      <c r="H214" s="88">
        <v>3850</v>
      </c>
      <c r="I214"/>
      <c r="J214" s="162">
        <v>1786597842128</v>
      </c>
      <c r="K214" s="65"/>
      <c r="L214" s="65"/>
    </row>
    <row r="215" spans="1:12" hidden="1">
      <c r="A215" s="92" t="s">
        <v>172</v>
      </c>
      <c r="B215" s="93">
        <v>46249</v>
      </c>
      <c r="C215" s="92" t="s">
        <v>587</v>
      </c>
      <c r="D215" s="92" t="s">
        <v>588</v>
      </c>
      <c r="E215" s="92" t="s">
        <v>3678</v>
      </c>
      <c r="F215" s="88">
        <v>3850</v>
      </c>
      <c r="H215" s="88">
        <v>3850</v>
      </c>
      <c r="I215"/>
      <c r="J215" s="162">
        <v>1785727668199</v>
      </c>
      <c r="K215" s="65"/>
      <c r="L215" s="65"/>
    </row>
    <row r="216" spans="1:12" hidden="1">
      <c r="A216" s="92" t="s">
        <v>162</v>
      </c>
      <c r="B216" s="93">
        <v>46249</v>
      </c>
      <c r="C216" s="92" t="s">
        <v>1335</v>
      </c>
      <c r="D216" s="92" t="s">
        <v>1336</v>
      </c>
      <c r="E216" s="92" t="s">
        <v>3678</v>
      </c>
      <c r="F216" s="88">
        <v>4200</v>
      </c>
      <c r="H216" s="88">
        <v>4200</v>
      </c>
      <c r="I216"/>
      <c r="J216" s="162">
        <v>1786598098194</v>
      </c>
      <c r="K216" s="65"/>
      <c r="L216" s="65"/>
    </row>
    <row r="217" spans="1:12">
      <c r="A217" s="92" t="s">
        <v>162</v>
      </c>
      <c r="B217" s="93">
        <v>46249</v>
      </c>
      <c r="C217" s="92" t="s">
        <v>3514</v>
      </c>
      <c r="D217" s="92" t="s">
        <v>3515</v>
      </c>
      <c r="E217" s="92" t="s">
        <v>3677</v>
      </c>
      <c r="F217" s="88">
        <v>3000</v>
      </c>
      <c r="H217" s="88">
        <v>3000</v>
      </c>
      <c r="I217" s="65" t="s">
        <v>4069</v>
      </c>
      <c r="J217" s="162">
        <v>1786761461632</v>
      </c>
      <c r="K217" s="65"/>
      <c r="L217" s="65"/>
    </row>
    <row r="218" spans="1:12" hidden="1">
      <c r="A218" s="92" t="s">
        <v>162</v>
      </c>
      <c r="B218" s="93">
        <v>46249</v>
      </c>
      <c r="C218" s="92" t="s">
        <v>3514</v>
      </c>
      <c r="D218" s="92" t="s">
        <v>3515</v>
      </c>
      <c r="E218" s="92" t="s">
        <v>3678</v>
      </c>
      <c r="F218" s="88">
        <v>7700</v>
      </c>
      <c r="H218" s="88">
        <v>7700</v>
      </c>
      <c r="I218"/>
      <c r="J218" s="162">
        <v>1786761572114</v>
      </c>
      <c r="K218" s="65"/>
      <c r="L218" s="65"/>
    </row>
    <row r="219" spans="1:12" hidden="1">
      <c r="A219" s="92" t="s">
        <v>162</v>
      </c>
      <c r="B219" s="93">
        <v>46249</v>
      </c>
      <c r="C219" s="92" t="s">
        <v>1407</v>
      </c>
      <c r="D219" s="92" t="s">
        <v>1408</v>
      </c>
      <c r="E219" s="92" t="s">
        <v>3678</v>
      </c>
      <c r="F219" s="88">
        <v>920</v>
      </c>
      <c r="H219" s="88">
        <v>920</v>
      </c>
      <c r="I219"/>
      <c r="J219" s="162">
        <v>1786597722484</v>
      </c>
      <c r="K219" s="65"/>
      <c r="L219" s="65"/>
    </row>
    <row r="220" spans="1:12" hidden="1">
      <c r="A220" s="92" t="s">
        <v>162</v>
      </c>
      <c r="B220" s="93">
        <v>46250</v>
      </c>
      <c r="C220" s="92" t="s">
        <v>1356</v>
      </c>
      <c r="D220" s="92" t="s">
        <v>1357</v>
      </c>
      <c r="E220" s="92" t="s">
        <v>3678</v>
      </c>
      <c r="F220" s="88">
        <v>3850</v>
      </c>
      <c r="H220" s="88">
        <v>3850</v>
      </c>
      <c r="I220"/>
      <c r="J220" s="162">
        <v>1786598359037</v>
      </c>
      <c r="K220" s="65"/>
      <c r="L220" s="65"/>
    </row>
    <row r="221" spans="1:12" hidden="1">
      <c r="A221" s="92" t="s">
        <v>162</v>
      </c>
      <c r="B221" s="93">
        <v>46250</v>
      </c>
      <c r="C221" s="92" t="s">
        <v>1333</v>
      </c>
      <c r="D221" s="92" t="s">
        <v>1334</v>
      </c>
      <c r="E221" s="92" t="s">
        <v>3678</v>
      </c>
      <c r="F221" s="88">
        <v>3850</v>
      </c>
      <c r="H221" s="88">
        <v>3850</v>
      </c>
      <c r="I221"/>
      <c r="J221" s="162">
        <v>1786598216935</v>
      </c>
      <c r="K221" s="65"/>
      <c r="L221" s="65"/>
    </row>
    <row r="222" spans="1:12" hidden="1">
      <c r="A222" s="92" t="s">
        <v>162</v>
      </c>
      <c r="B222" s="93">
        <v>46250</v>
      </c>
      <c r="C222" s="92" t="s">
        <v>3516</v>
      </c>
      <c r="D222" s="92" t="s">
        <v>3517</v>
      </c>
      <c r="E222" s="92" t="s">
        <v>3678</v>
      </c>
      <c r="F222" s="88">
        <v>8400</v>
      </c>
      <c r="H222" s="88">
        <v>8400</v>
      </c>
      <c r="I222"/>
      <c r="J222" s="162">
        <v>1786596824209</v>
      </c>
      <c r="K222" s="65"/>
      <c r="L222" s="65"/>
    </row>
    <row r="223" spans="1:12" hidden="1">
      <c r="A223" s="92" t="s">
        <v>162</v>
      </c>
      <c r="B223" s="93">
        <v>46250</v>
      </c>
      <c r="C223" s="92" t="s">
        <v>1364</v>
      </c>
      <c r="D223" s="92" t="s">
        <v>1365</v>
      </c>
      <c r="E223" s="92" t="s">
        <v>3678</v>
      </c>
      <c r="F223" s="88">
        <v>3850</v>
      </c>
      <c r="H223" s="88">
        <v>3850</v>
      </c>
      <c r="I223"/>
      <c r="J223" s="162">
        <v>1786598154181</v>
      </c>
      <c r="K223" s="65"/>
      <c r="L223" s="65"/>
    </row>
    <row r="224" spans="1:12" hidden="1">
      <c r="A224" s="92" t="s">
        <v>162</v>
      </c>
      <c r="B224" s="93">
        <v>46250</v>
      </c>
      <c r="C224" s="92" t="s">
        <v>1897</v>
      </c>
      <c r="D224" s="92" t="s">
        <v>1898</v>
      </c>
      <c r="E224" s="92" t="s">
        <v>3678</v>
      </c>
      <c r="F224" s="88">
        <v>3850</v>
      </c>
      <c r="H224" s="88">
        <v>3850</v>
      </c>
      <c r="I224"/>
      <c r="J224" s="162">
        <v>1786596438176</v>
      </c>
      <c r="K224" s="65"/>
      <c r="L224" s="65"/>
    </row>
    <row r="225" spans="1:12" hidden="1">
      <c r="A225" s="92" t="s">
        <v>162</v>
      </c>
      <c r="B225" s="93">
        <v>46250</v>
      </c>
      <c r="C225" s="92" t="s">
        <v>1494</v>
      </c>
      <c r="D225" s="92" t="s">
        <v>1495</v>
      </c>
      <c r="E225" s="92" t="s">
        <v>3678</v>
      </c>
      <c r="F225" s="88">
        <v>3850</v>
      </c>
      <c r="H225" s="88">
        <v>3850</v>
      </c>
      <c r="I225"/>
      <c r="J225" s="162">
        <v>1786765219854</v>
      </c>
      <c r="K225" s="65"/>
      <c r="L225" s="65"/>
    </row>
    <row r="226" spans="1:12" hidden="1">
      <c r="A226" s="92" t="s">
        <v>162</v>
      </c>
      <c r="B226" s="93">
        <v>46250</v>
      </c>
      <c r="C226" s="92" t="s">
        <v>1443</v>
      </c>
      <c r="D226" s="92" t="s">
        <v>1444</v>
      </c>
      <c r="E226" s="92" t="s">
        <v>3678</v>
      </c>
      <c r="F226" s="88">
        <v>4200</v>
      </c>
      <c r="H226" s="88">
        <v>4200</v>
      </c>
      <c r="I226"/>
      <c r="J226" s="162">
        <v>1786597491356</v>
      </c>
      <c r="K226" s="65"/>
      <c r="L226" s="65"/>
    </row>
    <row r="227" spans="1:12">
      <c r="A227" s="92" t="s">
        <v>180</v>
      </c>
      <c r="B227" s="93">
        <v>46250</v>
      </c>
      <c r="C227" s="92" t="s">
        <v>3088</v>
      </c>
      <c r="D227" s="92" t="s">
        <v>3089</v>
      </c>
      <c r="E227" s="92" t="s">
        <v>3677</v>
      </c>
      <c r="F227" s="88">
        <v>500</v>
      </c>
      <c r="G227" s="88">
        <v>500</v>
      </c>
      <c r="I227" t="s">
        <v>4114</v>
      </c>
      <c r="J227" s="162">
        <v>1786863206506</v>
      </c>
      <c r="K227" s="65"/>
      <c r="L227" s="65"/>
    </row>
    <row r="228" spans="1:12" hidden="1">
      <c r="A228" s="92" t="s">
        <v>162</v>
      </c>
      <c r="B228" s="93">
        <v>46250</v>
      </c>
      <c r="C228" s="92" t="s">
        <v>1429</v>
      </c>
      <c r="D228" s="92" t="s">
        <v>1430</v>
      </c>
      <c r="E228" s="92" t="s">
        <v>3678</v>
      </c>
      <c r="F228" s="88">
        <v>3850</v>
      </c>
      <c r="H228" s="88">
        <v>3850</v>
      </c>
      <c r="I228"/>
      <c r="J228" s="162">
        <v>1786598248844</v>
      </c>
      <c r="K228" s="65"/>
      <c r="L228" s="65"/>
    </row>
    <row r="229" spans="1:12" hidden="1">
      <c r="A229" s="92" t="s">
        <v>162</v>
      </c>
      <c r="B229" s="93">
        <v>46250</v>
      </c>
      <c r="C229" s="92" t="s">
        <v>1302</v>
      </c>
      <c r="D229" s="92" t="s">
        <v>1303</v>
      </c>
      <c r="E229" s="92" t="s">
        <v>3678</v>
      </c>
      <c r="F229" s="88">
        <v>2800</v>
      </c>
      <c r="H229" s="88">
        <v>2800</v>
      </c>
      <c r="I229"/>
      <c r="J229" s="162">
        <v>1786597926454</v>
      </c>
      <c r="K229" s="65"/>
      <c r="L229" s="65"/>
    </row>
    <row r="230" spans="1:12" hidden="1">
      <c r="A230" s="92" t="s">
        <v>162</v>
      </c>
      <c r="B230" s="93">
        <v>46250</v>
      </c>
      <c r="C230" s="92" t="s">
        <v>3518</v>
      </c>
      <c r="D230" s="92" t="s">
        <v>3519</v>
      </c>
      <c r="E230" s="92" t="s">
        <v>3678</v>
      </c>
      <c r="F230" s="88">
        <v>7700</v>
      </c>
      <c r="H230" s="88">
        <v>7700</v>
      </c>
      <c r="I230"/>
      <c r="J230" s="162">
        <v>1786583770029</v>
      </c>
      <c r="K230" s="65"/>
      <c r="L230" s="65"/>
    </row>
    <row r="231" spans="1:12" hidden="1">
      <c r="A231" s="92" t="s">
        <v>180</v>
      </c>
      <c r="B231" s="93">
        <v>46250</v>
      </c>
      <c r="C231" s="92" t="s">
        <v>3125</v>
      </c>
      <c r="D231" s="92" t="s">
        <v>3126</v>
      </c>
      <c r="E231" s="92" t="s">
        <v>3678</v>
      </c>
      <c r="F231" s="88">
        <v>493</v>
      </c>
      <c r="G231" s="88">
        <v>493</v>
      </c>
      <c r="I231"/>
      <c r="J231" s="162">
        <v>1786857497471</v>
      </c>
      <c r="K231" s="65"/>
      <c r="L231" s="65"/>
    </row>
    <row r="232" spans="1:12" hidden="1">
      <c r="A232" s="92" t="s">
        <v>162</v>
      </c>
      <c r="B232" s="93">
        <v>46250</v>
      </c>
      <c r="C232" s="92" t="s">
        <v>1830</v>
      </c>
      <c r="D232" s="92" t="s">
        <v>1831</v>
      </c>
      <c r="E232" s="92" t="s">
        <v>3678</v>
      </c>
      <c r="F232" s="88">
        <v>3850</v>
      </c>
      <c r="H232" s="88">
        <v>3850</v>
      </c>
      <c r="I232"/>
      <c r="J232" s="162">
        <v>1786597527181</v>
      </c>
      <c r="K232" s="65"/>
      <c r="L232" s="65"/>
    </row>
    <row r="233" spans="1:12" hidden="1">
      <c r="A233" s="92" t="s">
        <v>162</v>
      </c>
      <c r="B233" s="93">
        <v>46250</v>
      </c>
      <c r="C233" s="92" t="s">
        <v>3520</v>
      </c>
      <c r="D233" s="92" t="s">
        <v>3521</v>
      </c>
      <c r="E233" s="92" t="s">
        <v>3678</v>
      </c>
      <c r="F233" s="88">
        <v>2800</v>
      </c>
      <c r="H233" s="88">
        <v>2800</v>
      </c>
      <c r="I233"/>
      <c r="J233" s="162">
        <v>1786598561481</v>
      </c>
      <c r="K233" s="65"/>
      <c r="L233" s="65"/>
    </row>
    <row r="234" spans="1:12" hidden="1">
      <c r="A234" s="92" t="s">
        <v>162</v>
      </c>
      <c r="B234" s="93">
        <v>46250</v>
      </c>
      <c r="C234" s="92" t="s">
        <v>1562</v>
      </c>
      <c r="D234" s="92" t="s">
        <v>1563</v>
      </c>
      <c r="E234" s="92" t="s">
        <v>3678</v>
      </c>
      <c r="F234" s="88">
        <v>3850</v>
      </c>
      <c r="H234" s="88">
        <v>3850</v>
      </c>
      <c r="I234"/>
      <c r="J234" s="162">
        <v>1786597508717</v>
      </c>
      <c r="K234" s="65"/>
      <c r="L234" s="65"/>
    </row>
    <row r="235" spans="1:12" hidden="1">
      <c r="A235" s="92" t="s">
        <v>162</v>
      </c>
      <c r="B235" s="93">
        <v>46250</v>
      </c>
      <c r="C235" s="92" t="s">
        <v>1599</v>
      </c>
      <c r="D235" s="92" t="s">
        <v>1600</v>
      </c>
      <c r="E235" s="92" t="s">
        <v>3678</v>
      </c>
      <c r="F235" s="88">
        <v>8400</v>
      </c>
      <c r="H235" s="88">
        <v>8400</v>
      </c>
      <c r="I235"/>
      <c r="J235" s="162">
        <v>1786866980708</v>
      </c>
      <c r="K235" s="65"/>
      <c r="L235" s="65"/>
    </row>
    <row r="236" spans="1:12" hidden="1">
      <c r="A236" s="92" t="s">
        <v>162</v>
      </c>
      <c r="B236" s="93">
        <v>46250</v>
      </c>
      <c r="C236" s="92" t="s">
        <v>1678</v>
      </c>
      <c r="D236" s="92" t="s">
        <v>1679</v>
      </c>
      <c r="E236" s="92" t="s">
        <v>3678</v>
      </c>
      <c r="F236" s="88">
        <v>3850</v>
      </c>
      <c r="H236" s="88">
        <v>3850</v>
      </c>
      <c r="I236"/>
      <c r="J236" s="162">
        <v>1786598469319</v>
      </c>
      <c r="K236" s="65"/>
      <c r="L236" s="65"/>
    </row>
    <row r="237" spans="1:12" hidden="1">
      <c r="A237" s="92" t="s">
        <v>162</v>
      </c>
      <c r="B237" s="93">
        <v>46250</v>
      </c>
      <c r="C237" s="92" t="s">
        <v>1556</v>
      </c>
      <c r="D237" s="92" t="s">
        <v>1557</v>
      </c>
      <c r="E237" s="92" t="s">
        <v>3678</v>
      </c>
      <c r="F237" s="88">
        <v>3850</v>
      </c>
      <c r="H237" s="88">
        <v>3850</v>
      </c>
      <c r="I237"/>
      <c r="J237" s="162">
        <v>1786598376074</v>
      </c>
      <c r="K237" s="65"/>
      <c r="L237" s="65"/>
    </row>
    <row r="238" spans="1:12">
      <c r="A238" s="92" t="s">
        <v>162</v>
      </c>
      <c r="B238" s="93">
        <v>46251</v>
      </c>
      <c r="C238" s="92" t="s">
        <v>3522</v>
      </c>
      <c r="D238" s="92" t="s">
        <v>3523</v>
      </c>
      <c r="E238" s="92" t="s">
        <v>3677</v>
      </c>
      <c r="F238" s="88">
        <v>2000</v>
      </c>
      <c r="H238" s="88">
        <v>2000</v>
      </c>
      <c r="I238" s="65" t="s">
        <v>4007</v>
      </c>
      <c r="J238" s="162">
        <v>1785829518928</v>
      </c>
      <c r="K238" s="65"/>
      <c r="L238" s="65"/>
    </row>
    <row r="239" spans="1:12" hidden="1">
      <c r="A239" s="92" t="s">
        <v>162</v>
      </c>
      <c r="B239" s="93">
        <v>46251</v>
      </c>
      <c r="C239" s="92" t="s">
        <v>1504</v>
      </c>
      <c r="D239" s="92" t="s">
        <v>1505</v>
      </c>
      <c r="E239" s="92" t="s">
        <v>3678</v>
      </c>
      <c r="F239" s="88">
        <v>4620</v>
      </c>
      <c r="H239" s="88">
        <v>4620</v>
      </c>
      <c r="I239"/>
      <c r="J239" s="162">
        <v>1786951958123</v>
      </c>
      <c r="K239" s="65"/>
      <c r="L239" s="65"/>
    </row>
    <row r="240" spans="1:12" hidden="1">
      <c r="A240" s="92" t="s">
        <v>162</v>
      </c>
      <c r="B240" s="93">
        <v>46251</v>
      </c>
      <c r="C240" s="92" t="s">
        <v>1345</v>
      </c>
      <c r="D240" s="92" t="s">
        <v>1346</v>
      </c>
      <c r="E240" s="92" t="s">
        <v>3678</v>
      </c>
      <c r="F240" s="88">
        <v>3850</v>
      </c>
      <c r="H240" s="88">
        <v>3850</v>
      </c>
      <c r="I240"/>
      <c r="J240" s="162">
        <v>1786597773829</v>
      </c>
      <c r="K240" s="65"/>
      <c r="L240" s="65"/>
    </row>
    <row r="241" spans="1:12" hidden="1">
      <c r="A241" s="92" t="s">
        <v>162</v>
      </c>
      <c r="B241" s="93">
        <v>46251</v>
      </c>
      <c r="C241" s="92" t="s">
        <v>3524</v>
      </c>
      <c r="D241" s="92" t="s">
        <v>3525</v>
      </c>
      <c r="E241" s="92" t="s">
        <v>3678</v>
      </c>
      <c r="F241" s="88">
        <v>8000</v>
      </c>
      <c r="H241" s="88">
        <v>8000</v>
      </c>
      <c r="I241"/>
      <c r="J241" s="162">
        <v>1786528840646</v>
      </c>
      <c r="K241" s="65"/>
      <c r="L241" s="65"/>
    </row>
    <row r="242" spans="1:12" hidden="1">
      <c r="A242" s="92" t="s">
        <v>162</v>
      </c>
      <c r="B242" s="93">
        <v>46251</v>
      </c>
      <c r="C242" s="92" t="s">
        <v>1347</v>
      </c>
      <c r="D242" s="92" t="s">
        <v>1348</v>
      </c>
      <c r="E242" s="92" t="s">
        <v>3678</v>
      </c>
      <c r="F242" s="88">
        <v>4200</v>
      </c>
      <c r="H242" s="88">
        <v>4200</v>
      </c>
      <c r="I242"/>
      <c r="J242" s="162">
        <v>1786598236921</v>
      </c>
      <c r="K242" s="65"/>
      <c r="L242" s="65"/>
    </row>
    <row r="243" spans="1:12">
      <c r="A243" s="92" t="s">
        <v>162</v>
      </c>
      <c r="B243" s="93">
        <v>46251</v>
      </c>
      <c r="C243" s="92" t="s">
        <v>1582</v>
      </c>
      <c r="D243" s="92" t="s">
        <v>1583</v>
      </c>
      <c r="E243" s="92" t="s">
        <v>3677</v>
      </c>
      <c r="F243" s="88">
        <v>4000</v>
      </c>
      <c r="H243" s="88">
        <v>4000</v>
      </c>
      <c r="I243" t="s">
        <v>95</v>
      </c>
      <c r="J243" s="162">
        <v>1786931938842</v>
      </c>
      <c r="K243" s="65"/>
      <c r="L243" s="65"/>
    </row>
    <row r="244" spans="1:12" hidden="1">
      <c r="A244" s="92" t="s">
        <v>162</v>
      </c>
      <c r="B244" s="93">
        <v>46251</v>
      </c>
      <c r="C244" s="92" t="s">
        <v>1372</v>
      </c>
      <c r="D244" s="92" t="s">
        <v>1373</v>
      </c>
      <c r="E244" s="92" t="s">
        <v>3678</v>
      </c>
      <c r="F244" s="88">
        <v>2800</v>
      </c>
      <c r="H244" s="88">
        <v>2800</v>
      </c>
      <c r="I244"/>
      <c r="J244" s="162">
        <v>1786597746365</v>
      </c>
      <c r="K244" s="65"/>
      <c r="L244" s="65"/>
    </row>
    <row r="245" spans="1:12" hidden="1">
      <c r="A245" s="92" t="s">
        <v>162</v>
      </c>
      <c r="B245" s="93">
        <v>46251</v>
      </c>
      <c r="C245" s="92" t="s">
        <v>1560</v>
      </c>
      <c r="D245" s="92" t="s">
        <v>1561</v>
      </c>
      <c r="E245" s="92" t="s">
        <v>3678</v>
      </c>
      <c r="F245" s="88">
        <v>3850</v>
      </c>
      <c r="H245" s="88">
        <v>3850</v>
      </c>
      <c r="I245"/>
      <c r="J245" s="162">
        <v>1786596677840</v>
      </c>
      <c r="K245" s="65"/>
      <c r="L245" s="65"/>
    </row>
    <row r="246" spans="1:12" hidden="1">
      <c r="A246" s="92" t="s">
        <v>162</v>
      </c>
      <c r="B246" s="93">
        <v>46251</v>
      </c>
      <c r="C246" s="92" t="s">
        <v>3526</v>
      </c>
      <c r="D246" s="92" t="s">
        <v>3527</v>
      </c>
      <c r="E246" s="92" t="s">
        <v>3678</v>
      </c>
      <c r="F246" s="88">
        <v>3850</v>
      </c>
      <c r="H246" s="88">
        <v>3850</v>
      </c>
      <c r="I246"/>
      <c r="J246" s="162">
        <v>1786839604667</v>
      </c>
      <c r="K246" s="65"/>
      <c r="L246" s="65"/>
    </row>
    <row r="247" spans="1:12" hidden="1">
      <c r="A247" s="92" t="s">
        <v>162</v>
      </c>
      <c r="B247" s="93">
        <v>46251</v>
      </c>
      <c r="C247" s="92" t="s">
        <v>1240</v>
      </c>
      <c r="D247" s="92" t="s">
        <v>1241</v>
      </c>
      <c r="E247" s="92" t="s">
        <v>3678</v>
      </c>
      <c r="F247" s="88">
        <v>7700</v>
      </c>
      <c r="H247" s="88">
        <v>7700</v>
      </c>
      <c r="I247"/>
      <c r="J247" s="162">
        <v>1786503997827</v>
      </c>
      <c r="K247" s="65"/>
      <c r="L247" s="65"/>
    </row>
    <row r="248" spans="1:12" hidden="1">
      <c r="A248" s="92" t="s">
        <v>162</v>
      </c>
      <c r="B248" s="93">
        <v>46251</v>
      </c>
      <c r="C248" s="92" t="s">
        <v>1506</v>
      </c>
      <c r="D248" s="92" t="s">
        <v>1507</v>
      </c>
      <c r="E248" s="92" t="s">
        <v>3678</v>
      </c>
      <c r="F248" s="88">
        <v>3850</v>
      </c>
      <c r="H248" s="88">
        <v>3850</v>
      </c>
      <c r="I248"/>
      <c r="J248" s="162">
        <v>1786597006826</v>
      </c>
      <c r="K248" s="65"/>
      <c r="L248" s="65"/>
    </row>
    <row r="249" spans="1:12" hidden="1">
      <c r="A249" s="92" t="s">
        <v>162</v>
      </c>
      <c r="B249" s="93">
        <v>46251</v>
      </c>
      <c r="C249" s="92" t="s">
        <v>1607</v>
      </c>
      <c r="D249" s="92" t="s">
        <v>1608</v>
      </c>
      <c r="E249" s="92" t="s">
        <v>3678</v>
      </c>
      <c r="F249" s="88">
        <v>3850</v>
      </c>
      <c r="H249" s="88">
        <v>3850</v>
      </c>
      <c r="I249"/>
      <c r="J249" s="162">
        <v>1786596624382</v>
      </c>
      <c r="K249" s="65"/>
      <c r="L249" s="65"/>
    </row>
    <row r="250" spans="1:12" hidden="1">
      <c r="A250" s="92" t="s">
        <v>162</v>
      </c>
      <c r="B250" s="93">
        <v>46251</v>
      </c>
      <c r="C250" s="92" t="s">
        <v>3528</v>
      </c>
      <c r="D250" s="92" t="s">
        <v>3529</v>
      </c>
      <c r="E250" s="92" t="s">
        <v>3678</v>
      </c>
      <c r="F250" s="88">
        <v>5600</v>
      </c>
      <c r="H250" s="88">
        <v>5600</v>
      </c>
      <c r="I250"/>
      <c r="J250" s="162">
        <v>1786152482470</v>
      </c>
      <c r="K250" s="65"/>
      <c r="L250" s="65"/>
    </row>
    <row r="251" spans="1:12" hidden="1">
      <c r="A251" s="92" t="s">
        <v>162</v>
      </c>
      <c r="B251" s="93">
        <v>46251</v>
      </c>
      <c r="C251" s="92" t="s">
        <v>3530</v>
      </c>
      <c r="D251" s="92" t="s">
        <v>3531</v>
      </c>
      <c r="E251" s="92" t="s">
        <v>3678</v>
      </c>
      <c r="F251" s="88">
        <v>11550</v>
      </c>
      <c r="H251" s="88">
        <v>11550</v>
      </c>
      <c r="I251"/>
      <c r="J251" s="162">
        <v>1786949420751</v>
      </c>
      <c r="K251" s="65"/>
      <c r="L251" s="65"/>
    </row>
    <row r="252" spans="1:12" hidden="1">
      <c r="A252" s="92" t="s">
        <v>162</v>
      </c>
      <c r="B252" s="93">
        <v>46251</v>
      </c>
      <c r="C252" s="92" t="s">
        <v>3196</v>
      </c>
      <c r="D252" s="92" t="s">
        <v>3197</v>
      </c>
      <c r="E252" s="92" t="s">
        <v>3678</v>
      </c>
      <c r="F252" s="88">
        <v>5600</v>
      </c>
      <c r="H252" s="88">
        <v>5600</v>
      </c>
      <c r="I252"/>
      <c r="J252" s="162">
        <v>1786934779700</v>
      </c>
      <c r="K252" s="65"/>
      <c r="L252" s="65"/>
    </row>
    <row r="253" spans="1:12">
      <c r="A253" s="92" t="s">
        <v>162</v>
      </c>
      <c r="B253" s="93">
        <v>46251</v>
      </c>
      <c r="C253" s="92" t="s">
        <v>3532</v>
      </c>
      <c r="D253" s="92" t="s">
        <v>3533</v>
      </c>
      <c r="E253" s="92" t="s">
        <v>3677</v>
      </c>
      <c r="F253" s="88">
        <v>4000</v>
      </c>
      <c r="H253" s="88">
        <v>4000</v>
      </c>
      <c r="I253" s="65" t="s">
        <v>3999</v>
      </c>
      <c r="J253" s="162">
        <v>1786598346483</v>
      </c>
      <c r="K253" s="65"/>
      <c r="L253" s="65"/>
    </row>
    <row r="254" spans="1:12" hidden="1">
      <c r="A254" s="92" t="s">
        <v>162</v>
      </c>
      <c r="B254" s="93">
        <v>46251</v>
      </c>
      <c r="C254" s="92" t="s">
        <v>1788</v>
      </c>
      <c r="D254" s="92" t="s">
        <v>1789</v>
      </c>
      <c r="E254" s="92" t="s">
        <v>3678</v>
      </c>
      <c r="F254" s="88">
        <v>3850</v>
      </c>
      <c r="H254" s="88">
        <v>3850</v>
      </c>
      <c r="I254"/>
      <c r="J254" s="162">
        <v>1786598339174</v>
      </c>
      <c r="K254" s="65"/>
      <c r="L254" s="65"/>
    </row>
    <row r="255" spans="1:12" hidden="1">
      <c r="A255" s="92" t="s">
        <v>162</v>
      </c>
      <c r="B255" s="93">
        <v>46251</v>
      </c>
      <c r="C255" s="92" t="s">
        <v>1374</v>
      </c>
      <c r="D255" s="92" t="s">
        <v>1375</v>
      </c>
      <c r="E255" s="92" t="s">
        <v>3678</v>
      </c>
      <c r="F255" s="88">
        <v>3850</v>
      </c>
      <c r="H255" s="88">
        <v>3850</v>
      </c>
      <c r="I255"/>
      <c r="J255" s="162">
        <v>1786598312461</v>
      </c>
      <c r="K255" s="65"/>
      <c r="L255" s="65"/>
    </row>
    <row r="256" spans="1:12" hidden="1">
      <c r="A256" s="92" t="s">
        <v>162</v>
      </c>
      <c r="B256" s="93">
        <v>46251</v>
      </c>
      <c r="C256" s="92" t="s">
        <v>1486</v>
      </c>
      <c r="D256" s="92" t="s">
        <v>1487</v>
      </c>
      <c r="E256" s="92" t="s">
        <v>3678</v>
      </c>
      <c r="F256" s="88">
        <v>4200</v>
      </c>
      <c r="H256" s="88">
        <v>4200</v>
      </c>
      <c r="I256"/>
      <c r="J256" s="162">
        <v>1786597135114</v>
      </c>
      <c r="K256" s="65"/>
      <c r="L256" s="65"/>
    </row>
    <row r="257" spans="1:12" hidden="1">
      <c r="A257" s="92" t="s">
        <v>172</v>
      </c>
      <c r="B257" s="93">
        <v>46252</v>
      </c>
      <c r="C257" s="92" t="s">
        <v>3335</v>
      </c>
      <c r="D257" s="92" t="s">
        <v>3336</v>
      </c>
      <c r="E257" s="92" t="s">
        <v>3678</v>
      </c>
      <c r="F257" s="88">
        <v>2800</v>
      </c>
      <c r="H257" s="88">
        <v>2800</v>
      </c>
      <c r="I257"/>
      <c r="J257" s="162">
        <v>1786599133331</v>
      </c>
      <c r="K257" s="65"/>
      <c r="L257" s="65"/>
    </row>
    <row r="258" spans="1:12" hidden="1">
      <c r="A258" s="92" t="s">
        <v>162</v>
      </c>
      <c r="B258" s="93">
        <v>46252</v>
      </c>
      <c r="C258" s="92" t="s">
        <v>3534</v>
      </c>
      <c r="D258" s="92" t="s">
        <v>3535</v>
      </c>
      <c r="E258" s="92" t="s">
        <v>3678</v>
      </c>
      <c r="F258" s="88">
        <v>2800</v>
      </c>
      <c r="H258" s="88">
        <v>2800</v>
      </c>
      <c r="I258"/>
      <c r="J258" s="162">
        <v>1786598368243</v>
      </c>
      <c r="K258" s="65"/>
      <c r="L258" s="65"/>
    </row>
    <row r="259" spans="1:12" hidden="1">
      <c r="A259" s="92" t="s">
        <v>162</v>
      </c>
      <c r="B259" s="93">
        <v>46252</v>
      </c>
      <c r="C259" s="92" t="s">
        <v>1413</v>
      </c>
      <c r="D259" s="92" t="s">
        <v>1414</v>
      </c>
      <c r="E259" s="92" t="s">
        <v>3678</v>
      </c>
      <c r="F259" s="88">
        <v>3850</v>
      </c>
      <c r="H259" s="88">
        <v>3850</v>
      </c>
      <c r="I259"/>
      <c r="J259" s="162">
        <v>1786598336452</v>
      </c>
      <c r="K259" s="65"/>
      <c r="L259" s="65"/>
    </row>
    <row r="260" spans="1:12" hidden="1">
      <c r="A260" s="92" t="s">
        <v>162</v>
      </c>
      <c r="B260" s="93">
        <v>46252</v>
      </c>
      <c r="C260" s="92" t="s">
        <v>1496</v>
      </c>
      <c r="D260" s="92" t="s">
        <v>1497</v>
      </c>
      <c r="E260" s="92" t="s">
        <v>3678</v>
      </c>
      <c r="F260" s="88">
        <v>3850</v>
      </c>
      <c r="H260" s="88">
        <v>3850</v>
      </c>
      <c r="I260"/>
      <c r="J260" s="162">
        <v>1786597750540</v>
      </c>
      <c r="K260" s="65"/>
      <c r="L260" s="65"/>
    </row>
    <row r="261" spans="1:12" hidden="1">
      <c r="A261" s="92" t="s">
        <v>162</v>
      </c>
      <c r="B261" s="93">
        <v>46252</v>
      </c>
      <c r="C261" s="92" t="s">
        <v>1688</v>
      </c>
      <c r="D261" s="92" t="s">
        <v>1689</v>
      </c>
      <c r="E261" s="92" t="s">
        <v>3678</v>
      </c>
      <c r="F261" s="88">
        <v>2800</v>
      </c>
      <c r="H261" s="88">
        <v>2800</v>
      </c>
      <c r="I261"/>
      <c r="J261" s="162">
        <v>1786596476869</v>
      </c>
      <c r="K261" s="65"/>
      <c r="L261" s="65"/>
    </row>
    <row r="262" spans="1:12" hidden="1">
      <c r="A262" s="92" t="s">
        <v>162</v>
      </c>
      <c r="B262" s="93">
        <v>46252</v>
      </c>
      <c r="C262" s="92" t="s">
        <v>1688</v>
      </c>
      <c r="D262" s="92" t="s">
        <v>1689</v>
      </c>
      <c r="E262" s="92" t="s">
        <v>3678</v>
      </c>
      <c r="F262" s="88">
        <v>653</v>
      </c>
      <c r="H262" s="88">
        <v>653</v>
      </c>
      <c r="I262"/>
      <c r="J262" s="162">
        <v>1786596476869</v>
      </c>
      <c r="K262" s="65"/>
      <c r="L262" s="65"/>
    </row>
    <row r="263" spans="1:12" hidden="1">
      <c r="A263" s="92" t="s">
        <v>162</v>
      </c>
      <c r="B263" s="93">
        <v>46252</v>
      </c>
      <c r="C263" s="92" t="s">
        <v>1461</v>
      </c>
      <c r="D263" s="92" t="s">
        <v>1462</v>
      </c>
      <c r="E263" s="92" t="s">
        <v>3678</v>
      </c>
      <c r="F263" s="88">
        <v>4550</v>
      </c>
      <c r="H263" s="88">
        <v>4550</v>
      </c>
      <c r="I263"/>
      <c r="J263" s="162">
        <v>1787039166136</v>
      </c>
      <c r="K263" s="65"/>
      <c r="L263" s="65"/>
    </row>
    <row r="264" spans="1:12" hidden="1">
      <c r="A264" s="92" t="s">
        <v>162</v>
      </c>
      <c r="B264" s="93">
        <v>46252</v>
      </c>
      <c r="C264" s="92" t="s">
        <v>1350</v>
      </c>
      <c r="D264" s="92" t="s">
        <v>1351</v>
      </c>
      <c r="E264" s="92" t="s">
        <v>3678</v>
      </c>
      <c r="F264" s="88">
        <v>2800</v>
      </c>
      <c r="H264" s="88">
        <v>2800</v>
      </c>
      <c r="I264"/>
      <c r="J264" s="162">
        <v>1786596872715</v>
      </c>
      <c r="K264" s="65"/>
      <c r="L264" s="65"/>
    </row>
    <row r="265" spans="1:12">
      <c r="A265" s="92" t="s">
        <v>162</v>
      </c>
      <c r="B265" s="93">
        <v>46252</v>
      </c>
      <c r="C265" s="92" t="s">
        <v>1215</v>
      </c>
      <c r="D265" s="92" t="s">
        <v>1216</v>
      </c>
      <c r="E265" s="92" t="s">
        <v>3677</v>
      </c>
      <c r="F265" s="88">
        <v>2000</v>
      </c>
      <c r="H265" s="88">
        <v>2000</v>
      </c>
      <c r="I265" t="s">
        <v>4054</v>
      </c>
      <c r="J265" s="162">
        <v>1786959825658</v>
      </c>
      <c r="K265" s="65"/>
      <c r="L265" s="65"/>
    </row>
    <row r="266" spans="1:12">
      <c r="A266" s="92" t="s">
        <v>162</v>
      </c>
      <c r="B266" s="93">
        <v>46252</v>
      </c>
      <c r="C266" s="92" t="s">
        <v>2024</v>
      </c>
      <c r="D266" s="92" t="s">
        <v>2025</v>
      </c>
      <c r="E266" s="92" t="s">
        <v>3677</v>
      </c>
      <c r="F266" s="88">
        <v>2000</v>
      </c>
      <c r="H266" s="88">
        <v>2000</v>
      </c>
      <c r="I266" t="s">
        <v>2026</v>
      </c>
      <c r="J266" s="162">
        <v>1785828686997</v>
      </c>
      <c r="K266" s="65"/>
      <c r="L266" s="65"/>
    </row>
    <row r="267" spans="1:12" hidden="1">
      <c r="A267" s="92" t="s">
        <v>162</v>
      </c>
      <c r="B267" s="93">
        <v>46252</v>
      </c>
      <c r="C267" s="92" t="s">
        <v>1380</v>
      </c>
      <c r="D267" s="92" t="s">
        <v>1381</v>
      </c>
      <c r="E267" s="92" t="s">
        <v>3678</v>
      </c>
      <c r="F267" s="88">
        <v>3850</v>
      </c>
      <c r="H267" s="88">
        <v>3850</v>
      </c>
      <c r="I267"/>
      <c r="J267" s="162">
        <v>1787021508155</v>
      </c>
      <c r="K267" s="65"/>
      <c r="L267" s="65"/>
    </row>
    <row r="268" spans="1:12" hidden="1">
      <c r="A268" s="92" t="s">
        <v>162</v>
      </c>
      <c r="B268" s="93">
        <v>46252</v>
      </c>
      <c r="C268" s="92" t="s">
        <v>1322</v>
      </c>
      <c r="D268" s="92" t="s">
        <v>1323</v>
      </c>
      <c r="E268" s="92" t="s">
        <v>3678</v>
      </c>
      <c r="F268" s="88">
        <v>3850</v>
      </c>
      <c r="H268" s="88">
        <v>3850</v>
      </c>
      <c r="I268"/>
      <c r="J268" s="162">
        <v>1786597659591</v>
      </c>
      <c r="K268" s="65"/>
      <c r="L268" s="65"/>
    </row>
    <row r="269" spans="1:12" hidden="1">
      <c r="A269" s="92" t="s">
        <v>162</v>
      </c>
      <c r="B269" s="93">
        <v>46252</v>
      </c>
      <c r="C269" s="92" t="s">
        <v>1508</v>
      </c>
      <c r="D269" s="92" t="s">
        <v>1509</v>
      </c>
      <c r="E269" s="92" t="s">
        <v>3678</v>
      </c>
      <c r="F269" s="88">
        <v>2800</v>
      </c>
      <c r="H269" s="88">
        <v>2800</v>
      </c>
      <c r="I269"/>
      <c r="J269" s="162">
        <v>1786598430804</v>
      </c>
      <c r="K269" s="65"/>
      <c r="L269" s="65"/>
    </row>
    <row r="270" spans="1:12">
      <c r="A270" s="92" t="s">
        <v>180</v>
      </c>
      <c r="B270" s="93">
        <v>46252</v>
      </c>
      <c r="C270" s="92" t="s">
        <v>3172</v>
      </c>
      <c r="D270" s="92" t="s">
        <v>3173</v>
      </c>
      <c r="E270" s="92" t="s">
        <v>3677</v>
      </c>
      <c r="F270" s="88">
        <v>500</v>
      </c>
      <c r="G270" s="88">
        <v>500</v>
      </c>
      <c r="I270" t="s">
        <v>1075</v>
      </c>
      <c r="J270" s="162">
        <v>1787040944938</v>
      </c>
      <c r="K270" s="65"/>
      <c r="L270" s="65"/>
    </row>
    <row r="271" spans="1:12" hidden="1">
      <c r="A271" s="92" t="s">
        <v>162</v>
      </c>
      <c r="B271" s="93">
        <v>46252</v>
      </c>
      <c r="C271" s="92" t="s">
        <v>1524</v>
      </c>
      <c r="D271" s="92" t="s">
        <v>1525</v>
      </c>
      <c r="E271" s="92" t="s">
        <v>3678</v>
      </c>
      <c r="F271" s="88">
        <v>3850</v>
      </c>
      <c r="H271" s="88">
        <v>3850</v>
      </c>
      <c r="I271"/>
      <c r="J271" s="162">
        <v>1786597877810</v>
      </c>
      <c r="K271" s="65"/>
      <c r="L271" s="65"/>
    </row>
    <row r="272" spans="1:12" hidden="1">
      <c r="A272" s="92" t="s">
        <v>162</v>
      </c>
      <c r="B272" s="93">
        <v>46252</v>
      </c>
      <c r="C272" s="92" t="s">
        <v>1592</v>
      </c>
      <c r="D272" s="92" t="s">
        <v>1593</v>
      </c>
      <c r="E272" s="92" t="s">
        <v>3678</v>
      </c>
      <c r="F272" s="88">
        <v>4000</v>
      </c>
      <c r="G272" s="88">
        <v>4000</v>
      </c>
      <c r="I272"/>
      <c r="J272" s="162">
        <v>1787016214408</v>
      </c>
      <c r="K272" s="65"/>
      <c r="L272" s="65"/>
    </row>
    <row r="273" spans="1:12" hidden="1">
      <c r="A273" s="92" t="s">
        <v>162</v>
      </c>
      <c r="B273" s="93">
        <v>46252</v>
      </c>
      <c r="C273" s="92" t="s">
        <v>1437</v>
      </c>
      <c r="D273" s="92" t="s">
        <v>1438</v>
      </c>
      <c r="E273" s="92" t="s">
        <v>3678</v>
      </c>
      <c r="F273" s="88">
        <v>3850</v>
      </c>
      <c r="H273" s="88">
        <v>3850</v>
      </c>
      <c r="I273"/>
      <c r="J273" s="162">
        <v>1786598139858</v>
      </c>
      <c r="K273" s="65"/>
      <c r="L273" s="65"/>
    </row>
    <row r="274" spans="1:12" hidden="1">
      <c r="A274" s="92" t="s">
        <v>162</v>
      </c>
      <c r="B274" s="93">
        <v>46252</v>
      </c>
      <c r="C274" s="92" t="s">
        <v>1727</v>
      </c>
      <c r="D274" s="92" t="s">
        <v>1728</v>
      </c>
      <c r="E274" s="92" t="s">
        <v>3678</v>
      </c>
      <c r="F274" s="88">
        <v>2800</v>
      </c>
      <c r="H274" s="88">
        <v>2800</v>
      </c>
      <c r="I274"/>
      <c r="J274" s="162">
        <v>1786598179366</v>
      </c>
      <c r="K274" s="65"/>
      <c r="L274" s="65"/>
    </row>
    <row r="275" spans="1:12" hidden="1">
      <c r="A275" s="92" t="s">
        <v>180</v>
      </c>
      <c r="B275" s="93">
        <v>46252</v>
      </c>
      <c r="C275" s="92" t="s">
        <v>3536</v>
      </c>
      <c r="D275" s="92" t="s">
        <v>3537</v>
      </c>
      <c r="E275" s="92" t="s">
        <v>3678</v>
      </c>
      <c r="F275" s="88">
        <v>3850</v>
      </c>
      <c r="H275" s="88">
        <v>3850</v>
      </c>
      <c r="I275"/>
      <c r="J275" s="162">
        <v>1786598200260</v>
      </c>
      <c r="K275" s="65"/>
      <c r="L275" s="65"/>
    </row>
    <row r="276" spans="1:12" hidden="1">
      <c r="A276" s="92" t="s">
        <v>162</v>
      </c>
      <c r="B276" s="93">
        <v>46252</v>
      </c>
      <c r="C276" s="92" t="s">
        <v>1339</v>
      </c>
      <c r="D276" s="92" t="s">
        <v>1340</v>
      </c>
      <c r="E276" s="92" t="s">
        <v>3678</v>
      </c>
      <c r="F276" s="88">
        <v>3850</v>
      </c>
      <c r="H276" s="88">
        <v>3850</v>
      </c>
      <c r="I276"/>
      <c r="J276" s="162">
        <v>1786597382411</v>
      </c>
      <c r="K276" s="65"/>
      <c r="L276" s="65"/>
    </row>
    <row r="277" spans="1:12" hidden="1">
      <c r="A277" s="92" t="s">
        <v>162</v>
      </c>
      <c r="B277" s="93">
        <v>46252</v>
      </c>
      <c r="C277" s="92" t="s">
        <v>1354</v>
      </c>
      <c r="D277" s="92" t="s">
        <v>1355</v>
      </c>
      <c r="E277" s="92" t="s">
        <v>3678</v>
      </c>
      <c r="F277" s="88">
        <v>2800</v>
      </c>
      <c r="H277" s="88">
        <v>2800</v>
      </c>
      <c r="I277"/>
      <c r="J277" s="162">
        <v>1786597698497</v>
      </c>
      <c r="K277" s="65"/>
      <c r="L277" s="65"/>
    </row>
    <row r="278" spans="1:12">
      <c r="A278" s="92" t="s">
        <v>172</v>
      </c>
      <c r="B278" s="93">
        <v>46252</v>
      </c>
      <c r="C278" s="92" t="s">
        <v>3135</v>
      </c>
      <c r="D278" s="92" t="s">
        <v>3136</v>
      </c>
      <c r="E278" s="92" t="s">
        <v>3677</v>
      </c>
      <c r="F278" s="88">
        <v>493</v>
      </c>
      <c r="G278" s="88">
        <v>493</v>
      </c>
      <c r="I278" t="s">
        <v>4238</v>
      </c>
      <c r="J278" s="162">
        <v>1786937643959</v>
      </c>
      <c r="K278" s="65"/>
      <c r="L278" s="65"/>
    </row>
    <row r="279" spans="1:12" hidden="1">
      <c r="A279" s="92" t="s">
        <v>162</v>
      </c>
      <c r="B279" s="93">
        <v>46252</v>
      </c>
      <c r="C279" s="92" t="s">
        <v>1425</v>
      </c>
      <c r="D279" s="92" t="s">
        <v>1426</v>
      </c>
      <c r="E279" s="92" t="s">
        <v>3678</v>
      </c>
      <c r="F279" s="88">
        <v>3850</v>
      </c>
      <c r="H279" s="88">
        <v>3850</v>
      </c>
      <c r="I279"/>
      <c r="J279" s="162">
        <v>1786597623701</v>
      </c>
      <c r="K279" s="65"/>
      <c r="L279" s="65"/>
    </row>
    <row r="280" spans="1:12" hidden="1">
      <c r="A280" s="92" t="s">
        <v>162</v>
      </c>
      <c r="B280" s="93">
        <v>46252</v>
      </c>
      <c r="C280" s="92" t="s">
        <v>1360</v>
      </c>
      <c r="D280" s="92" t="s">
        <v>1361</v>
      </c>
      <c r="E280" s="92" t="s">
        <v>3678</v>
      </c>
      <c r="F280" s="88">
        <v>2800</v>
      </c>
      <c r="H280" s="88">
        <v>2800</v>
      </c>
      <c r="I280"/>
      <c r="J280" s="162">
        <v>1786597553204</v>
      </c>
      <c r="K280" s="65"/>
      <c r="L280" s="65"/>
    </row>
    <row r="281" spans="1:12">
      <c r="A281" s="92" t="s">
        <v>162</v>
      </c>
      <c r="B281" s="93">
        <v>46252</v>
      </c>
      <c r="C281" s="92" t="s">
        <v>1226</v>
      </c>
      <c r="D281" s="92" t="s">
        <v>1227</v>
      </c>
      <c r="E281" s="92" t="s">
        <v>3677</v>
      </c>
      <c r="F281" s="88">
        <v>2000</v>
      </c>
      <c r="H281" s="88">
        <v>2000</v>
      </c>
      <c r="I281" t="s">
        <v>94</v>
      </c>
      <c r="J281" s="162">
        <v>1786950497660</v>
      </c>
      <c r="K281" s="65"/>
      <c r="L281" s="65"/>
    </row>
    <row r="282" spans="1:12">
      <c r="A282" s="92" t="s">
        <v>162</v>
      </c>
      <c r="B282" s="93">
        <v>46252</v>
      </c>
      <c r="C282" s="92" t="s">
        <v>1226</v>
      </c>
      <c r="D282" s="92" t="s">
        <v>1227</v>
      </c>
      <c r="E282" s="92" t="s">
        <v>3677</v>
      </c>
      <c r="F282" s="88">
        <v>2000</v>
      </c>
      <c r="H282" s="88">
        <v>2000</v>
      </c>
      <c r="I282" t="s">
        <v>94</v>
      </c>
      <c r="J282" s="162">
        <v>1786940605108</v>
      </c>
      <c r="K282" s="65"/>
      <c r="L282" s="65"/>
    </row>
    <row r="283" spans="1:12" hidden="1">
      <c r="A283" s="92" t="s">
        <v>162</v>
      </c>
      <c r="B283" s="93">
        <v>46252</v>
      </c>
      <c r="C283" s="92" t="s">
        <v>1453</v>
      </c>
      <c r="D283" s="92" t="s">
        <v>1454</v>
      </c>
      <c r="E283" s="92" t="s">
        <v>3678</v>
      </c>
      <c r="F283" s="88">
        <v>3850</v>
      </c>
      <c r="H283" s="88">
        <v>3850</v>
      </c>
      <c r="I283"/>
      <c r="J283" s="162">
        <v>1786597294550</v>
      </c>
      <c r="K283" s="65"/>
      <c r="L283" s="65"/>
    </row>
    <row r="284" spans="1:12" hidden="1">
      <c r="A284" s="92" t="s">
        <v>162</v>
      </c>
      <c r="B284" s="93">
        <v>46253</v>
      </c>
      <c r="C284" s="92" t="s">
        <v>1625</v>
      </c>
      <c r="D284" s="92" t="s">
        <v>1626</v>
      </c>
      <c r="E284" s="92" t="s">
        <v>3678</v>
      </c>
      <c r="F284" s="88">
        <v>2800</v>
      </c>
      <c r="H284" s="88">
        <v>2800</v>
      </c>
      <c r="I284"/>
      <c r="J284" s="162">
        <v>1786598161718</v>
      </c>
      <c r="K284" s="65"/>
      <c r="L284" s="65"/>
    </row>
    <row r="285" spans="1:12">
      <c r="A285" s="92" t="s">
        <v>172</v>
      </c>
      <c r="B285" s="93">
        <v>46253</v>
      </c>
      <c r="C285" s="92" t="s">
        <v>3538</v>
      </c>
      <c r="D285" s="92" t="s">
        <v>3539</v>
      </c>
      <c r="E285" s="92" t="s">
        <v>3677</v>
      </c>
      <c r="F285" s="88">
        <v>4000</v>
      </c>
      <c r="H285" s="88">
        <v>4000</v>
      </c>
      <c r="I285" s="65" t="s">
        <v>4010</v>
      </c>
      <c r="J285" s="162">
        <v>1786596654721</v>
      </c>
      <c r="K285" s="65"/>
      <c r="L285" s="65"/>
    </row>
    <row r="286" spans="1:12">
      <c r="A286" s="92" t="s">
        <v>180</v>
      </c>
      <c r="B286" s="93">
        <v>46253</v>
      </c>
      <c r="C286" s="92" t="s">
        <v>3166</v>
      </c>
      <c r="D286" s="92" t="s">
        <v>3167</v>
      </c>
      <c r="E286" s="92" t="s">
        <v>3677</v>
      </c>
      <c r="F286" s="88">
        <v>500</v>
      </c>
      <c r="G286" s="88">
        <v>500</v>
      </c>
      <c r="I286" t="s">
        <v>4116</v>
      </c>
      <c r="J286" s="162">
        <v>1787043377935</v>
      </c>
      <c r="K286" s="65"/>
      <c r="L286" s="65"/>
    </row>
    <row r="287" spans="1:12" hidden="1">
      <c r="A287" s="92" t="s">
        <v>162</v>
      </c>
      <c r="B287" s="93">
        <v>46253</v>
      </c>
      <c r="C287" s="92" t="s">
        <v>1368</v>
      </c>
      <c r="D287" s="92" t="s">
        <v>1369</v>
      </c>
      <c r="E287" s="92" t="s">
        <v>3678</v>
      </c>
      <c r="F287" s="88">
        <v>3850</v>
      </c>
      <c r="H287" s="88">
        <v>3850</v>
      </c>
      <c r="I287"/>
      <c r="J287" s="162">
        <v>1786598264895</v>
      </c>
      <c r="K287" s="65"/>
      <c r="L287" s="65"/>
    </row>
    <row r="288" spans="1:12" hidden="1">
      <c r="A288" s="92" t="s">
        <v>162</v>
      </c>
      <c r="B288" s="93">
        <v>46253</v>
      </c>
      <c r="C288" s="92" t="s">
        <v>1195</v>
      </c>
      <c r="D288" s="92" t="s">
        <v>1196</v>
      </c>
      <c r="E288" s="92" t="s">
        <v>3678</v>
      </c>
      <c r="F288" s="88">
        <v>3850</v>
      </c>
      <c r="H288" s="88">
        <v>3850</v>
      </c>
      <c r="I288"/>
      <c r="J288" s="162">
        <v>1786597730707</v>
      </c>
      <c r="K288" s="65"/>
      <c r="L288" s="65"/>
    </row>
    <row r="289" spans="1:12" hidden="1">
      <c r="A289" s="92" t="s">
        <v>162</v>
      </c>
      <c r="B289" s="93">
        <v>46253</v>
      </c>
      <c r="C289" s="92" t="s">
        <v>1536</v>
      </c>
      <c r="D289" s="92" t="s">
        <v>1537</v>
      </c>
      <c r="E289" s="92" t="s">
        <v>3678</v>
      </c>
      <c r="F289" s="88">
        <v>2800</v>
      </c>
      <c r="H289" s="88">
        <v>2800</v>
      </c>
      <c r="I289"/>
      <c r="J289" s="162">
        <v>1786599089078</v>
      </c>
      <c r="K289" s="65"/>
      <c r="L289" s="65"/>
    </row>
    <row r="290" spans="1:12" hidden="1">
      <c r="A290" s="92" t="s">
        <v>162</v>
      </c>
      <c r="B290" s="93">
        <v>46253</v>
      </c>
      <c r="C290" s="92" t="s">
        <v>1457</v>
      </c>
      <c r="D290" s="92" t="s">
        <v>1458</v>
      </c>
      <c r="E290" s="92" t="s">
        <v>3678</v>
      </c>
      <c r="F290" s="88">
        <v>5600</v>
      </c>
      <c r="H290" s="88">
        <v>5600</v>
      </c>
      <c r="I290"/>
      <c r="J290" s="162">
        <v>1786596361227</v>
      </c>
      <c r="K290" s="65"/>
      <c r="L290" s="65"/>
    </row>
    <row r="291" spans="1:12" hidden="1">
      <c r="A291" s="92" t="s">
        <v>162</v>
      </c>
      <c r="B291" s="93">
        <v>46253</v>
      </c>
      <c r="C291" s="92" t="s">
        <v>1474</v>
      </c>
      <c r="D291" s="92" t="s">
        <v>1475</v>
      </c>
      <c r="E291" s="92" t="s">
        <v>3678</v>
      </c>
      <c r="F291" s="88">
        <v>3850</v>
      </c>
      <c r="H291" s="88">
        <v>3850</v>
      </c>
      <c r="I291"/>
      <c r="J291" s="162">
        <v>1786598254386</v>
      </c>
      <c r="K291" s="65"/>
      <c r="L291" s="65"/>
    </row>
    <row r="292" spans="1:12" hidden="1">
      <c r="A292" s="92" t="s">
        <v>162</v>
      </c>
      <c r="B292" s="93">
        <v>46253</v>
      </c>
      <c r="C292" s="92" t="s">
        <v>1362</v>
      </c>
      <c r="D292" s="92" t="s">
        <v>1363</v>
      </c>
      <c r="E292" s="92" t="s">
        <v>3678</v>
      </c>
      <c r="F292" s="88">
        <v>3850</v>
      </c>
      <c r="H292" s="88">
        <v>3850</v>
      </c>
      <c r="I292"/>
      <c r="J292" s="162">
        <v>1786840307294</v>
      </c>
      <c r="K292" s="65"/>
      <c r="L292" s="65"/>
    </row>
    <row r="293" spans="1:12" hidden="1">
      <c r="A293" s="92" t="s">
        <v>162</v>
      </c>
      <c r="B293" s="93">
        <v>46253</v>
      </c>
      <c r="C293" s="92" t="s">
        <v>1362</v>
      </c>
      <c r="D293" s="92" t="s">
        <v>1363</v>
      </c>
      <c r="E293" s="92" t="s">
        <v>3678</v>
      </c>
      <c r="F293" s="88">
        <v>3850</v>
      </c>
      <c r="H293" s="88">
        <v>3850</v>
      </c>
      <c r="I293"/>
      <c r="J293" s="162">
        <v>1786690517189</v>
      </c>
      <c r="K293" s="65"/>
      <c r="L293" s="65"/>
    </row>
    <row r="294" spans="1:12">
      <c r="A294" s="92" t="s">
        <v>180</v>
      </c>
      <c r="B294" s="93">
        <v>46253</v>
      </c>
      <c r="C294" s="92" t="s">
        <v>3178</v>
      </c>
      <c r="D294" s="92" t="s">
        <v>3179</v>
      </c>
      <c r="E294" s="92" t="s">
        <v>3677</v>
      </c>
      <c r="F294" s="88">
        <v>500</v>
      </c>
      <c r="G294" s="88">
        <v>500</v>
      </c>
      <c r="I294" t="s">
        <v>4118</v>
      </c>
      <c r="J294" s="162">
        <v>1787121688667</v>
      </c>
      <c r="K294" s="65"/>
      <c r="L294" s="65"/>
    </row>
    <row r="295" spans="1:12" hidden="1">
      <c r="A295" s="92" t="s">
        <v>162</v>
      </c>
      <c r="B295" s="93">
        <v>46253</v>
      </c>
      <c r="C295" s="92" t="s">
        <v>1219</v>
      </c>
      <c r="D295" s="92" t="s">
        <v>1220</v>
      </c>
      <c r="E295" s="92" t="s">
        <v>3678</v>
      </c>
      <c r="F295" s="88">
        <v>3850</v>
      </c>
      <c r="H295" s="88">
        <v>3850</v>
      </c>
      <c r="I295"/>
      <c r="J295" s="162">
        <v>1786795517952</v>
      </c>
      <c r="K295" s="65"/>
      <c r="L295" s="65"/>
    </row>
    <row r="296" spans="1:12" hidden="1">
      <c r="A296" s="92" t="s">
        <v>162</v>
      </c>
      <c r="B296" s="93">
        <v>46253</v>
      </c>
      <c r="C296" s="92" t="s">
        <v>3502</v>
      </c>
      <c r="D296" s="92" t="s">
        <v>3503</v>
      </c>
      <c r="E296" s="92" t="s">
        <v>3678</v>
      </c>
      <c r="F296" s="88">
        <v>3850</v>
      </c>
      <c r="H296" s="88">
        <v>3850</v>
      </c>
      <c r="I296"/>
      <c r="J296" s="162">
        <v>1786596862707</v>
      </c>
      <c r="K296" s="65"/>
      <c r="L296" s="65"/>
    </row>
    <row r="297" spans="1:12" hidden="1">
      <c r="A297" s="92" t="s">
        <v>162</v>
      </c>
      <c r="B297" s="93">
        <v>46253</v>
      </c>
      <c r="C297" s="92" t="s">
        <v>1621</v>
      </c>
      <c r="D297" s="92" t="s">
        <v>1622</v>
      </c>
      <c r="E297" s="92" t="s">
        <v>3678</v>
      </c>
      <c r="F297" s="88">
        <v>3850</v>
      </c>
      <c r="H297" s="88">
        <v>3850</v>
      </c>
      <c r="I297"/>
      <c r="J297" s="162">
        <v>1787025763326</v>
      </c>
      <c r="K297" s="65"/>
      <c r="L297" s="65"/>
    </row>
    <row r="298" spans="1:12" hidden="1">
      <c r="A298" s="92" t="s">
        <v>162</v>
      </c>
      <c r="B298" s="93">
        <v>46253</v>
      </c>
      <c r="C298" s="92" t="s">
        <v>1744</v>
      </c>
      <c r="D298" s="92" t="s">
        <v>1745</v>
      </c>
      <c r="E298" s="92" t="s">
        <v>3678</v>
      </c>
      <c r="F298" s="88">
        <v>3850</v>
      </c>
      <c r="H298" s="88">
        <v>3850</v>
      </c>
      <c r="I298"/>
      <c r="J298" s="162">
        <v>1787025809793</v>
      </c>
      <c r="K298" s="65"/>
      <c r="L298" s="65"/>
    </row>
    <row r="299" spans="1:12" hidden="1">
      <c r="A299" s="92" t="s">
        <v>172</v>
      </c>
      <c r="B299" s="93">
        <v>46253</v>
      </c>
      <c r="C299" s="92" t="s">
        <v>3540</v>
      </c>
      <c r="D299" s="92" t="s">
        <v>3541</v>
      </c>
      <c r="E299" s="92" t="s">
        <v>3678</v>
      </c>
      <c r="F299" s="88">
        <v>3850</v>
      </c>
      <c r="H299" s="88">
        <v>3850</v>
      </c>
      <c r="I299"/>
      <c r="J299" s="162">
        <v>1786597840307</v>
      </c>
      <c r="K299" s="65"/>
      <c r="L299" s="65"/>
    </row>
    <row r="300" spans="1:12" hidden="1">
      <c r="A300" s="92" t="s">
        <v>162</v>
      </c>
      <c r="B300" s="93">
        <v>46253</v>
      </c>
      <c r="C300" s="92" t="s">
        <v>1343</v>
      </c>
      <c r="D300" s="92" t="s">
        <v>1344</v>
      </c>
      <c r="E300" s="92" t="s">
        <v>3678</v>
      </c>
      <c r="F300" s="88">
        <v>3850</v>
      </c>
      <c r="H300" s="88">
        <v>3850</v>
      </c>
      <c r="I300"/>
      <c r="J300" s="162">
        <v>1786598623219</v>
      </c>
      <c r="K300" s="65"/>
      <c r="L300" s="65"/>
    </row>
    <row r="301" spans="1:12" hidden="1">
      <c r="A301" s="92" t="s">
        <v>172</v>
      </c>
      <c r="B301" s="93">
        <v>46253</v>
      </c>
      <c r="C301" s="92" t="s">
        <v>1286</v>
      </c>
      <c r="D301" s="92" t="s">
        <v>1287</v>
      </c>
      <c r="E301" s="92" t="s">
        <v>3678</v>
      </c>
      <c r="F301" s="88">
        <v>2800</v>
      </c>
      <c r="H301" s="88">
        <v>2800</v>
      </c>
      <c r="I301"/>
      <c r="J301" s="162">
        <v>1786597054853</v>
      </c>
      <c r="K301" s="65"/>
      <c r="L301" s="65"/>
    </row>
    <row r="302" spans="1:12" hidden="1">
      <c r="A302" s="92" t="s">
        <v>162</v>
      </c>
      <c r="B302" s="93">
        <v>46253</v>
      </c>
      <c r="C302" s="92" t="s">
        <v>1550</v>
      </c>
      <c r="D302" s="92" t="s">
        <v>1551</v>
      </c>
      <c r="E302" s="92" t="s">
        <v>3678</v>
      </c>
      <c r="F302" s="88">
        <v>3850</v>
      </c>
      <c r="H302" s="88">
        <v>3850</v>
      </c>
      <c r="I302"/>
      <c r="J302" s="162">
        <v>1786598099450</v>
      </c>
      <c r="K302" s="65"/>
      <c r="L302" s="65"/>
    </row>
    <row r="303" spans="1:12" hidden="1">
      <c r="A303" s="92" t="s">
        <v>172</v>
      </c>
      <c r="B303" s="93">
        <v>46253</v>
      </c>
      <c r="C303" s="92" t="s">
        <v>1329</v>
      </c>
      <c r="D303" s="92" t="s">
        <v>1330</v>
      </c>
      <c r="E303" s="92" t="s">
        <v>3678</v>
      </c>
      <c r="F303" s="88">
        <v>3850</v>
      </c>
      <c r="H303" s="88">
        <v>3850</v>
      </c>
      <c r="I303"/>
      <c r="J303" s="162">
        <v>1787046679676</v>
      </c>
      <c r="K303" s="65"/>
      <c r="L303" s="65"/>
    </row>
    <row r="304" spans="1:12" hidden="1">
      <c r="A304" s="92" t="s">
        <v>162</v>
      </c>
      <c r="B304" s="93">
        <v>46253</v>
      </c>
      <c r="C304" s="92" t="s">
        <v>3462</v>
      </c>
      <c r="D304" s="92" t="s">
        <v>3463</v>
      </c>
      <c r="E304" s="92" t="s">
        <v>3678</v>
      </c>
      <c r="F304" s="88">
        <v>3850</v>
      </c>
      <c r="H304" s="88">
        <v>3850</v>
      </c>
      <c r="I304"/>
      <c r="J304" s="162">
        <v>1786596589037</v>
      </c>
      <c r="K304" s="65"/>
      <c r="L304" s="65"/>
    </row>
    <row r="305" spans="1:12">
      <c r="A305" s="92" t="s">
        <v>180</v>
      </c>
      <c r="B305" s="93">
        <v>46253</v>
      </c>
      <c r="C305" s="92" t="s">
        <v>3353</v>
      </c>
      <c r="D305" s="92" t="s">
        <v>3354</v>
      </c>
      <c r="E305" s="92" t="s">
        <v>3677</v>
      </c>
      <c r="F305" s="88">
        <v>2000</v>
      </c>
      <c r="H305" s="88">
        <v>2000</v>
      </c>
      <c r="I305" s="65" t="s">
        <v>33</v>
      </c>
      <c r="J305" s="162">
        <v>1787125437784</v>
      </c>
      <c r="K305" s="65"/>
      <c r="L305" s="65"/>
    </row>
    <row r="306" spans="1:12" hidden="1">
      <c r="A306" s="92" t="s">
        <v>172</v>
      </c>
      <c r="B306" s="93">
        <v>46253</v>
      </c>
      <c r="C306" s="92" t="s">
        <v>1765</v>
      </c>
      <c r="D306" s="92" t="s">
        <v>1766</v>
      </c>
      <c r="E306" s="92" t="s">
        <v>3678</v>
      </c>
      <c r="F306" s="88">
        <v>2800</v>
      </c>
      <c r="H306" s="88">
        <v>2800</v>
      </c>
      <c r="I306"/>
      <c r="J306" s="162">
        <v>1786596934971</v>
      </c>
      <c r="K306" s="65"/>
      <c r="L306" s="65"/>
    </row>
    <row r="307" spans="1:12" hidden="1">
      <c r="A307" s="92" t="s">
        <v>172</v>
      </c>
      <c r="B307" s="93">
        <v>46253</v>
      </c>
      <c r="C307" s="92" t="s">
        <v>2831</v>
      </c>
      <c r="D307" s="92" t="s">
        <v>2832</v>
      </c>
      <c r="E307" s="92" t="s">
        <v>3678</v>
      </c>
      <c r="F307" s="88">
        <v>3850</v>
      </c>
      <c r="H307" s="88">
        <v>3850</v>
      </c>
      <c r="I307"/>
      <c r="J307" s="162">
        <v>1786765360743</v>
      </c>
      <c r="K307" s="65"/>
      <c r="L307" s="65"/>
    </row>
    <row r="308" spans="1:12">
      <c r="A308" s="92" t="s">
        <v>180</v>
      </c>
      <c r="B308" s="93">
        <v>46253</v>
      </c>
      <c r="C308" s="92" t="s">
        <v>3542</v>
      </c>
      <c r="D308" s="92" t="s">
        <v>3543</v>
      </c>
      <c r="E308" s="92" t="s">
        <v>3677</v>
      </c>
      <c r="F308" s="88">
        <v>500</v>
      </c>
      <c r="G308" s="88">
        <v>500</v>
      </c>
      <c r="I308" t="s">
        <v>4119</v>
      </c>
      <c r="J308" s="162">
        <v>1787109174373</v>
      </c>
      <c r="K308" s="65"/>
      <c r="L308" s="65"/>
    </row>
    <row r="309" spans="1:12">
      <c r="A309" s="92" t="s">
        <v>172</v>
      </c>
      <c r="B309" s="93">
        <v>46253</v>
      </c>
      <c r="C309" s="92" t="s">
        <v>3170</v>
      </c>
      <c r="D309" s="92" t="s">
        <v>3171</v>
      </c>
      <c r="E309" s="92" t="s">
        <v>3677</v>
      </c>
      <c r="F309" s="88">
        <v>500</v>
      </c>
      <c r="G309" s="88">
        <v>500</v>
      </c>
      <c r="I309" t="s">
        <v>4123</v>
      </c>
      <c r="J309" s="162">
        <v>1786952590925</v>
      </c>
      <c r="K309" s="65"/>
      <c r="L309" s="65"/>
    </row>
    <row r="310" spans="1:12">
      <c r="A310" s="92" t="s">
        <v>162</v>
      </c>
      <c r="B310" s="93">
        <v>46253</v>
      </c>
      <c r="C310" s="92" t="s">
        <v>1313</v>
      </c>
      <c r="D310" s="92" t="s">
        <v>1314</v>
      </c>
      <c r="E310" s="92" t="s">
        <v>3677</v>
      </c>
      <c r="F310" s="88">
        <v>2000</v>
      </c>
      <c r="H310" s="88">
        <v>2000</v>
      </c>
      <c r="I310" s="65" t="s">
        <v>1315</v>
      </c>
      <c r="J310" s="162">
        <v>1786940924087</v>
      </c>
      <c r="K310" s="65"/>
      <c r="L310" s="65"/>
    </row>
    <row r="311" spans="1:12" hidden="1">
      <c r="A311" s="92" t="s">
        <v>162</v>
      </c>
      <c r="B311" s="93">
        <v>46253</v>
      </c>
      <c r="C311" s="92" t="s">
        <v>1356</v>
      </c>
      <c r="D311" s="92" t="s">
        <v>1357</v>
      </c>
      <c r="E311" s="92" t="s">
        <v>3678</v>
      </c>
      <c r="F311" s="88">
        <v>3850</v>
      </c>
      <c r="H311" s="88">
        <v>3850</v>
      </c>
      <c r="I311"/>
      <c r="J311" s="162">
        <v>1786597036696</v>
      </c>
      <c r="K311" s="65"/>
      <c r="L311" s="65"/>
    </row>
    <row r="312" spans="1:12" hidden="1">
      <c r="A312" s="92" t="s">
        <v>162</v>
      </c>
      <c r="B312" s="93">
        <v>46253</v>
      </c>
      <c r="C312" s="92" t="s">
        <v>1356</v>
      </c>
      <c r="D312" s="92" t="s">
        <v>1357</v>
      </c>
      <c r="E312" s="92" t="s">
        <v>3678</v>
      </c>
      <c r="F312" s="88">
        <v>3850</v>
      </c>
      <c r="H312" s="88">
        <v>3850</v>
      </c>
      <c r="I312"/>
      <c r="J312" s="162">
        <v>1786765181312</v>
      </c>
      <c r="K312" s="65"/>
      <c r="L312" s="65"/>
    </row>
    <row r="313" spans="1:12" hidden="1">
      <c r="A313" s="92" t="s">
        <v>162</v>
      </c>
      <c r="B313" s="93">
        <v>46253</v>
      </c>
      <c r="C313" s="92" t="s">
        <v>1476</v>
      </c>
      <c r="D313" s="92" t="s">
        <v>1477</v>
      </c>
      <c r="E313" s="92" t="s">
        <v>3678</v>
      </c>
      <c r="F313" s="88">
        <v>3850</v>
      </c>
      <c r="H313" s="88">
        <v>3850</v>
      </c>
      <c r="I313"/>
      <c r="J313" s="162">
        <v>1786597366188</v>
      </c>
      <c r="K313" s="65"/>
      <c r="L313" s="65"/>
    </row>
    <row r="314" spans="1:12" hidden="1">
      <c r="A314" s="92" t="s">
        <v>162</v>
      </c>
      <c r="B314" s="93">
        <v>46254</v>
      </c>
      <c r="C314" s="92" t="s">
        <v>1337</v>
      </c>
      <c r="D314" s="92" t="s">
        <v>1338</v>
      </c>
      <c r="E314" s="92" t="s">
        <v>3678</v>
      </c>
      <c r="F314" s="88">
        <v>2800</v>
      </c>
      <c r="H314" s="88">
        <v>2800</v>
      </c>
      <c r="I314"/>
      <c r="J314" s="162">
        <v>1786597768746</v>
      </c>
      <c r="K314" s="65"/>
      <c r="L314" s="65"/>
    </row>
    <row r="315" spans="1:12">
      <c r="A315" s="92" t="s">
        <v>172</v>
      </c>
      <c r="B315" s="93">
        <v>46254</v>
      </c>
      <c r="C315" s="92" t="s">
        <v>649</v>
      </c>
      <c r="D315" s="92" t="s">
        <v>650</v>
      </c>
      <c r="E315" s="92" t="s">
        <v>3677</v>
      </c>
      <c r="F315" s="88">
        <v>4000</v>
      </c>
      <c r="H315" s="88">
        <v>4000</v>
      </c>
      <c r="I315" t="s">
        <v>98</v>
      </c>
      <c r="J315" s="162">
        <v>1786842085599</v>
      </c>
      <c r="K315" s="65"/>
      <c r="L315" s="65"/>
    </row>
    <row r="316" spans="1:12">
      <c r="A316" s="92" t="s">
        <v>180</v>
      </c>
      <c r="B316" s="93">
        <v>46254</v>
      </c>
      <c r="C316" s="92" t="s">
        <v>3470</v>
      </c>
      <c r="D316" s="92" t="s">
        <v>3471</v>
      </c>
      <c r="E316" s="92" t="s">
        <v>3677</v>
      </c>
      <c r="F316" s="88">
        <v>2000</v>
      </c>
      <c r="H316" s="88">
        <v>2000</v>
      </c>
      <c r="I316" s="65" t="s">
        <v>4075</v>
      </c>
      <c r="J316" s="162">
        <v>1786765172698</v>
      </c>
      <c r="K316" s="65"/>
      <c r="L316" s="65"/>
    </row>
    <row r="317" spans="1:12" hidden="1">
      <c r="A317" s="92" t="s">
        <v>162</v>
      </c>
      <c r="B317" s="93">
        <v>46254</v>
      </c>
      <c r="C317" s="92" t="s">
        <v>1605</v>
      </c>
      <c r="D317" s="92" t="s">
        <v>1606</v>
      </c>
      <c r="E317" s="92" t="s">
        <v>3678</v>
      </c>
      <c r="F317" s="88">
        <v>3850</v>
      </c>
      <c r="H317" s="88">
        <v>3850</v>
      </c>
      <c r="I317"/>
      <c r="J317" s="162">
        <v>1786598455611</v>
      </c>
      <c r="K317" s="65"/>
      <c r="L317" s="65"/>
    </row>
    <row r="318" spans="1:12" hidden="1">
      <c r="A318" s="92" t="s">
        <v>162</v>
      </c>
      <c r="B318" s="93">
        <v>46254</v>
      </c>
      <c r="C318" s="92" t="s">
        <v>1889</v>
      </c>
      <c r="D318" s="92" t="s">
        <v>1890</v>
      </c>
      <c r="E318" s="92" t="s">
        <v>3678</v>
      </c>
      <c r="F318" s="88">
        <v>2093</v>
      </c>
      <c r="H318" s="88">
        <v>2093</v>
      </c>
      <c r="I318"/>
      <c r="J318" s="162">
        <v>1786598015510</v>
      </c>
      <c r="K318" s="65"/>
      <c r="L318" s="65"/>
    </row>
    <row r="319" spans="1:12" hidden="1">
      <c r="A319" s="92" t="s">
        <v>162</v>
      </c>
      <c r="B319" s="93">
        <v>46254</v>
      </c>
      <c r="C319" s="92" t="s">
        <v>216</v>
      </c>
      <c r="D319" s="92" t="s">
        <v>217</v>
      </c>
      <c r="E319" s="92" t="s">
        <v>3678</v>
      </c>
      <c r="F319" s="88">
        <v>5600</v>
      </c>
      <c r="H319" s="88">
        <v>5600</v>
      </c>
      <c r="I319"/>
      <c r="J319" s="162">
        <v>1786598364541</v>
      </c>
      <c r="K319" s="65"/>
      <c r="L319" s="65"/>
    </row>
    <row r="320" spans="1:12" hidden="1">
      <c r="A320" s="92" t="s">
        <v>162</v>
      </c>
      <c r="B320" s="93">
        <v>46254</v>
      </c>
      <c r="C320" s="92" t="s">
        <v>1478</v>
      </c>
      <c r="D320" s="92" t="s">
        <v>1479</v>
      </c>
      <c r="E320" s="92" t="s">
        <v>3678</v>
      </c>
      <c r="F320" s="88">
        <v>3850</v>
      </c>
      <c r="H320" s="88">
        <v>3850</v>
      </c>
      <c r="I320"/>
      <c r="J320" s="162">
        <v>1786598056820</v>
      </c>
      <c r="K320" s="65"/>
      <c r="L320" s="65"/>
    </row>
    <row r="321" spans="1:12" hidden="1">
      <c r="A321" s="92" t="s">
        <v>162</v>
      </c>
      <c r="B321" s="93">
        <v>46254</v>
      </c>
      <c r="C321" s="92" t="s">
        <v>1370</v>
      </c>
      <c r="D321" s="92" t="s">
        <v>1371</v>
      </c>
      <c r="E321" s="92" t="s">
        <v>3678</v>
      </c>
      <c r="F321" s="88">
        <v>2093</v>
      </c>
      <c r="H321" s="88">
        <v>2093</v>
      </c>
      <c r="I321"/>
      <c r="J321" s="162">
        <v>1786598423451</v>
      </c>
      <c r="K321" s="65"/>
      <c r="L321" s="65"/>
    </row>
    <row r="322" spans="1:12">
      <c r="A322" s="92" t="s">
        <v>180</v>
      </c>
      <c r="B322" s="93">
        <v>46254</v>
      </c>
      <c r="C322" s="92" t="s">
        <v>3239</v>
      </c>
      <c r="D322" s="92" t="s">
        <v>3240</v>
      </c>
      <c r="E322" s="92" t="s">
        <v>3677</v>
      </c>
      <c r="F322" s="88">
        <v>500</v>
      </c>
      <c r="G322" s="88">
        <v>500</v>
      </c>
      <c r="I322" t="s">
        <v>4124</v>
      </c>
      <c r="J322" s="162">
        <v>1787194722202</v>
      </c>
      <c r="K322" s="65"/>
      <c r="L322" s="65"/>
    </row>
    <row r="323" spans="1:12" hidden="1">
      <c r="A323" s="92" t="s">
        <v>180</v>
      </c>
      <c r="B323" s="93">
        <v>46254</v>
      </c>
      <c r="C323" s="92" t="s">
        <v>375</v>
      </c>
      <c r="D323" s="92" t="s">
        <v>376</v>
      </c>
      <c r="E323" s="92" t="s">
        <v>3678</v>
      </c>
      <c r="F323" s="88">
        <v>3850</v>
      </c>
      <c r="H323" s="88">
        <v>3850</v>
      </c>
      <c r="I323"/>
      <c r="J323" s="162">
        <v>1786596511609</v>
      </c>
      <c r="K323" s="65"/>
      <c r="L323" s="65"/>
    </row>
    <row r="324" spans="1:12" hidden="1">
      <c r="A324" s="92" t="s">
        <v>162</v>
      </c>
      <c r="B324" s="93">
        <v>46254</v>
      </c>
      <c r="C324" s="92" t="s">
        <v>1731</v>
      </c>
      <c r="D324" s="92" t="s">
        <v>1732</v>
      </c>
      <c r="E324" s="92" t="s">
        <v>3678</v>
      </c>
      <c r="F324" s="88">
        <v>3850</v>
      </c>
      <c r="H324" s="88">
        <v>3850</v>
      </c>
      <c r="I324"/>
      <c r="J324" s="162">
        <v>1786597498624</v>
      </c>
      <c r="K324" s="65"/>
      <c r="L324" s="65"/>
    </row>
    <row r="325" spans="1:12" hidden="1">
      <c r="A325" s="92" t="s">
        <v>162</v>
      </c>
      <c r="B325" s="93">
        <v>46254</v>
      </c>
      <c r="C325" s="92" t="s">
        <v>1532</v>
      </c>
      <c r="D325" s="92" t="s">
        <v>1533</v>
      </c>
      <c r="E325" s="92" t="s">
        <v>3678</v>
      </c>
      <c r="F325" s="88">
        <v>3850</v>
      </c>
      <c r="H325" s="88">
        <v>3850</v>
      </c>
      <c r="I325"/>
      <c r="J325" s="162">
        <v>1786596818871</v>
      </c>
      <c r="K325" s="65"/>
      <c r="L325" s="65"/>
    </row>
    <row r="326" spans="1:12" hidden="1">
      <c r="A326" s="92" t="s">
        <v>162</v>
      </c>
      <c r="B326" s="93">
        <v>46254</v>
      </c>
      <c r="C326" s="92" t="s">
        <v>1564</v>
      </c>
      <c r="D326" s="92" t="s">
        <v>1565</v>
      </c>
      <c r="E326" s="92" t="s">
        <v>3678</v>
      </c>
      <c r="F326" s="88">
        <v>3850</v>
      </c>
      <c r="H326" s="88">
        <v>3850</v>
      </c>
      <c r="I326"/>
      <c r="J326" s="162">
        <v>1786598391137</v>
      </c>
      <c r="K326" s="65"/>
      <c r="L326" s="65"/>
    </row>
    <row r="327" spans="1:12" hidden="1">
      <c r="A327" s="92" t="s">
        <v>162</v>
      </c>
      <c r="B327" s="93">
        <v>46254</v>
      </c>
      <c r="C327" s="92" t="s">
        <v>1441</v>
      </c>
      <c r="D327" s="92" t="s">
        <v>1442</v>
      </c>
      <c r="E327" s="92" t="s">
        <v>3678</v>
      </c>
      <c r="F327" s="88">
        <v>3850</v>
      </c>
      <c r="H327" s="88">
        <v>3850</v>
      </c>
      <c r="I327"/>
      <c r="J327" s="162">
        <v>1787148295126</v>
      </c>
      <c r="K327" s="65"/>
      <c r="L327" s="65"/>
    </row>
    <row r="328" spans="1:12" hidden="1">
      <c r="A328" s="92" t="s">
        <v>162</v>
      </c>
      <c r="B328" s="93">
        <v>46254</v>
      </c>
      <c r="C328" s="92" t="s">
        <v>1580</v>
      </c>
      <c r="D328" s="92" t="s">
        <v>1581</v>
      </c>
      <c r="E328" s="92" t="s">
        <v>3678</v>
      </c>
      <c r="F328" s="88">
        <v>5600</v>
      </c>
      <c r="H328" s="88">
        <v>5600</v>
      </c>
      <c r="I328"/>
      <c r="J328" s="162">
        <v>1787193754185</v>
      </c>
      <c r="K328" s="65"/>
      <c r="L328" s="65"/>
    </row>
    <row r="329" spans="1:12" hidden="1">
      <c r="A329" s="92" t="s">
        <v>162</v>
      </c>
      <c r="B329" s="93">
        <v>46254</v>
      </c>
      <c r="C329" s="92" t="s">
        <v>1484</v>
      </c>
      <c r="D329" s="92" t="s">
        <v>1485</v>
      </c>
      <c r="E329" s="92" t="s">
        <v>3678</v>
      </c>
      <c r="F329" s="88">
        <v>3850</v>
      </c>
      <c r="H329" s="88">
        <v>3850</v>
      </c>
      <c r="I329"/>
      <c r="J329" s="162">
        <v>1786598124828</v>
      </c>
      <c r="K329" s="65"/>
      <c r="L329" s="65"/>
    </row>
    <row r="330" spans="1:12" hidden="1">
      <c r="A330" s="92" t="s">
        <v>162</v>
      </c>
      <c r="B330" s="93">
        <v>46254</v>
      </c>
      <c r="C330" s="92" t="s">
        <v>1500</v>
      </c>
      <c r="D330" s="92" t="s">
        <v>1501</v>
      </c>
      <c r="E330" s="92" t="s">
        <v>3678</v>
      </c>
      <c r="F330" s="88">
        <v>3850</v>
      </c>
      <c r="H330" s="88">
        <v>3850</v>
      </c>
      <c r="I330"/>
      <c r="J330" s="162">
        <v>1787188827731</v>
      </c>
      <c r="K330" s="65"/>
      <c r="L330" s="65"/>
    </row>
    <row r="331" spans="1:12" hidden="1">
      <c r="A331" s="92" t="s">
        <v>162</v>
      </c>
      <c r="B331" s="93">
        <v>46254</v>
      </c>
      <c r="C331" s="92" t="s">
        <v>1767</v>
      </c>
      <c r="D331" s="92" t="s">
        <v>1768</v>
      </c>
      <c r="E331" s="92" t="s">
        <v>3678</v>
      </c>
      <c r="F331" s="88">
        <v>2800</v>
      </c>
      <c r="H331" s="88">
        <v>2800</v>
      </c>
      <c r="I331"/>
      <c r="J331" s="162">
        <v>1786598347320</v>
      </c>
      <c r="K331" s="65"/>
      <c r="L331" s="65"/>
    </row>
    <row r="332" spans="1:12" hidden="1">
      <c r="A332" s="92" t="s">
        <v>180</v>
      </c>
      <c r="B332" s="93">
        <v>46254</v>
      </c>
      <c r="C332" s="92" t="s">
        <v>3164</v>
      </c>
      <c r="D332" s="92" t="s">
        <v>3165</v>
      </c>
      <c r="E332" s="92" t="s">
        <v>3678</v>
      </c>
      <c r="F332" s="88">
        <v>493</v>
      </c>
      <c r="H332" s="88">
        <v>493</v>
      </c>
      <c r="I332"/>
      <c r="J332" s="162">
        <v>1787128556157</v>
      </c>
      <c r="K332" s="65"/>
      <c r="L332" s="65"/>
    </row>
    <row r="333" spans="1:12" hidden="1">
      <c r="A333" s="92" t="s">
        <v>162</v>
      </c>
      <c r="B333" s="93">
        <v>46254</v>
      </c>
      <c r="C333" s="92" t="s">
        <v>1403</v>
      </c>
      <c r="D333" s="92" t="s">
        <v>1404</v>
      </c>
      <c r="E333" s="92" t="s">
        <v>3678</v>
      </c>
      <c r="F333" s="88">
        <v>3850</v>
      </c>
      <c r="H333" s="88">
        <v>3850</v>
      </c>
      <c r="I333"/>
      <c r="J333" s="162">
        <v>1786598298618</v>
      </c>
      <c r="K333" s="65"/>
      <c r="L333" s="65"/>
    </row>
    <row r="334" spans="1:12" hidden="1">
      <c r="A334" s="92" t="s">
        <v>180</v>
      </c>
      <c r="B334" s="93">
        <v>46254</v>
      </c>
      <c r="C334" s="92" t="s">
        <v>1106</v>
      </c>
      <c r="D334" s="92" t="s">
        <v>1107</v>
      </c>
      <c r="E334" s="92" t="s">
        <v>3678</v>
      </c>
      <c r="F334" s="88">
        <v>4200</v>
      </c>
      <c r="H334" s="88">
        <v>4200</v>
      </c>
      <c r="I334"/>
      <c r="J334" s="162">
        <v>1786598007264</v>
      </c>
      <c r="K334" s="65"/>
      <c r="L334" s="65"/>
    </row>
    <row r="335" spans="1:12" hidden="1">
      <c r="A335" s="92" t="s">
        <v>172</v>
      </c>
      <c r="B335" s="93">
        <v>46254</v>
      </c>
      <c r="C335" s="92" t="s">
        <v>3544</v>
      </c>
      <c r="D335" s="92" t="s">
        <v>3545</v>
      </c>
      <c r="E335" s="92" t="s">
        <v>3678</v>
      </c>
      <c r="F335" s="88">
        <v>4000</v>
      </c>
      <c r="H335" s="88">
        <v>4000</v>
      </c>
      <c r="I335"/>
      <c r="J335" s="162">
        <v>1786598116792</v>
      </c>
      <c r="K335" s="65"/>
      <c r="L335" s="65"/>
    </row>
    <row r="336" spans="1:12" hidden="1">
      <c r="A336" s="92" t="s">
        <v>162</v>
      </c>
      <c r="B336" s="93">
        <v>46254</v>
      </c>
      <c r="C336" s="92" t="s">
        <v>1586</v>
      </c>
      <c r="D336" s="92" t="s">
        <v>1587</v>
      </c>
      <c r="E336" s="92" t="s">
        <v>3678</v>
      </c>
      <c r="F336" s="88">
        <v>2800</v>
      </c>
      <c r="H336" s="88">
        <v>2800</v>
      </c>
      <c r="I336"/>
      <c r="J336" s="162">
        <v>1786599164321</v>
      </c>
      <c r="K336" s="65"/>
      <c r="L336" s="65"/>
    </row>
    <row r="337" spans="1:12" hidden="1">
      <c r="A337" s="92" t="s">
        <v>172</v>
      </c>
      <c r="B337" s="93">
        <v>46254</v>
      </c>
      <c r="C337" s="92" t="s">
        <v>2013</v>
      </c>
      <c r="D337" s="92" t="s">
        <v>2014</v>
      </c>
      <c r="E337" s="92" t="s">
        <v>3678</v>
      </c>
      <c r="F337" s="88">
        <v>3850</v>
      </c>
      <c r="H337" s="88">
        <v>3850</v>
      </c>
      <c r="I337"/>
      <c r="J337" s="162">
        <v>1786598348529</v>
      </c>
      <c r="K337" s="65"/>
      <c r="L337" s="65"/>
    </row>
    <row r="338" spans="1:12" hidden="1">
      <c r="A338" s="92" t="s">
        <v>162</v>
      </c>
      <c r="B338" s="93">
        <v>46254</v>
      </c>
      <c r="C338" s="92" t="s">
        <v>1447</v>
      </c>
      <c r="D338" s="92" t="s">
        <v>1448</v>
      </c>
      <c r="E338" s="92" t="s">
        <v>3678</v>
      </c>
      <c r="F338" s="88">
        <v>3850</v>
      </c>
      <c r="H338" s="88">
        <v>3850</v>
      </c>
      <c r="I338"/>
      <c r="J338" s="162">
        <v>1786597902227</v>
      </c>
      <c r="K338" s="65"/>
      <c r="L338" s="65"/>
    </row>
    <row r="339" spans="1:12" hidden="1">
      <c r="A339" s="92" t="s">
        <v>162</v>
      </c>
      <c r="B339" s="93">
        <v>46254</v>
      </c>
      <c r="C339" s="92" t="s">
        <v>1595</v>
      </c>
      <c r="D339" s="92" t="s">
        <v>1596</v>
      </c>
      <c r="E339" s="92" t="s">
        <v>3678</v>
      </c>
      <c r="F339" s="88">
        <v>4200</v>
      </c>
      <c r="H339" s="88">
        <v>4200</v>
      </c>
      <c r="I339"/>
      <c r="J339" s="162">
        <v>1786597954901</v>
      </c>
      <c r="K339" s="65"/>
      <c r="L339" s="65"/>
    </row>
    <row r="340" spans="1:12" hidden="1">
      <c r="A340" s="92" t="s">
        <v>162</v>
      </c>
      <c r="B340" s="93">
        <v>46254</v>
      </c>
      <c r="C340" s="92" t="s">
        <v>3546</v>
      </c>
      <c r="D340" s="92" t="s">
        <v>3547</v>
      </c>
      <c r="E340" s="92" t="s">
        <v>3678</v>
      </c>
      <c r="F340" s="88">
        <v>3850</v>
      </c>
      <c r="H340" s="88">
        <v>3850</v>
      </c>
      <c r="I340"/>
      <c r="J340" s="162">
        <v>1786598056697</v>
      </c>
      <c r="K340" s="65"/>
      <c r="L340" s="65"/>
    </row>
    <row r="341" spans="1:12" hidden="1">
      <c r="A341" s="92" t="s">
        <v>162</v>
      </c>
      <c r="B341" s="93">
        <v>46254</v>
      </c>
      <c r="C341" s="92" t="s">
        <v>1538</v>
      </c>
      <c r="D341" s="92" t="s">
        <v>1539</v>
      </c>
      <c r="E341" s="92" t="s">
        <v>3678</v>
      </c>
      <c r="F341" s="88">
        <v>1513</v>
      </c>
      <c r="H341" s="88">
        <v>1513</v>
      </c>
      <c r="I341"/>
      <c r="J341" s="162">
        <v>1786597917715</v>
      </c>
      <c r="K341" s="65"/>
      <c r="L341" s="65"/>
    </row>
    <row r="342" spans="1:12" hidden="1">
      <c r="A342" s="92" t="s">
        <v>162</v>
      </c>
      <c r="B342" s="93">
        <v>46254</v>
      </c>
      <c r="C342" s="92" t="s">
        <v>1544</v>
      </c>
      <c r="D342" s="92" t="s">
        <v>1545</v>
      </c>
      <c r="E342" s="92" t="s">
        <v>3678</v>
      </c>
      <c r="F342" s="88">
        <v>4200</v>
      </c>
      <c r="H342" s="88">
        <v>4200</v>
      </c>
      <c r="I342"/>
      <c r="J342" s="162">
        <v>1786598429631</v>
      </c>
      <c r="K342" s="65"/>
      <c r="L342" s="65"/>
    </row>
    <row r="343" spans="1:12">
      <c r="A343" s="92" t="s">
        <v>172</v>
      </c>
      <c r="B343" s="93">
        <v>46254</v>
      </c>
      <c r="C343" s="92" t="s">
        <v>3217</v>
      </c>
      <c r="D343" s="92" t="s">
        <v>3218</v>
      </c>
      <c r="E343" s="92" t="s">
        <v>3677</v>
      </c>
      <c r="F343" s="88">
        <v>493</v>
      </c>
      <c r="G343" s="88">
        <v>493</v>
      </c>
      <c r="I343" t="s">
        <v>4125</v>
      </c>
      <c r="J343" s="162">
        <v>1787112244063</v>
      </c>
      <c r="K343" s="65"/>
      <c r="L343" s="65"/>
    </row>
    <row r="344" spans="1:12" hidden="1">
      <c r="A344" s="92" t="s">
        <v>172</v>
      </c>
      <c r="B344" s="93">
        <v>46254</v>
      </c>
      <c r="C344" s="92" t="s">
        <v>364</v>
      </c>
      <c r="D344" s="92" t="s">
        <v>365</v>
      </c>
      <c r="E344" s="92" t="s">
        <v>3678</v>
      </c>
      <c r="F344" s="88">
        <v>2800</v>
      </c>
      <c r="H344" s="88">
        <v>2800</v>
      </c>
      <c r="I344"/>
      <c r="J344" s="162">
        <v>1786598058374</v>
      </c>
      <c r="K344" s="65"/>
      <c r="L344" s="65"/>
    </row>
    <row r="345" spans="1:12" hidden="1">
      <c r="A345" s="92" t="s">
        <v>162</v>
      </c>
      <c r="B345" s="93">
        <v>46254</v>
      </c>
      <c r="C345" s="92" t="s">
        <v>1459</v>
      </c>
      <c r="D345" s="92" t="s">
        <v>1460</v>
      </c>
      <c r="E345" s="92" t="s">
        <v>3678</v>
      </c>
      <c r="F345" s="88">
        <v>3850</v>
      </c>
      <c r="H345" s="88">
        <v>3850</v>
      </c>
      <c r="I345"/>
      <c r="J345" s="162">
        <v>1786597640914</v>
      </c>
      <c r="K345" s="65"/>
      <c r="L345" s="65"/>
    </row>
    <row r="346" spans="1:12" hidden="1">
      <c r="A346" s="92" t="s">
        <v>162</v>
      </c>
      <c r="B346" s="93">
        <v>46254</v>
      </c>
      <c r="C346" s="92" t="s">
        <v>3548</v>
      </c>
      <c r="D346" s="92" t="s">
        <v>3549</v>
      </c>
      <c r="E346" s="92" t="s">
        <v>3678</v>
      </c>
      <c r="F346" s="88">
        <v>3850</v>
      </c>
      <c r="H346" s="88">
        <v>3850</v>
      </c>
      <c r="I346"/>
      <c r="J346" s="162">
        <v>1786598552927</v>
      </c>
      <c r="K346" s="65"/>
      <c r="L346" s="65"/>
    </row>
    <row r="347" spans="1:12" hidden="1">
      <c r="A347" s="92" t="s">
        <v>162</v>
      </c>
      <c r="B347" s="93">
        <v>46254</v>
      </c>
      <c r="C347" s="92" t="s">
        <v>1603</v>
      </c>
      <c r="D347" s="92" t="s">
        <v>1604</v>
      </c>
      <c r="E347" s="92" t="s">
        <v>3678</v>
      </c>
      <c r="F347" s="88">
        <v>4000</v>
      </c>
      <c r="H347" s="88">
        <v>4000</v>
      </c>
      <c r="I347"/>
      <c r="J347" s="162">
        <v>1785912873481</v>
      </c>
      <c r="K347" s="65"/>
      <c r="L347" s="65"/>
    </row>
    <row r="348" spans="1:12" hidden="1">
      <c r="A348" s="92" t="s">
        <v>162</v>
      </c>
      <c r="B348" s="93">
        <v>46254</v>
      </c>
      <c r="C348" s="92" t="s">
        <v>1696</v>
      </c>
      <c r="D348" s="92" t="s">
        <v>1697</v>
      </c>
      <c r="E348" s="92" t="s">
        <v>3678</v>
      </c>
      <c r="F348" s="88">
        <v>3850</v>
      </c>
      <c r="H348" s="88">
        <v>3850</v>
      </c>
      <c r="I348"/>
      <c r="J348" s="162">
        <v>1786597845591</v>
      </c>
      <c r="K348" s="65"/>
      <c r="L348" s="65"/>
    </row>
    <row r="349" spans="1:12" hidden="1">
      <c r="A349" s="92" t="s">
        <v>172</v>
      </c>
      <c r="B349" s="93">
        <v>46254</v>
      </c>
      <c r="C349" s="92" t="s">
        <v>3550</v>
      </c>
      <c r="D349" s="92" t="s">
        <v>3551</v>
      </c>
      <c r="E349" s="92" t="s">
        <v>3678</v>
      </c>
      <c r="F349" s="88">
        <v>6850</v>
      </c>
      <c r="G349" s="88">
        <v>3000</v>
      </c>
      <c r="H349" s="88">
        <v>3850</v>
      </c>
      <c r="I349"/>
      <c r="J349" s="162">
        <v>1787188199676</v>
      </c>
      <c r="K349" s="65"/>
      <c r="L349" s="65"/>
    </row>
    <row r="350" spans="1:12" hidden="1">
      <c r="A350" s="92" t="s">
        <v>162</v>
      </c>
      <c r="B350" s="93">
        <v>46254</v>
      </c>
      <c r="C350" s="92" t="s">
        <v>1558</v>
      </c>
      <c r="D350" s="92" t="s">
        <v>1559</v>
      </c>
      <c r="E350" s="92" t="s">
        <v>3678</v>
      </c>
      <c r="F350" s="88">
        <v>3850</v>
      </c>
      <c r="H350" s="88">
        <v>3850</v>
      </c>
      <c r="I350"/>
      <c r="J350" s="162">
        <v>1786596958442</v>
      </c>
      <c r="K350" s="65"/>
      <c r="L350" s="65"/>
    </row>
    <row r="351" spans="1:12" hidden="1">
      <c r="A351" s="92" t="s">
        <v>162</v>
      </c>
      <c r="B351" s="93">
        <v>46254</v>
      </c>
      <c r="C351" s="92" t="s">
        <v>1974</v>
      </c>
      <c r="D351" s="92" t="s">
        <v>1975</v>
      </c>
      <c r="E351" s="92" t="s">
        <v>3678</v>
      </c>
      <c r="F351" s="88">
        <v>2800</v>
      </c>
      <c r="H351" s="88">
        <v>2800</v>
      </c>
      <c r="I351"/>
      <c r="J351" s="162">
        <v>1786597055562</v>
      </c>
      <c r="K351" s="65"/>
      <c r="L351" s="65"/>
    </row>
    <row r="352" spans="1:12" hidden="1">
      <c r="A352" s="92" t="s">
        <v>162</v>
      </c>
      <c r="B352" s="93">
        <v>46254</v>
      </c>
      <c r="C352" s="92" t="s">
        <v>1974</v>
      </c>
      <c r="D352" s="92" t="s">
        <v>1975</v>
      </c>
      <c r="E352" s="92" t="s">
        <v>3678</v>
      </c>
      <c r="F352" s="88">
        <v>653</v>
      </c>
      <c r="H352" s="88">
        <v>653</v>
      </c>
      <c r="I352"/>
      <c r="J352" s="162">
        <v>1786597055562</v>
      </c>
      <c r="K352" s="65"/>
      <c r="L352" s="65"/>
    </row>
    <row r="353" spans="1:12" hidden="1">
      <c r="A353" s="92" t="s">
        <v>162</v>
      </c>
      <c r="B353" s="93">
        <v>46254</v>
      </c>
      <c r="C353" s="92" t="s">
        <v>1666</v>
      </c>
      <c r="D353" s="92" t="s">
        <v>1667</v>
      </c>
      <c r="E353" s="92" t="s">
        <v>3678</v>
      </c>
      <c r="F353" s="88">
        <v>3850</v>
      </c>
      <c r="H353" s="88">
        <v>3850</v>
      </c>
      <c r="I353"/>
      <c r="J353" s="162">
        <v>1786597274897</v>
      </c>
      <c r="K353" s="65"/>
      <c r="L353" s="65"/>
    </row>
    <row r="354" spans="1:12" hidden="1">
      <c r="A354" s="92" t="s">
        <v>162</v>
      </c>
      <c r="B354" s="93">
        <v>46254</v>
      </c>
      <c r="C354" s="92" t="s">
        <v>1578</v>
      </c>
      <c r="D354" s="92" t="s">
        <v>1579</v>
      </c>
      <c r="E354" s="92" t="s">
        <v>3678</v>
      </c>
      <c r="F354" s="88">
        <v>2800</v>
      </c>
      <c r="H354" s="88">
        <v>2800</v>
      </c>
      <c r="I354"/>
      <c r="J354" s="162">
        <v>1786598439969</v>
      </c>
      <c r="K354" s="65"/>
      <c r="L354" s="65"/>
    </row>
    <row r="355" spans="1:12">
      <c r="A355" s="92" t="s">
        <v>172</v>
      </c>
      <c r="B355" s="93">
        <v>46255</v>
      </c>
      <c r="C355" s="92" t="s">
        <v>3552</v>
      </c>
      <c r="D355" s="92" t="s">
        <v>3553</v>
      </c>
      <c r="E355" s="92" t="s">
        <v>3677</v>
      </c>
      <c r="F355" s="88">
        <v>3000</v>
      </c>
      <c r="H355" s="88">
        <v>3000</v>
      </c>
      <c r="I355" t="s">
        <v>4032</v>
      </c>
      <c r="J355" s="162">
        <v>1787033326121</v>
      </c>
      <c r="K355" s="65"/>
      <c r="L355" s="65"/>
    </row>
    <row r="356" spans="1:12" hidden="1">
      <c r="A356" s="92" t="s">
        <v>162</v>
      </c>
      <c r="B356" s="93">
        <v>46255</v>
      </c>
      <c r="C356" s="92" t="s">
        <v>758</v>
      </c>
      <c r="D356" s="92" t="s">
        <v>759</v>
      </c>
      <c r="E356" s="92" t="s">
        <v>3678</v>
      </c>
      <c r="F356" s="88">
        <v>3850</v>
      </c>
      <c r="H356" s="88">
        <v>3850</v>
      </c>
      <c r="I356"/>
      <c r="J356" s="162">
        <v>1786597649369</v>
      </c>
      <c r="K356" s="65"/>
      <c r="L356" s="65"/>
    </row>
    <row r="357" spans="1:12" hidden="1">
      <c r="A357" s="92" t="s">
        <v>162</v>
      </c>
      <c r="B357" s="93">
        <v>46255</v>
      </c>
      <c r="C357" s="92" t="s">
        <v>3554</v>
      </c>
      <c r="D357" s="92" t="s">
        <v>3555</v>
      </c>
      <c r="E357" s="92" t="s">
        <v>3678</v>
      </c>
      <c r="F357" s="88">
        <v>7700</v>
      </c>
      <c r="H357" s="88">
        <v>7700</v>
      </c>
      <c r="I357"/>
      <c r="J357" s="162">
        <v>1786674071427</v>
      </c>
      <c r="K357" s="65"/>
      <c r="L357" s="65"/>
    </row>
    <row r="358" spans="1:12" hidden="1">
      <c r="A358" s="92" t="s">
        <v>162</v>
      </c>
      <c r="B358" s="93">
        <v>46255</v>
      </c>
      <c r="C358" s="92" t="s">
        <v>1510</v>
      </c>
      <c r="D358" s="92" t="s">
        <v>1511</v>
      </c>
      <c r="E358" s="92" t="s">
        <v>3678</v>
      </c>
      <c r="F358" s="88">
        <v>2800</v>
      </c>
      <c r="H358" s="88">
        <v>2800</v>
      </c>
      <c r="I358"/>
      <c r="J358" s="162">
        <v>1786598211854</v>
      </c>
      <c r="K358" s="65"/>
      <c r="L358" s="65"/>
    </row>
    <row r="359" spans="1:12" hidden="1">
      <c r="A359" s="92" t="s">
        <v>180</v>
      </c>
      <c r="B359" s="93">
        <v>46255</v>
      </c>
      <c r="C359" s="92" t="s">
        <v>1431</v>
      </c>
      <c r="D359" s="92" t="s">
        <v>1432</v>
      </c>
      <c r="E359" s="92" t="s">
        <v>3678</v>
      </c>
      <c r="F359" s="88">
        <v>2800</v>
      </c>
      <c r="H359" s="88">
        <v>2800</v>
      </c>
      <c r="I359"/>
      <c r="J359" s="162">
        <v>1786598455269</v>
      </c>
      <c r="K359" s="65"/>
      <c r="L359" s="65"/>
    </row>
    <row r="360" spans="1:12">
      <c r="A360" s="92" t="s">
        <v>172</v>
      </c>
      <c r="B360" s="93">
        <v>46255</v>
      </c>
      <c r="C360" s="92" t="s">
        <v>3556</v>
      </c>
      <c r="D360" s="92" t="s">
        <v>3557</v>
      </c>
      <c r="E360" s="92" t="s">
        <v>3677</v>
      </c>
      <c r="F360" s="88">
        <v>3000</v>
      </c>
      <c r="H360" s="88">
        <v>3000</v>
      </c>
      <c r="I360" s="65" t="s">
        <v>4032</v>
      </c>
      <c r="J360" s="162">
        <v>1787293671746</v>
      </c>
      <c r="K360" s="65"/>
      <c r="L360" s="65"/>
    </row>
    <row r="361" spans="1:12" hidden="1">
      <c r="A361" s="92" t="s">
        <v>162</v>
      </c>
      <c r="B361" s="93">
        <v>46255</v>
      </c>
      <c r="C361" s="92" t="s">
        <v>1512</v>
      </c>
      <c r="D361" s="92" t="s">
        <v>1513</v>
      </c>
      <c r="E361" s="92" t="s">
        <v>3678</v>
      </c>
      <c r="F361" s="88">
        <v>2800</v>
      </c>
      <c r="H361" s="88">
        <v>2800</v>
      </c>
      <c r="I361"/>
      <c r="J361" s="162">
        <v>1786598090457</v>
      </c>
      <c r="K361" s="65"/>
      <c r="L361" s="65"/>
    </row>
    <row r="362" spans="1:12" hidden="1">
      <c r="A362" s="92" t="s">
        <v>180</v>
      </c>
      <c r="B362" s="93">
        <v>46255</v>
      </c>
      <c r="C362" s="92" t="s">
        <v>3180</v>
      </c>
      <c r="D362" s="92" t="s">
        <v>3181</v>
      </c>
      <c r="E362" s="92" t="s">
        <v>3678</v>
      </c>
      <c r="F362" s="88">
        <v>493</v>
      </c>
      <c r="H362" s="88">
        <v>493</v>
      </c>
      <c r="I362"/>
      <c r="J362" s="162">
        <v>1787275265888</v>
      </c>
      <c r="K362" s="65"/>
      <c r="L362" s="65"/>
    </row>
    <row r="363" spans="1:12" hidden="1">
      <c r="A363" s="92" t="s">
        <v>176</v>
      </c>
      <c r="B363" s="93">
        <v>46255</v>
      </c>
      <c r="C363" s="92" t="s">
        <v>3558</v>
      </c>
      <c r="D363" s="92" t="s">
        <v>3559</v>
      </c>
      <c r="E363" s="92" t="s">
        <v>3678</v>
      </c>
      <c r="F363" s="88">
        <v>3850</v>
      </c>
      <c r="H363" s="88">
        <v>3850</v>
      </c>
      <c r="I363"/>
      <c r="J363" s="162">
        <v>1786598712971</v>
      </c>
      <c r="K363" s="65"/>
      <c r="L363" s="65"/>
    </row>
    <row r="364" spans="1:12" hidden="1">
      <c r="A364" s="92" t="s">
        <v>162</v>
      </c>
      <c r="B364" s="93">
        <v>46255</v>
      </c>
      <c r="C364" s="92" t="s">
        <v>1615</v>
      </c>
      <c r="D364" s="92" t="s">
        <v>1616</v>
      </c>
      <c r="E364" s="92" t="s">
        <v>3678</v>
      </c>
      <c r="F364" s="88">
        <v>2800</v>
      </c>
      <c r="H364" s="88">
        <v>2800</v>
      </c>
      <c r="I364"/>
      <c r="J364" s="162">
        <v>1786596691798</v>
      </c>
      <c r="K364" s="65"/>
      <c r="L364" s="65"/>
    </row>
    <row r="365" spans="1:12" hidden="1">
      <c r="A365" s="92" t="s">
        <v>172</v>
      </c>
      <c r="B365" s="93">
        <v>46255</v>
      </c>
      <c r="C365" s="92" t="s">
        <v>3560</v>
      </c>
      <c r="D365" s="92" t="s">
        <v>3561</v>
      </c>
      <c r="E365" s="92" t="s">
        <v>3678</v>
      </c>
      <c r="F365" s="88">
        <v>3850</v>
      </c>
      <c r="H365" s="88">
        <v>3850</v>
      </c>
      <c r="I365"/>
      <c r="J365" s="162">
        <v>1787133129516</v>
      </c>
      <c r="K365" s="65"/>
      <c r="L365" s="65"/>
    </row>
    <row r="366" spans="1:12" hidden="1">
      <c r="A366" s="92" t="s">
        <v>162</v>
      </c>
      <c r="B366" s="93">
        <v>46255</v>
      </c>
      <c r="C366" s="92" t="s">
        <v>3562</v>
      </c>
      <c r="D366" s="92" t="s">
        <v>3563</v>
      </c>
      <c r="E366" s="92" t="s">
        <v>3678</v>
      </c>
      <c r="F366" s="88">
        <v>2800</v>
      </c>
      <c r="H366" s="88">
        <v>2800</v>
      </c>
      <c r="I366"/>
      <c r="J366" s="162">
        <v>1786597739014</v>
      </c>
      <c r="K366" s="65"/>
      <c r="L366" s="65"/>
    </row>
    <row r="367" spans="1:12" hidden="1">
      <c r="A367" s="92" t="s">
        <v>162</v>
      </c>
      <c r="B367" s="93">
        <v>46255</v>
      </c>
      <c r="C367" s="92" t="s">
        <v>1706</v>
      </c>
      <c r="D367" s="92" t="s">
        <v>1707</v>
      </c>
      <c r="E367" s="92" t="s">
        <v>3678</v>
      </c>
      <c r="F367" s="88">
        <v>3850</v>
      </c>
      <c r="H367" s="88">
        <v>3850</v>
      </c>
      <c r="I367"/>
      <c r="J367" s="162">
        <v>1786598094251</v>
      </c>
      <c r="K367" s="65"/>
      <c r="L367" s="65"/>
    </row>
    <row r="368" spans="1:12" hidden="1">
      <c r="A368" s="92" t="s">
        <v>162</v>
      </c>
      <c r="B368" s="93">
        <v>46255</v>
      </c>
      <c r="C368" s="92" t="s">
        <v>1662</v>
      </c>
      <c r="D368" s="92" t="s">
        <v>1663</v>
      </c>
      <c r="E368" s="92" t="s">
        <v>3678</v>
      </c>
      <c r="F368" s="88">
        <v>2800</v>
      </c>
      <c r="H368" s="88">
        <v>2800</v>
      </c>
      <c r="I368"/>
      <c r="J368" s="162">
        <v>1787282672686</v>
      </c>
      <c r="K368" s="65"/>
      <c r="L368" s="65"/>
    </row>
    <row r="369" spans="1:12" hidden="1">
      <c r="A369" s="92" t="s">
        <v>162</v>
      </c>
      <c r="B369" s="93">
        <v>46255</v>
      </c>
      <c r="C369" s="92" t="s">
        <v>1352</v>
      </c>
      <c r="D369" s="92" t="s">
        <v>1353</v>
      </c>
      <c r="E369" s="92" t="s">
        <v>3678</v>
      </c>
      <c r="F369" s="88">
        <v>3850</v>
      </c>
      <c r="H369" s="88">
        <v>3850</v>
      </c>
      <c r="I369"/>
      <c r="J369" s="162">
        <v>1787024056400</v>
      </c>
      <c r="K369" s="65"/>
      <c r="L369" s="65"/>
    </row>
    <row r="370" spans="1:12" hidden="1">
      <c r="A370" s="92" t="s">
        <v>176</v>
      </c>
      <c r="B370" s="93">
        <v>46255</v>
      </c>
      <c r="C370" s="92" t="s">
        <v>1572</v>
      </c>
      <c r="D370" s="92" t="s">
        <v>1573</v>
      </c>
      <c r="E370" s="92" t="s">
        <v>3678</v>
      </c>
      <c r="F370" s="88">
        <v>2915</v>
      </c>
      <c r="H370" s="88">
        <v>2915</v>
      </c>
      <c r="I370"/>
      <c r="J370" s="162">
        <v>1786351139984</v>
      </c>
      <c r="K370" s="65"/>
      <c r="L370" s="65"/>
    </row>
    <row r="371" spans="1:12" hidden="1">
      <c r="A371" s="92" t="s">
        <v>172</v>
      </c>
      <c r="B371" s="93">
        <v>46255</v>
      </c>
      <c r="C371" s="92" t="s">
        <v>3564</v>
      </c>
      <c r="D371" s="92" t="s">
        <v>3565</v>
      </c>
      <c r="E371" s="92" t="s">
        <v>3678</v>
      </c>
      <c r="F371" s="88">
        <v>3850</v>
      </c>
      <c r="H371" s="88">
        <v>3850</v>
      </c>
      <c r="I371"/>
      <c r="J371" s="162">
        <v>1787107833654</v>
      </c>
      <c r="K371" s="65"/>
      <c r="L371" s="65"/>
    </row>
    <row r="372" spans="1:12" hidden="1">
      <c r="A372" s="92" t="s">
        <v>162</v>
      </c>
      <c r="B372" s="93">
        <v>46255</v>
      </c>
      <c r="C372" s="92" t="s">
        <v>1296</v>
      </c>
      <c r="D372" s="92" t="s">
        <v>1297</v>
      </c>
      <c r="E372" s="92" t="s">
        <v>3678</v>
      </c>
      <c r="F372" s="88">
        <v>3850</v>
      </c>
      <c r="H372" s="88">
        <v>3850</v>
      </c>
      <c r="I372"/>
      <c r="J372" s="162">
        <v>1786596630571</v>
      </c>
      <c r="K372" s="65"/>
      <c r="L372" s="65"/>
    </row>
    <row r="373" spans="1:12">
      <c r="A373" s="92" t="s">
        <v>162</v>
      </c>
      <c r="B373" s="93">
        <v>46255</v>
      </c>
      <c r="C373" s="92" t="s">
        <v>1769</v>
      </c>
      <c r="D373" s="92" t="s">
        <v>1770</v>
      </c>
      <c r="E373" s="92" t="s">
        <v>3677</v>
      </c>
      <c r="F373" s="88">
        <v>2000</v>
      </c>
      <c r="H373" s="88">
        <v>2000</v>
      </c>
      <c r="I373" s="65" t="s">
        <v>106</v>
      </c>
      <c r="J373" s="162">
        <v>1787278711671</v>
      </c>
      <c r="K373" s="65"/>
      <c r="L373" s="65"/>
    </row>
    <row r="374" spans="1:12" hidden="1">
      <c r="A374" s="92" t="s">
        <v>162</v>
      </c>
      <c r="B374" s="93">
        <v>46255</v>
      </c>
      <c r="C374" s="92" t="s">
        <v>1719</v>
      </c>
      <c r="D374" s="92" t="s">
        <v>1720</v>
      </c>
      <c r="E374" s="92" t="s">
        <v>3678</v>
      </c>
      <c r="F374" s="88">
        <v>3850</v>
      </c>
      <c r="H374" s="88">
        <v>3850</v>
      </c>
      <c r="I374"/>
      <c r="J374" s="162">
        <v>1786766418537</v>
      </c>
      <c r="K374" s="65"/>
      <c r="L374" s="65"/>
    </row>
    <row r="375" spans="1:12" hidden="1">
      <c r="A375" s="92" t="s">
        <v>162</v>
      </c>
      <c r="B375" s="93">
        <v>46255</v>
      </c>
      <c r="C375" s="92" t="s">
        <v>1719</v>
      </c>
      <c r="D375" s="92" t="s">
        <v>1720</v>
      </c>
      <c r="E375" s="92" t="s">
        <v>3678</v>
      </c>
      <c r="F375" s="88">
        <v>653</v>
      </c>
      <c r="H375" s="88">
        <v>653</v>
      </c>
      <c r="I375"/>
      <c r="J375" s="162">
        <v>1786766418537</v>
      </c>
      <c r="K375" s="65"/>
      <c r="L375" s="65"/>
    </row>
    <row r="376" spans="1:12" hidden="1">
      <c r="A376" s="92" t="s">
        <v>162</v>
      </c>
      <c r="B376" s="93">
        <v>46255</v>
      </c>
      <c r="C376" s="92" t="s">
        <v>1399</v>
      </c>
      <c r="D376" s="92" t="s">
        <v>1400</v>
      </c>
      <c r="E376" s="92" t="s">
        <v>3678</v>
      </c>
      <c r="F376" s="88">
        <v>3850</v>
      </c>
      <c r="H376" s="88">
        <v>3850</v>
      </c>
      <c r="I376"/>
      <c r="J376" s="162">
        <v>1786597290492</v>
      </c>
      <c r="K376" s="65"/>
      <c r="L376" s="65"/>
    </row>
    <row r="377" spans="1:12" hidden="1">
      <c r="A377" s="92" t="s">
        <v>162</v>
      </c>
      <c r="B377" s="93">
        <v>46255</v>
      </c>
      <c r="C377" s="92" t="s">
        <v>1419</v>
      </c>
      <c r="D377" s="92" t="s">
        <v>1420</v>
      </c>
      <c r="E377" s="92" t="s">
        <v>3678</v>
      </c>
      <c r="F377" s="88">
        <v>3850</v>
      </c>
      <c r="H377" s="88">
        <v>3850</v>
      </c>
      <c r="I377"/>
      <c r="J377" s="162">
        <v>1786959610648</v>
      </c>
      <c r="K377" s="65"/>
      <c r="L377" s="65"/>
    </row>
    <row r="378" spans="1:12" hidden="1">
      <c r="A378" s="92" t="s">
        <v>162</v>
      </c>
      <c r="B378" s="93">
        <v>46255</v>
      </c>
      <c r="C378" s="92" t="s">
        <v>1490</v>
      </c>
      <c r="D378" s="92" t="s">
        <v>1491</v>
      </c>
      <c r="E378" s="92" t="s">
        <v>3678</v>
      </c>
      <c r="F378" s="88">
        <v>3850</v>
      </c>
      <c r="H378" s="88">
        <v>3850</v>
      </c>
      <c r="I378"/>
      <c r="J378" s="162">
        <v>1786597918968</v>
      </c>
      <c r="K378" s="65"/>
      <c r="L378" s="65"/>
    </row>
    <row r="379" spans="1:12" hidden="1">
      <c r="A379" s="92" t="s">
        <v>162</v>
      </c>
      <c r="B379" s="93">
        <v>46255</v>
      </c>
      <c r="C379" s="92" t="s">
        <v>1635</v>
      </c>
      <c r="D379" s="92" t="s">
        <v>1636</v>
      </c>
      <c r="E379" s="92" t="s">
        <v>3678</v>
      </c>
      <c r="F379" s="88">
        <v>3850</v>
      </c>
      <c r="H379" s="88">
        <v>3850</v>
      </c>
      <c r="I379"/>
      <c r="J379" s="162">
        <v>1786597576823</v>
      </c>
      <c r="K379" s="65"/>
      <c r="L379" s="65"/>
    </row>
    <row r="380" spans="1:12" hidden="1">
      <c r="A380" s="92" t="s">
        <v>162</v>
      </c>
      <c r="B380" s="93">
        <v>46255</v>
      </c>
      <c r="C380" s="92" t="s">
        <v>1713</v>
      </c>
      <c r="D380" s="92" t="s">
        <v>1714</v>
      </c>
      <c r="E380" s="92" t="s">
        <v>3678</v>
      </c>
      <c r="F380" s="88">
        <v>3850</v>
      </c>
      <c r="H380" s="88">
        <v>3850</v>
      </c>
      <c r="I380"/>
      <c r="J380" s="162">
        <v>1787282855963</v>
      </c>
      <c r="K380" s="65"/>
      <c r="L380" s="65"/>
    </row>
    <row r="381" spans="1:12" hidden="1">
      <c r="A381" s="92" t="s">
        <v>162</v>
      </c>
      <c r="B381" s="93">
        <v>46255</v>
      </c>
      <c r="C381" s="92" t="s">
        <v>1735</v>
      </c>
      <c r="D381" s="92" t="s">
        <v>1736</v>
      </c>
      <c r="E381" s="92" t="s">
        <v>3678</v>
      </c>
      <c r="F381" s="88">
        <v>7700</v>
      </c>
      <c r="H381" s="88">
        <v>7700</v>
      </c>
      <c r="I381"/>
      <c r="J381" s="162">
        <v>1786596589376</v>
      </c>
      <c r="K381" s="65"/>
      <c r="L381" s="65"/>
    </row>
    <row r="382" spans="1:12" hidden="1">
      <c r="A382" s="92" t="s">
        <v>162</v>
      </c>
      <c r="B382" s="93">
        <v>46255</v>
      </c>
      <c r="C382" s="92" t="s">
        <v>1534</v>
      </c>
      <c r="D382" s="92" t="s">
        <v>1535</v>
      </c>
      <c r="E382" s="92" t="s">
        <v>3678</v>
      </c>
      <c r="F382" s="88">
        <v>3850</v>
      </c>
      <c r="H382" s="88">
        <v>3850</v>
      </c>
      <c r="I382"/>
      <c r="J382" s="162">
        <v>1787103459362</v>
      </c>
      <c r="K382" s="65"/>
      <c r="L382" s="65"/>
    </row>
    <row r="383" spans="1:12" hidden="1">
      <c r="A383" s="92" t="s">
        <v>162</v>
      </c>
      <c r="B383" s="93">
        <v>46255</v>
      </c>
      <c r="C383" s="92" t="s">
        <v>1540</v>
      </c>
      <c r="D383" s="92" t="s">
        <v>1541</v>
      </c>
      <c r="E383" s="92" t="s">
        <v>3678</v>
      </c>
      <c r="F383" s="88">
        <v>3850</v>
      </c>
      <c r="H383" s="88">
        <v>3850</v>
      </c>
      <c r="I383"/>
      <c r="J383" s="162">
        <v>1786596390144</v>
      </c>
      <c r="K383" s="65"/>
      <c r="L383" s="65"/>
    </row>
    <row r="384" spans="1:12" hidden="1">
      <c r="A384" s="92" t="s">
        <v>162</v>
      </c>
      <c r="B384" s="93">
        <v>46255</v>
      </c>
      <c r="C384" s="92" t="s">
        <v>1540</v>
      </c>
      <c r="D384" s="92" t="s">
        <v>1541</v>
      </c>
      <c r="E384" s="92" t="s">
        <v>3678</v>
      </c>
      <c r="F384" s="88">
        <v>3850</v>
      </c>
      <c r="H384" s="88">
        <v>3850</v>
      </c>
      <c r="I384"/>
      <c r="J384" s="162">
        <v>1787103002085</v>
      </c>
      <c r="K384" s="65"/>
      <c r="L384" s="65"/>
    </row>
    <row r="385" spans="1:12">
      <c r="A385" s="92" t="s">
        <v>176</v>
      </c>
      <c r="B385" s="93">
        <v>46255</v>
      </c>
      <c r="C385" s="92" t="s">
        <v>3566</v>
      </c>
      <c r="D385" s="92" t="s">
        <v>3567</v>
      </c>
      <c r="E385" s="92" t="s">
        <v>3677</v>
      </c>
      <c r="F385" s="88">
        <v>1500</v>
      </c>
      <c r="H385" s="88">
        <v>1500</v>
      </c>
      <c r="I385" s="65" t="s">
        <v>4065</v>
      </c>
      <c r="J385" s="162">
        <v>1786505880775</v>
      </c>
      <c r="K385" s="65"/>
      <c r="L385" s="65"/>
    </row>
    <row r="386" spans="1:12" hidden="1">
      <c r="A386" s="92" t="s">
        <v>162</v>
      </c>
      <c r="B386" s="93">
        <v>46255</v>
      </c>
      <c r="C386" s="92" t="s">
        <v>2085</v>
      </c>
      <c r="D386" s="92" t="s">
        <v>2086</v>
      </c>
      <c r="E386" s="92" t="s">
        <v>3678</v>
      </c>
      <c r="F386" s="88">
        <v>2800</v>
      </c>
      <c r="H386" s="88">
        <v>2800</v>
      </c>
      <c r="I386"/>
      <c r="J386" s="162">
        <v>1786598641218</v>
      </c>
      <c r="K386" s="65"/>
      <c r="L386" s="65"/>
    </row>
    <row r="387" spans="1:12" hidden="1">
      <c r="A387" s="92" t="s">
        <v>162</v>
      </c>
      <c r="B387" s="93">
        <v>46255</v>
      </c>
      <c r="C387" s="92" t="s">
        <v>1520</v>
      </c>
      <c r="D387" s="92" t="s">
        <v>1521</v>
      </c>
      <c r="E387" s="92" t="s">
        <v>3678</v>
      </c>
      <c r="F387" s="88">
        <v>3850</v>
      </c>
      <c r="H387" s="88">
        <v>3850</v>
      </c>
      <c r="I387"/>
      <c r="J387" s="162">
        <v>1786597570300</v>
      </c>
      <c r="K387" s="65"/>
      <c r="L387" s="65"/>
    </row>
    <row r="388" spans="1:12" hidden="1">
      <c r="A388" s="92" t="s">
        <v>162</v>
      </c>
      <c r="B388" s="93">
        <v>46255</v>
      </c>
      <c r="C388" s="92" t="s">
        <v>1633</v>
      </c>
      <c r="D388" s="92" t="s">
        <v>1634</v>
      </c>
      <c r="E388" s="92" t="s">
        <v>3678</v>
      </c>
      <c r="F388" s="88">
        <v>2093</v>
      </c>
      <c r="H388" s="88">
        <v>2093</v>
      </c>
      <c r="I388"/>
      <c r="J388" s="162">
        <v>1786596841886</v>
      </c>
      <c r="K388" s="65"/>
      <c r="L388" s="65"/>
    </row>
    <row r="389" spans="1:12" hidden="1">
      <c r="A389" s="92" t="s">
        <v>180</v>
      </c>
      <c r="B389" s="93">
        <v>46255</v>
      </c>
      <c r="C389" s="92" t="s">
        <v>3215</v>
      </c>
      <c r="D389" s="92" t="s">
        <v>3216</v>
      </c>
      <c r="E389" s="92" t="s">
        <v>3678</v>
      </c>
      <c r="F389" s="88">
        <v>493</v>
      </c>
      <c r="H389" s="88">
        <v>493</v>
      </c>
      <c r="I389"/>
      <c r="J389" s="162">
        <v>1787201554901</v>
      </c>
      <c r="K389" s="65"/>
      <c r="L389" s="65"/>
    </row>
    <row r="390" spans="1:12" hidden="1">
      <c r="A390" s="92" t="s">
        <v>162</v>
      </c>
      <c r="B390" s="93">
        <v>46255</v>
      </c>
      <c r="C390" s="92" t="s">
        <v>1391</v>
      </c>
      <c r="D390" s="92" t="s">
        <v>1392</v>
      </c>
      <c r="E390" s="92" t="s">
        <v>3678</v>
      </c>
      <c r="F390" s="88">
        <v>3850</v>
      </c>
      <c r="H390" s="88">
        <v>3850</v>
      </c>
      <c r="I390"/>
      <c r="J390" s="162">
        <v>1787023787960</v>
      </c>
      <c r="K390" s="65"/>
      <c r="L390" s="65"/>
    </row>
    <row r="391" spans="1:12" hidden="1">
      <c r="A391" s="92" t="s">
        <v>162</v>
      </c>
      <c r="B391" s="93">
        <v>46255</v>
      </c>
      <c r="C391" s="92" t="s">
        <v>1530</v>
      </c>
      <c r="D391" s="92" t="s">
        <v>1531</v>
      </c>
      <c r="E391" s="92" t="s">
        <v>3678</v>
      </c>
      <c r="F391" s="88">
        <v>3850</v>
      </c>
      <c r="H391" s="88">
        <v>3850</v>
      </c>
      <c r="I391"/>
      <c r="J391" s="162">
        <v>1786766459762</v>
      </c>
      <c r="K391" s="65"/>
      <c r="L391" s="65"/>
    </row>
    <row r="392" spans="1:12" hidden="1">
      <c r="A392" s="92" t="s">
        <v>180</v>
      </c>
      <c r="B392" s="93">
        <v>46255</v>
      </c>
      <c r="C392" s="92" t="s">
        <v>3568</v>
      </c>
      <c r="D392" s="92" t="s">
        <v>3569</v>
      </c>
      <c r="E392" s="92" t="s">
        <v>3678</v>
      </c>
      <c r="F392" s="88">
        <v>3465</v>
      </c>
      <c r="H392" s="88">
        <v>3465</v>
      </c>
      <c r="I392"/>
      <c r="J392" s="162">
        <v>1787284186175</v>
      </c>
      <c r="K392" s="65"/>
      <c r="L392" s="65"/>
    </row>
    <row r="393" spans="1:12" hidden="1">
      <c r="A393" s="92" t="s">
        <v>176</v>
      </c>
      <c r="B393" s="93">
        <v>46255</v>
      </c>
      <c r="C393" s="92" t="s">
        <v>2898</v>
      </c>
      <c r="D393" s="92" t="s">
        <v>2899</v>
      </c>
      <c r="E393" s="92" t="s">
        <v>3678</v>
      </c>
      <c r="F393" s="88">
        <v>2800</v>
      </c>
      <c r="H393" s="88">
        <v>2800</v>
      </c>
      <c r="I393"/>
      <c r="J393" s="162">
        <v>1786598585983</v>
      </c>
      <c r="K393" s="65"/>
      <c r="L393" s="65"/>
    </row>
    <row r="394" spans="1:12">
      <c r="A394" s="92" t="s">
        <v>162</v>
      </c>
      <c r="B394" s="93">
        <v>46255</v>
      </c>
      <c r="C394" s="92" t="s">
        <v>1971</v>
      </c>
      <c r="D394" s="92" t="s">
        <v>1972</v>
      </c>
      <c r="E394" s="92" t="s">
        <v>3677</v>
      </c>
      <c r="F394" s="88">
        <v>4000</v>
      </c>
      <c r="H394" s="88">
        <v>4000</v>
      </c>
      <c r="I394" s="65" t="s">
        <v>75</v>
      </c>
      <c r="J394" s="162">
        <v>1787113403595</v>
      </c>
      <c r="K394" s="65"/>
      <c r="L394" s="65"/>
    </row>
    <row r="395" spans="1:12">
      <c r="A395" s="92" t="s">
        <v>162</v>
      </c>
      <c r="B395" s="93">
        <v>46255</v>
      </c>
      <c r="C395" s="92" t="s">
        <v>1971</v>
      </c>
      <c r="D395" s="92" t="s">
        <v>1972</v>
      </c>
      <c r="E395" s="92" t="s">
        <v>3677</v>
      </c>
      <c r="F395" s="88">
        <v>4000</v>
      </c>
      <c r="H395" s="88">
        <v>4000</v>
      </c>
      <c r="I395" s="65" t="s">
        <v>4022</v>
      </c>
      <c r="J395" s="162">
        <v>1787113403595</v>
      </c>
      <c r="K395" s="65"/>
      <c r="L395" s="65"/>
    </row>
    <row r="396" spans="1:12" hidden="1">
      <c r="A396" s="92" t="s">
        <v>162</v>
      </c>
      <c r="B396" s="93">
        <v>46255</v>
      </c>
      <c r="C396" s="92" t="s">
        <v>1597</v>
      </c>
      <c r="D396" s="92" t="s">
        <v>1598</v>
      </c>
      <c r="E396" s="92" t="s">
        <v>3678</v>
      </c>
      <c r="F396" s="88">
        <v>3850</v>
      </c>
      <c r="H396" s="88">
        <v>3850</v>
      </c>
      <c r="I396"/>
      <c r="J396" s="162">
        <v>1786596389023</v>
      </c>
      <c r="K396" s="65"/>
      <c r="L396" s="65"/>
    </row>
    <row r="397" spans="1:12" hidden="1">
      <c r="A397" s="92" t="s">
        <v>162</v>
      </c>
      <c r="B397" s="93">
        <v>46256</v>
      </c>
      <c r="C397" s="92" t="s">
        <v>1570</v>
      </c>
      <c r="D397" s="92" t="s">
        <v>1571</v>
      </c>
      <c r="E397" s="92" t="s">
        <v>3678</v>
      </c>
      <c r="F397" s="88">
        <v>3850</v>
      </c>
      <c r="H397" s="88">
        <v>3850</v>
      </c>
      <c r="I397"/>
      <c r="J397" s="162">
        <v>1786596698846</v>
      </c>
      <c r="K397" s="65"/>
      <c r="L397" s="65"/>
    </row>
    <row r="398" spans="1:12" hidden="1">
      <c r="A398" s="92" t="s">
        <v>162</v>
      </c>
      <c r="B398" s="93">
        <v>46256</v>
      </c>
      <c r="C398" s="92" t="s">
        <v>1570</v>
      </c>
      <c r="D398" s="92" t="s">
        <v>1571</v>
      </c>
      <c r="E398" s="92" t="s">
        <v>3678</v>
      </c>
      <c r="F398" s="88">
        <v>1077</v>
      </c>
      <c r="H398" s="88">
        <v>1077</v>
      </c>
      <c r="I398"/>
      <c r="J398" s="162">
        <v>1786596698846</v>
      </c>
      <c r="K398" s="65"/>
      <c r="L398" s="65"/>
    </row>
    <row r="399" spans="1:12" hidden="1">
      <c r="A399" s="92" t="s">
        <v>162</v>
      </c>
      <c r="B399" s="93">
        <v>46256</v>
      </c>
      <c r="C399" s="92" t="s">
        <v>1773</v>
      </c>
      <c r="D399" s="92" t="s">
        <v>1774</v>
      </c>
      <c r="E399" s="92" t="s">
        <v>3678</v>
      </c>
      <c r="F399" s="88">
        <v>7700</v>
      </c>
      <c r="H399" s="88">
        <v>7700</v>
      </c>
      <c r="I399"/>
      <c r="J399" s="162">
        <v>1786597458892</v>
      </c>
      <c r="K399" s="65"/>
      <c r="L399" s="65"/>
    </row>
    <row r="400" spans="1:12" hidden="1">
      <c r="A400" s="92" t="s">
        <v>172</v>
      </c>
      <c r="B400" s="93">
        <v>46256</v>
      </c>
      <c r="C400" s="92" t="s">
        <v>2997</v>
      </c>
      <c r="D400" s="92" t="s">
        <v>2998</v>
      </c>
      <c r="E400" s="92" t="s">
        <v>3678</v>
      </c>
      <c r="F400" s="88">
        <v>3850</v>
      </c>
      <c r="H400" s="88">
        <v>3850</v>
      </c>
      <c r="I400"/>
      <c r="J400" s="162">
        <v>1786597696615</v>
      </c>
      <c r="K400" s="65"/>
      <c r="L400" s="65"/>
    </row>
    <row r="401" spans="1:12" hidden="1">
      <c r="A401" s="92" t="s">
        <v>172</v>
      </c>
      <c r="B401" s="93">
        <v>46256</v>
      </c>
      <c r="C401" s="92" t="s">
        <v>373</v>
      </c>
      <c r="D401" s="92" t="s">
        <v>374</v>
      </c>
      <c r="E401" s="92" t="s">
        <v>3678</v>
      </c>
      <c r="F401" s="88">
        <v>2800</v>
      </c>
      <c r="H401" s="88">
        <v>2800</v>
      </c>
      <c r="I401"/>
      <c r="J401" s="162">
        <v>1786598268636</v>
      </c>
      <c r="K401" s="65"/>
      <c r="L401" s="65"/>
    </row>
    <row r="402" spans="1:12" hidden="1">
      <c r="A402" s="92" t="s">
        <v>162</v>
      </c>
      <c r="B402" s="93">
        <v>46256</v>
      </c>
      <c r="C402" s="92" t="s">
        <v>1639</v>
      </c>
      <c r="D402" s="92" t="s">
        <v>1640</v>
      </c>
      <c r="E402" s="92" t="s">
        <v>3678</v>
      </c>
      <c r="F402" s="88">
        <v>4000</v>
      </c>
      <c r="H402" s="88">
        <v>4000</v>
      </c>
      <c r="I402"/>
      <c r="J402" s="162">
        <v>1786598669843</v>
      </c>
      <c r="K402" s="65"/>
      <c r="L402" s="65"/>
    </row>
    <row r="403" spans="1:12" hidden="1">
      <c r="A403" s="92" t="s">
        <v>162</v>
      </c>
      <c r="B403" s="93">
        <v>46256</v>
      </c>
      <c r="C403" s="92" t="s">
        <v>1445</v>
      </c>
      <c r="D403" s="92" t="s">
        <v>1446</v>
      </c>
      <c r="E403" s="92" t="s">
        <v>3678</v>
      </c>
      <c r="F403" s="88">
        <v>3850</v>
      </c>
      <c r="H403" s="88">
        <v>3850</v>
      </c>
      <c r="I403"/>
      <c r="J403" s="162">
        <v>1786598754802</v>
      </c>
      <c r="K403" s="65"/>
      <c r="L403" s="65"/>
    </row>
    <row r="404" spans="1:12" hidden="1">
      <c r="A404" s="92" t="s">
        <v>162</v>
      </c>
      <c r="B404" s="93">
        <v>46256</v>
      </c>
      <c r="C404" s="92" t="s">
        <v>1832</v>
      </c>
      <c r="D404" s="92" t="s">
        <v>1833</v>
      </c>
      <c r="E404" s="92" t="s">
        <v>3678</v>
      </c>
      <c r="F404" s="88">
        <v>4200</v>
      </c>
      <c r="H404" s="88">
        <v>4200</v>
      </c>
      <c r="I404"/>
      <c r="J404" s="162">
        <v>1786597402230</v>
      </c>
      <c r="K404" s="65"/>
      <c r="L404" s="65"/>
    </row>
    <row r="405" spans="1:12" hidden="1">
      <c r="A405" s="92" t="s">
        <v>172</v>
      </c>
      <c r="B405" s="93">
        <v>46256</v>
      </c>
      <c r="C405" s="92" t="s">
        <v>2829</v>
      </c>
      <c r="D405" s="92" t="s">
        <v>2830</v>
      </c>
      <c r="E405" s="92" t="s">
        <v>3678</v>
      </c>
      <c r="F405" s="88">
        <v>4000</v>
      </c>
      <c r="H405" s="88">
        <v>4000</v>
      </c>
      <c r="I405"/>
      <c r="J405" s="162">
        <v>1786597999788</v>
      </c>
      <c r="K405" s="65"/>
      <c r="L405" s="65"/>
    </row>
    <row r="406" spans="1:12" hidden="1">
      <c r="A406" s="92" t="s">
        <v>162</v>
      </c>
      <c r="B406" s="93">
        <v>46256</v>
      </c>
      <c r="C406" s="92" t="s">
        <v>1423</v>
      </c>
      <c r="D406" s="92" t="s">
        <v>1424</v>
      </c>
      <c r="E406" s="92" t="s">
        <v>3678</v>
      </c>
      <c r="F406" s="88">
        <v>3850</v>
      </c>
      <c r="H406" s="88">
        <v>3850</v>
      </c>
      <c r="I406"/>
      <c r="J406" s="162">
        <v>1786598549034</v>
      </c>
      <c r="K406" s="65"/>
      <c r="L406" s="65"/>
    </row>
    <row r="407" spans="1:12" hidden="1">
      <c r="A407" s="92" t="s">
        <v>162</v>
      </c>
      <c r="B407" s="93">
        <v>46256</v>
      </c>
      <c r="C407" s="92" t="s">
        <v>1584</v>
      </c>
      <c r="D407" s="92" t="s">
        <v>1585</v>
      </c>
      <c r="E407" s="92" t="s">
        <v>3678</v>
      </c>
      <c r="F407" s="88">
        <v>2800</v>
      </c>
      <c r="H407" s="88">
        <v>2800</v>
      </c>
      <c r="I407"/>
      <c r="J407" s="162">
        <v>1786596720484</v>
      </c>
      <c r="K407" s="65"/>
      <c r="L407" s="65"/>
    </row>
    <row r="408" spans="1:12">
      <c r="A408" s="92" t="s">
        <v>162</v>
      </c>
      <c r="B408" s="93">
        <v>46256</v>
      </c>
      <c r="C408" s="92" t="s">
        <v>1643</v>
      </c>
      <c r="D408" s="92" t="s">
        <v>1644</v>
      </c>
      <c r="E408" s="92" t="s">
        <v>3677</v>
      </c>
      <c r="F408" s="88">
        <v>2000</v>
      </c>
      <c r="H408" s="88">
        <v>2000</v>
      </c>
      <c r="I408" s="65" t="s">
        <v>53</v>
      </c>
      <c r="J408" s="162">
        <v>1786940774423</v>
      </c>
      <c r="K408" s="65"/>
      <c r="L408" s="65"/>
    </row>
    <row r="409" spans="1:12" hidden="1">
      <c r="A409" s="92" t="s">
        <v>162</v>
      </c>
      <c r="B409" s="93">
        <v>46256</v>
      </c>
      <c r="C409" s="92" t="s">
        <v>1609</v>
      </c>
      <c r="D409" s="92" t="s">
        <v>1610</v>
      </c>
      <c r="E409" s="92" t="s">
        <v>3678</v>
      </c>
      <c r="F409" s="88">
        <v>3850</v>
      </c>
      <c r="H409" s="88">
        <v>3850</v>
      </c>
      <c r="I409"/>
      <c r="J409" s="162">
        <v>1786598458090</v>
      </c>
      <c r="K409" s="65"/>
      <c r="L409" s="65"/>
    </row>
    <row r="410" spans="1:12">
      <c r="A410" s="92" t="s">
        <v>180</v>
      </c>
      <c r="B410" s="93">
        <v>46256</v>
      </c>
      <c r="C410" s="92" t="s">
        <v>3219</v>
      </c>
      <c r="D410" s="92" t="s">
        <v>3220</v>
      </c>
      <c r="E410" s="92" t="s">
        <v>3677</v>
      </c>
      <c r="F410" s="88">
        <v>500</v>
      </c>
      <c r="G410" s="88">
        <v>500</v>
      </c>
      <c r="I410" t="s">
        <v>4126</v>
      </c>
      <c r="J410" s="162">
        <v>1787363694503</v>
      </c>
      <c r="K410" s="65"/>
      <c r="L410" s="65"/>
    </row>
    <row r="411" spans="1:12" hidden="1">
      <c r="A411" s="92" t="s">
        <v>162</v>
      </c>
      <c r="B411" s="93">
        <v>46256</v>
      </c>
      <c r="C411" s="92" t="s">
        <v>1609</v>
      </c>
      <c r="D411" s="92" t="s">
        <v>1610</v>
      </c>
      <c r="E411" s="92" t="s">
        <v>3678</v>
      </c>
      <c r="F411" s="88">
        <v>3850</v>
      </c>
      <c r="H411" s="88">
        <v>3850</v>
      </c>
      <c r="I411"/>
      <c r="J411" s="162">
        <v>1787022254593</v>
      </c>
      <c r="K411" s="65"/>
      <c r="L411" s="65"/>
    </row>
    <row r="412" spans="1:12" hidden="1">
      <c r="A412" s="92" t="s">
        <v>162</v>
      </c>
      <c r="B412" s="93">
        <v>46256</v>
      </c>
      <c r="C412" s="92" t="s">
        <v>1609</v>
      </c>
      <c r="D412" s="92" t="s">
        <v>1610</v>
      </c>
      <c r="E412" s="92" t="s">
        <v>3678</v>
      </c>
      <c r="F412" s="88">
        <v>3850</v>
      </c>
      <c r="H412" s="88">
        <v>3850</v>
      </c>
      <c r="I412"/>
      <c r="J412" s="162">
        <v>1787022335724</v>
      </c>
      <c r="K412" s="65"/>
      <c r="L412" s="65"/>
    </row>
    <row r="413" spans="1:12" hidden="1">
      <c r="A413" s="92" t="s">
        <v>172</v>
      </c>
      <c r="B413" s="93">
        <v>46256</v>
      </c>
      <c r="C413" s="92" t="s">
        <v>3570</v>
      </c>
      <c r="D413" s="92" t="s">
        <v>3571</v>
      </c>
      <c r="E413" s="92" t="s">
        <v>3678</v>
      </c>
      <c r="F413" s="88">
        <v>6850</v>
      </c>
      <c r="G413" s="88">
        <v>3000</v>
      </c>
      <c r="H413" s="88">
        <v>3850</v>
      </c>
      <c r="I413"/>
      <c r="J413" s="162">
        <v>1787372081626</v>
      </c>
      <c r="K413" s="65"/>
      <c r="L413" s="65"/>
    </row>
    <row r="414" spans="1:12" hidden="1">
      <c r="A414" s="92" t="s">
        <v>3293</v>
      </c>
      <c r="B414" s="93">
        <v>46256</v>
      </c>
      <c r="C414" s="92" t="s">
        <v>1955</v>
      </c>
      <c r="D414" s="92" t="s">
        <v>1956</v>
      </c>
      <c r="E414" s="92" t="s">
        <v>3678</v>
      </c>
      <c r="F414" s="88">
        <v>2800</v>
      </c>
      <c r="H414" s="88">
        <v>2800</v>
      </c>
      <c r="I414"/>
      <c r="J414" s="162">
        <v>1786597489678</v>
      </c>
      <c r="K414" s="65"/>
      <c r="L414" s="65"/>
    </row>
    <row r="415" spans="1:12" hidden="1">
      <c r="A415" s="92" t="s">
        <v>176</v>
      </c>
      <c r="B415" s="93">
        <v>46256</v>
      </c>
      <c r="C415" s="92" t="s">
        <v>3572</v>
      </c>
      <c r="D415" s="92" t="s">
        <v>3573</v>
      </c>
      <c r="E415" s="92" t="s">
        <v>3678</v>
      </c>
      <c r="F415" s="88">
        <v>2800</v>
      </c>
      <c r="H415" s="88">
        <v>2800</v>
      </c>
      <c r="I415"/>
      <c r="J415" s="162">
        <v>1787369735985</v>
      </c>
      <c r="K415" s="65"/>
      <c r="L415" s="65"/>
    </row>
    <row r="416" spans="1:12" hidden="1">
      <c r="A416" s="92" t="s">
        <v>172</v>
      </c>
      <c r="B416" s="93">
        <v>46256</v>
      </c>
      <c r="C416" s="92" t="s">
        <v>3574</v>
      </c>
      <c r="D416" s="92" t="s">
        <v>3575</v>
      </c>
      <c r="E416" s="92" t="s">
        <v>3678</v>
      </c>
      <c r="F416" s="88">
        <v>2800</v>
      </c>
      <c r="H416" s="88">
        <v>2800</v>
      </c>
      <c r="I416"/>
      <c r="J416" s="162">
        <v>1786596600934</v>
      </c>
      <c r="K416" s="65"/>
      <c r="L416" s="65"/>
    </row>
    <row r="417" spans="1:12" hidden="1">
      <c r="A417" s="92" t="s">
        <v>162</v>
      </c>
      <c r="B417" s="93">
        <v>46256</v>
      </c>
      <c r="C417" s="92" t="s">
        <v>1435</v>
      </c>
      <c r="D417" s="92" t="s">
        <v>1436</v>
      </c>
      <c r="E417" s="92" t="s">
        <v>3678</v>
      </c>
      <c r="F417" s="88">
        <v>3850</v>
      </c>
      <c r="H417" s="88">
        <v>3850</v>
      </c>
      <c r="I417"/>
      <c r="J417" s="162">
        <v>1787022222698</v>
      </c>
      <c r="K417" s="65"/>
      <c r="L417" s="65"/>
    </row>
    <row r="418" spans="1:12" hidden="1">
      <c r="A418" s="92" t="s">
        <v>162</v>
      </c>
      <c r="B418" s="93">
        <v>46256</v>
      </c>
      <c r="C418" s="92" t="s">
        <v>1433</v>
      </c>
      <c r="D418" s="92" t="s">
        <v>1434</v>
      </c>
      <c r="E418" s="92" t="s">
        <v>3678</v>
      </c>
      <c r="F418" s="88">
        <v>3850</v>
      </c>
      <c r="H418" s="88">
        <v>3850</v>
      </c>
      <c r="I418"/>
      <c r="J418" s="162">
        <v>1786597153745</v>
      </c>
      <c r="K418" s="65"/>
      <c r="L418" s="65"/>
    </row>
    <row r="419" spans="1:12" hidden="1">
      <c r="A419" s="92" t="s">
        <v>162</v>
      </c>
      <c r="B419" s="93">
        <v>46256</v>
      </c>
      <c r="C419" s="92" t="s">
        <v>1548</v>
      </c>
      <c r="D419" s="92" t="s">
        <v>1549</v>
      </c>
      <c r="E419" s="92" t="s">
        <v>3678</v>
      </c>
      <c r="F419" s="88">
        <v>3850</v>
      </c>
      <c r="H419" s="88">
        <v>3850</v>
      </c>
      <c r="I419"/>
      <c r="J419" s="162">
        <v>1786596701980</v>
      </c>
      <c r="K419" s="65"/>
      <c r="L419" s="65"/>
    </row>
    <row r="420" spans="1:12" hidden="1">
      <c r="A420" s="92" t="s">
        <v>162</v>
      </c>
      <c r="B420" s="93">
        <v>46256</v>
      </c>
      <c r="C420" s="92" t="s">
        <v>1686</v>
      </c>
      <c r="D420" s="92" t="s">
        <v>1687</v>
      </c>
      <c r="E420" s="92" t="s">
        <v>3678</v>
      </c>
      <c r="F420" s="88">
        <v>3850</v>
      </c>
      <c r="H420" s="88">
        <v>3850</v>
      </c>
      <c r="I420"/>
      <c r="J420" s="162">
        <v>1786598548038</v>
      </c>
      <c r="K420" s="65"/>
      <c r="L420" s="65"/>
    </row>
    <row r="421" spans="1:12" hidden="1">
      <c r="A421" s="92" t="s">
        <v>162</v>
      </c>
      <c r="B421" s="93">
        <v>46256</v>
      </c>
      <c r="C421" s="92" t="s">
        <v>1656</v>
      </c>
      <c r="D421" s="92" t="s">
        <v>1657</v>
      </c>
      <c r="E421" s="92" t="s">
        <v>3678</v>
      </c>
      <c r="F421" s="88">
        <v>3850</v>
      </c>
      <c r="H421" s="88">
        <v>3850</v>
      </c>
      <c r="I421"/>
      <c r="J421" s="162">
        <v>1786598065408</v>
      </c>
      <c r="K421" s="65"/>
      <c r="L421" s="65"/>
    </row>
    <row r="422" spans="1:12" hidden="1">
      <c r="A422" s="92" t="s">
        <v>162</v>
      </c>
      <c r="B422" s="93">
        <v>46256</v>
      </c>
      <c r="C422" s="92" t="s">
        <v>1401</v>
      </c>
      <c r="D422" s="92" t="s">
        <v>1402</v>
      </c>
      <c r="E422" s="92" t="s">
        <v>3678</v>
      </c>
      <c r="F422" s="88">
        <v>3850</v>
      </c>
      <c r="H422" s="88">
        <v>3850</v>
      </c>
      <c r="I422"/>
      <c r="J422" s="162">
        <v>1786598501966</v>
      </c>
      <c r="K422" s="65"/>
      <c r="L422" s="65"/>
    </row>
    <row r="423" spans="1:12" hidden="1">
      <c r="A423" s="92" t="s">
        <v>162</v>
      </c>
      <c r="B423" s="93">
        <v>46256</v>
      </c>
      <c r="C423" s="92" t="s">
        <v>1409</v>
      </c>
      <c r="D423" s="92" t="s">
        <v>1410</v>
      </c>
      <c r="E423" s="92" t="s">
        <v>3678</v>
      </c>
      <c r="F423" s="88">
        <v>4200</v>
      </c>
      <c r="H423" s="88">
        <v>4200</v>
      </c>
      <c r="I423"/>
      <c r="J423" s="162">
        <v>1786596274708</v>
      </c>
      <c r="K423" s="65"/>
      <c r="L423" s="65"/>
    </row>
    <row r="424" spans="1:12" hidden="1">
      <c r="A424" s="92" t="s">
        <v>162</v>
      </c>
      <c r="B424" s="93">
        <v>46256</v>
      </c>
      <c r="C424" s="92" t="s">
        <v>1627</v>
      </c>
      <c r="D424" s="92" t="s">
        <v>1628</v>
      </c>
      <c r="E424" s="92" t="s">
        <v>3678</v>
      </c>
      <c r="F424" s="88">
        <v>2800</v>
      </c>
      <c r="H424" s="88">
        <v>2800</v>
      </c>
      <c r="I424"/>
      <c r="J424" s="162">
        <v>1786598045360</v>
      </c>
      <c r="K424" s="65"/>
      <c r="L424" s="65"/>
    </row>
    <row r="425" spans="1:12" hidden="1">
      <c r="A425" s="92" t="s">
        <v>180</v>
      </c>
      <c r="B425" s="93">
        <v>46256</v>
      </c>
      <c r="C425" s="92" t="s">
        <v>237</v>
      </c>
      <c r="D425" s="92" t="s">
        <v>238</v>
      </c>
      <c r="E425" s="92" t="s">
        <v>3678</v>
      </c>
      <c r="F425" s="88">
        <v>2800</v>
      </c>
      <c r="H425" s="88">
        <v>2800</v>
      </c>
      <c r="I425"/>
      <c r="J425" s="162">
        <v>1786598116484</v>
      </c>
      <c r="K425" s="65"/>
      <c r="L425" s="65"/>
    </row>
    <row r="426" spans="1:12" hidden="1">
      <c r="A426" s="92" t="s">
        <v>162</v>
      </c>
      <c r="B426" s="93">
        <v>46256</v>
      </c>
      <c r="C426" s="92" t="s">
        <v>1528</v>
      </c>
      <c r="D426" s="92" t="s">
        <v>1529</v>
      </c>
      <c r="E426" s="92" t="s">
        <v>3678</v>
      </c>
      <c r="F426" s="88">
        <v>2800</v>
      </c>
      <c r="H426" s="88">
        <v>2800</v>
      </c>
      <c r="I426"/>
      <c r="J426" s="162">
        <v>1786597502507</v>
      </c>
      <c r="K426" s="65"/>
      <c r="L426" s="65"/>
    </row>
    <row r="427" spans="1:12" hidden="1">
      <c r="A427" s="92" t="s">
        <v>172</v>
      </c>
      <c r="B427" s="93">
        <v>46256</v>
      </c>
      <c r="C427" s="92" t="s">
        <v>3576</v>
      </c>
      <c r="D427" s="92" t="s">
        <v>3577</v>
      </c>
      <c r="E427" s="92" t="s">
        <v>3678</v>
      </c>
      <c r="F427" s="88">
        <v>2800</v>
      </c>
      <c r="H427" s="88">
        <v>2800</v>
      </c>
      <c r="I427"/>
      <c r="J427" s="162">
        <v>1786596437896</v>
      </c>
      <c r="K427" s="65"/>
      <c r="L427" s="65"/>
    </row>
    <row r="428" spans="1:12" hidden="1">
      <c r="A428" s="92" t="s">
        <v>162</v>
      </c>
      <c r="B428" s="93">
        <v>46256</v>
      </c>
      <c r="C428" s="92" t="s">
        <v>1917</v>
      </c>
      <c r="D428" s="92" t="s">
        <v>1918</v>
      </c>
      <c r="E428" s="92" t="s">
        <v>3678</v>
      </c>
      <c r="F428" s="88">
        <v>3850</v>
      </c>
      <c r="H428" s="88">
        <v>3850</v>
      </c>
      <c r="I428"/>
      <c r="J428" s="162">
        <v>1786598219865</v>
      </c>
      <c r="K428" s="65"/>
      <c r="L428" s="65"/>
    </row>
    <row r="429" spans="1:12" hidden="1">
      <c r="A429" s="92" t="s">
        <v>180</v>
      </c>
      <c r="B429" s="93">
        <v>46256</v>
      </c>
      <c r="C429" s="92" t="s">
        <v>3440</v>
      </c>
      <c r="D429" s="92" t="s">
        <v>3441</v>
      </c>
      <c r="E429" s="92" t="s">
        <v>3678</v>
      </c>
      <c r="F429" s="88">
        <v>3850</v>
      </c>
      <c r="H429" s="88">
        <v>3850</v>
      </c>
      <c r="I429"/>
      <c r="J429" s="162">
        <v>1786597120908</v>
      </c>
      <c r="K429" s="65"/>
      <c r="L429" s="65"/>
    </row>
    <row r="430" spans="1:12" hidden="1">
      <c r="A430" s="92" t="s">
        <v>162</v>
      </c>
      <c r="B430" s="93">
        <v>46256</v>
      </c>
      <c r="C430" s="92" t="s">
        <v>1356</v>
      </c>
      <c r="D430" s="92" t="s">
        <v>1357</v>
      </c>
      <c r="E430" s="92" t="s">
        <v>3678</v>
      </c>
      <c r="F430" s="88">
        <v>3850</v>
      </c>
      <c r="H430" s="88">
        <v>3850</v>
      </c>
      <c r="I430"/>
      <c r="J430" s="162">
        <v>1786765529345</v>
      </c>
      <c r="K430" s="65"/>
      <c r="L430" s="65"/>
    </row>
    <row r="431" spans="1:12" hidden="1">
      <c r="A431" s="92" t="s">
        <v>172</v>
      </c>
      <c r="B431" s="93">
        <v>46256</v>
      </c>
      <c r="C431" s="92" t="s">
        <v>381</v>
      </c>
      <c r="D431" s="92" t="s">
        <v>382</v>
      </c>
      <c r="E431" s="92" t="s">
        <v>3678</v>
      </c>
      <c r="F431" s="88">
        <v>4000</v>
      </c>
      <c r="H431" s="88">
        <v>4000</v>
      </c>
      <c r="I431"/>
      <c r="J431" s="162">
        <v>1786596745143</v>
      </c>
      <c r="K431" s="65"/>
      <c r="L431" s="65"/>
    </row>
    <row r="432" spans="1:12" hidden="1">
      <c r="A432" s="92" t="s">
        <v>172</v>
      </c>
      <c r="B432" s="93">
        <v>46256</v>
      </c>
      <c r="C432" s="92" t="s">
        <v>3066</v>
      </c>
      <c r="D432" s="92" t="s">
        <v>3067</v>
      </c>
      <c r="E432" s="92" t="s">
        <v>3678</v>
      </c>
      <c r="F432" s="88">
        <v>4000</v>
      </c>
      <c r="H432" s="88">
        <v>4000</v>
      </c>
      <c r="I432"/>
      <c r="J432" s="162">
        <v>1786598482296</v>
      </c>
      <c r="K432" s="65"/>
      <c r="L432" s="65"/>
    </row>
    <row r="433" spans="1:12" hidden="1">
      <c r="A433" s="92" t="s">
        <v>162</v>
      </c>
      <c r="B433" s="93">
        <v>46256</v>
      </c>
      <c r="C433" s="92" t="s">
        <v>1623</v>
      </c>
      <c r="D433" s="92" t="s">
        <v>1624</v>
      </c>
      <c r="E433" s="92" t="s">
        <v>3678</v>
      </c>
      <c r="F433" s="88">
        <v>4000</v>
      </c>
      <c r="H433" s="88">
        <v>4000</v>
      </c>
      <c r="I433"/>
      <c r="J433" s="162">
        <v>1787361189324</v>
      </c>
      <c r="K433" s="65"/>
      <c r="L433" s="65"/>
    </row>
    <row r="434" spans="1:12" hidden="1">
      <c r="A434" s="92" t="s">
        <v>162</v>
      </c>
      <c r="B434" s="93">
        <v>46256</v>
      </c>
      <c r="C434" s="92" t="s">
        <v>1680</v>
      </c>
      <c r="D434" s="92" t="s">
        <v>1681</v>
      </c>
      <c r="E434" s="92" t="s">
        <v>3678</v>
      </c>
      <c r="F434" s="88">
        <v>3850</v>
      </c>
      <c r="H434" s="88">
        <v>3850</v>
      </c>
      <c r="I434"/>
      <c r="J434" s="162">
        <v>1786596548242</v>
      </c>
      <c r="K434" s="65"/>
      <c r="L434" s="65"/>
    </row>
    <row r="435" spans="1:12" hidden="1">
      <c r="A435" s="92" t="s">
        <v>162</v>
      </c>
      <c r="B435" s="93">
        <v>46256</v>
      </c>
      <c r="C435" s="92" t="s">
        <v>1911</v>
      </c>
      <c r="D435" s="92" t="s">
        <v>1912</v>
      </c>
      <c r="E435" s="92" t="s">
        <v>3678</v>
      </c>
      <c r="F435" s="88">
        <v>3850</v>
      </c>
      <c r="H435" s="88">
        <v>3850</v>
      </c>
      <c r="I435"/>
      <c r="J435" s="162">
        <v>1786597428652</v>
      </c>
      <c r="K435" s="65"/>
      <c r="L435" s="65"/>
    </row>
    <row r="436" spans="1:12" hidden="1">
      <c r="A436" s="92" t="s">
        <v>162</v>
      </c>
      <c r="B436" s="93">
        <v>46256</v>
      </c>
      <c r="C436" s="92" t="s">
        <v>529</v>
      </c>
      <c r="D436" s="92" t="s">
        <v>530</v>
      </c>
      <c r="E436" s="92" t="s">
        <v>3678</v>
      </c>
      <c r="F436" s="88">
        <v>3850</v>
      </c>
      <c r="H436" s="88">
        <v>3850</v>
      </c>
      <c r="I436"/>
      <c r="J436" s="162">
        <v>1786597472705</v>
      </c>
      <c r="K436" s="65"/>
      <c r="L436" s="65"/>
    </row>
    <row r="437" spans="1:12" hidden="1">
      <c r="A437" s="92" t="s">
        <v>162</v>
      </c>
      <c r="B437" s="93">
        <v>46256</v>
      </c>
      <c r="C437" s="92" t="s">
        <v>1651</v>
      </c>
      <c r="D437" s="92" t="s">
        <v>1652</v>
      </c>
      <c r="E437" s="92" t="s">
        <v>3678</v>
      </c>
      <c r="F437" s="88">
        <v>4200</v>
      </c>
      <c r="H437" s="88">
        <v>4200</v>
      </c>
      <c r="I437"/>
      <c r="J437" s="162">
        <v>1786597517746</v>
      </c>
      <c r="K437" s="65"/>
      <c r="L437" s="65"/>
    </row>
    <row r="438" spans="1:12" hidden="1">
      <c r="A438" s="92" t="s">
        <v>162</v>
      </c>
      <c r="B438" s="93">
        <v>46256</v>
      </c>
      <c r="C438" s="92" t="s">
        <v>1668</v>
      </c>
      <c r="D438" s="92" t="s">
        <v>1669</v>
      </c>
      <c r="E438" s="92" t="s">
        <v>3678</v>
      </c>
      <c r="F438" s="88">
        <v>2800</v>
      </c>
      <c r="H438" s="88">
        <v>2800</v>
      </c>
      <c r="I438"/>
      <c r="J438" s="162">
        <v>1786597922333</v>
      </c>
      <c r="K438" s="65"/>
      <c r="L438" s="65"/>
    </row>
    <row r="439" spans="1:12" hidden="1">
      <c r="A439" s="92" t="s">
        <v>162</v>
      </c>
      <c r="B439" s="93">
        <v>46256</v>
      </c>
      <c r="C439" s="92" t="s">
        <v>2001</v>
      </c>
      <c r="D439" s="92" t="s">
        <v>2002</v>
      </c>
      <c r="E439" s="92" t="s">
        <v>3678</v>
      </c>
      <c r="F439" s="88">
        <v>3850</v>
      </c>
      <c r="H439" s="88">
        <v>3850</v>
      </c>
      <c r="I439"/>
      <c r="J439" s="162">
        <v>1787365579012</v>
      </c>
      <c r="K439" s="65"/>
      <c r="L439" s="65"/>
    </row>
    <row r="440" spans="1:12" hidden="1">
      <c r="A440" s="92" t="s">
        <v>162</v>
      </c>
      <c r="B440" s="93">
        <v>46256</v>
      </c>
      <c r="C440" s="92" t="s">
        <v>1472</v>
      </c>
      <c r="D440" s="92" t="s">
        <v>1473</v>
      </c>
      <c r="E440" s="92" t="s">
        <v>3678</v>
      </c>
      <c r="F440" s="88">
        <v>3850</v>
      </c>
      <c r="H440" s="88">
        <v>3850</v>
      </c>
      <c r="I440"/>
      <c r="J440" s="162">
        <v>1786598489551</v>
      </c>
      <c r="K440" s="65"/>
      <c r="L440" s="65"/>
    </row>
    <row r="441" spans="1:12" hidden="1">
      <c r="A441" s="92" t="s">
        <v>162</v>
      </c>
      <c r="B441" s="93">
        <v>46256</v>
      </c>
      <c r="C441" s="92" t="s">
        <v>1641</v>
      </c>
      <c r="D441" s="92" t="s">
        <v>1642</v>
      </c>
      <c r="E441" s="92" t="s">
        <v>3678</v>
      </c>
      <c r="F441" s="88">
        <v>2800</v>
      </c>
      <c r="H441" s="88">
        <v>2800</v>
      </c>
      <c r="I441"/>
      <c r="J441" s="162">
        <v>1786596509623</v>
      </c>
      <c r="K441" s="65"/>
      <c r="L441" s="65"/>
    </row>
    <row r="442" spans="1:12" hidden="1">
      <c r="A442" s="92" t="s">
        <v>162</v>
      </c>
      <c r="B442" s="93">
        <v>46256</v>
      </c>
      <c r="C442" s="92" t="s">
        <v>1641</v>
      </c>
      <c r="D442" s="92" t="s">
        <v>1642</v>
      </c>
      <c r="E442" s="92" t="s">
        <v>3678</v>
      </c>
      <c r="F442" s="88">
        <v>653</v>
      </c>
      <c r="H442" s="88">
        <v>653</v>
      </c>
      <c r="I442"/>
      <c r="J442" s="162">
        <v>1786596509623</v>
      </c>
      <c r="K442" s="65"/>
      <c r="L442" s="65"/>
    </row>
    <row r="443" spans="1:12" hidden="1">
      <c r="A443" s="92" t="s">
        <v>172</v>
      </c>
      <c r="B443" s="93">
        <v>46256</v>
      </c>
      <c r="C443" s="92" t="s">
        <v>476</v>
      </c>
      <c r="D443" s="92" t="s">
        <v>477</v>
      </c>
      <c r="E443" s="92" t="s">
        <v>3678</v>
      </c>
      <c r="F443" s="88">
        <v>2800</v>
      </c>
      <c r="H443" s="88">
        <v>2800</v>
      </c>
      <c r="I443"/>
      <c r="J443" s="162">
        <v>1786597531960</v>
      </c>
      <c r="K443" s="65"/>
      <c r="L443" s="65"/>
    </row>
    <row r="444" spans="1:12" hidden="1">
      <c r="A444" s="92" t="s">
        <v>172</v>
      </c>
      <c r="B444" s="93">
        <v>46256</v>
      </c>
      <c r="C444" s="92" t="s">
        <v>3307</v>
      </c>
      <c r="D444" s="92" t="s">
        <v>3308</v>
      </c>
      <c r="E444" s="92" t="s">
        <v>3678</v>
      </c>
      <c r="F444" s="88">
        <v>4000</v>
      </c>
      <c r="H444" s="88">
        <v>4000</v>
      </c>
      <c r="I444"/>
      <c r="J444" s="162">
        <v>1786597543662</v>
      </c>
      <c r="K444" s="65"/>
      <c r="L444" s="65"/>
    </row>
    <row r="445" spans="1:12" hidden="1">
      <c r="A445" s="92" t="s">
        <v>162</v>
      </c>
      <c r="B445" s="93">
        <v>46257</v>
      </c>
      <c r="C445" s="92" t="s">
        <v>1692</v>
      </c>
      <c r="D445" s="92" t="s">
        <v>1693</v>
      </c>
      <c r="E445" s="92" t="s">
        <v>3678</v>
      </c>
      <c r="F445" s="88">
        <v>2800</v>
      </c>
      <c r="H445" s="88">
        <v>2800</v>
      </c>
      <c r="I445"/>
      <c r="J445" s="162">
        <v>1786597609329</v>
      </c>
      <c r="K445" s="65"/>
      <c r="L445" s="65"/>
    </row>
    <row r="446" spans="1:12" hidden="1">
      <c r="A446" s="92" t="s">
        <v>172</v>
      </c>
      <c r="B446" s="93">
        <v>46257</v>
      </c>
      <c r="C446" s="92" t="s">
        <v>2859</v>
      </c>
      <c r="D446" s="92" t="s">
        <v>2860</v>
      </c>
      <c r="E446" s="92" t="s">
        <v>3678</v>
      </c>
      <c r="F446" s="88">
        <v>3850</v>
      </c>
      <c r="H446" s="88">
        <v>3850</v>
      </c>
      <c r="I446"/>
      <c r="J446" s="162">
        <v>1786598659299</v>
      </c>
      <c r="K446" s="65"/>
      <c r="L446" s="65"/>
    </row>
    <row r="447" spans="1:12" hidden="1">
      <c r="A447" s="92" t="s">
        <v>180</v>
      </c>
      <c r="B447" s="93">
        <v>46257</v>
      </c>
      <c r="C447" s="92" t="s">
        <v>3047</v>
      </c>
      <c r="D447" s="92" t="s">
        <v>3048</v>
      </c>
      <c r="E447" s="92" t="s">
        <v>3678</v>
      </c>
      <c r="F447" s="88">
        <v>4000</v>
      </c>
      <c r="H447" s="88">
        <v>4000</v>
      </c>
      <c r="I447"/>
      <c r="J447" s="162">
        <v>1787360724696</v>
      </c>
      <c r="K447" s="65"/>
      <c r="L447" s="65"/>
    </row>
    <row r="448" spans="1:12" hidden="1">
      <c r="A448" s="92" t="s">
        <v>162</v>
      </c>
      <c r="B448" s="93">
        <v>46257</v>
      </c>
      <c r="C448" s="92" t="s">
        <v>1664</v>
      </c>
      <c r="D448" s="92" t="s">
        <v>1665</v>
      </c>
      <c r="E448" s="92" t="s">
        <v>3678</v>
      </c>
      <c r="F448" s="88">
        <v>1368</v>
      </c>
      <c r="H448" s="88">
        <v>1368</v>
      </c>
      <c r="I448"/>
      <c r="J448" s="162">
        <v>1786598039945</v>
      </c>
      <c r="K448" s="65"/>
      <c r="L448" s="65"/>
    </row>
    <row r="449" spans="1:12" hidden="1">
      <c r="A449" s="92" t="s">
        <v>162</v>
      </c>
      <c r="B449" s="93">
        <v>46257</v>
      </c>
      <c r="C449" s="92" t="s">
        <v>1959</v>
      </c>
      <c r="D449" s="92" t="s">
        <v>1960</v>
      </c>
      <c r="E449" s="92" t="s">
        <v>3678</v>
      </c>
      <c r="F449" s="88">
        <v>2800</v>
      </c>
      <c r="H449" s="88">
        <v>2800</v>
      </c>
      <c r="I449"/>
      <c r="J449" s="162">
        <v>1787365675424</v>
      </c>
      <c r="K449" s="65"/>
      <c r="L449" s="65"/>
    </row>
    <row r="450" spans="1:12" hidden="1">
      <c r="A450" s="92" t="s">
        <v>162</v>
      </c>
      <c r="B450" s="93">
        <v>46257</v>
      </c>
      <c r="C450" s="92" t="s">
        <v>1759</v>
      </c>
      <c r="D450" s="92" t="s">
        <v>1760</v>
      </c>
      <c r="E450" s="92" t="s">
        <v>3678</v>
      </c>
      <c r="F450" s="88">
        <v>2800</v>
      </c>
      <c r="H450" s="88">
        <v>2800</v>
      </c>
      <c r="I450"/>
      <c r="J450" s="162">
        <v>1786597983322</v>
      </c>
      <c r="K450" s="65"/>
      <c r="L450" s="65"/>
    </row>
    <row r="451" spans="1:12" hidden="1">
      <c r="A451" s="92" t="s">
        <v>162</v>
      </c>
      <c r="B451" s="93">
        <v>46257</v>
      </c>
      <c r="C451" s="92" t="s">
        <v>2034</v>
      </c>
      <c r="D451" s="92" t="s">
        <v>2035</v>
      </c>
      <c r="E451" s="92" t="s">
        <v>3678</v>
      </c>
      <c r="F451" s="88">
        <v>3850</v>
      </c>
      <c r="H451" s="88">
        <v>3850</v>
      </c>
      <c r="I451"/>
      <c r="J451" s="162">
        <v>1787391713034</v>
      </c>
      <c r="K451" s="65"/>
      <c r="L451" s="65"/>
    </row>
    <row r="452" spans="1:12" hidden="1">
      <c r="A452" s="92" t="s">
        <v>180</v>
      </c>
      <c r="B452" s="93">
        <v>46257</v>
      </c>
      <c r="C452" s="92" t="s">
        <v>2865</v>
      </c>
      <c r="D452" s="92" t="s">
        <v>2866</v>
      </c>
      <c r="E452" s="92" t="s">
        <v>3678</v>
      </c>
      <c r="F452" s="88">
        <v>4000</v>
      </c>
      <c r="H452" s="88">
        <v>4000</v>
      </c>
      <c r="I452"/>
      <c r="J452" s="162">
        <v>1786598647456</v>
      </c>
      <c r="K452" s="65"/>
      <c r="L452" s="65"/>
    </row>
    <row r="453" spans="1:12" hidden="1">
      <c r="A453" s="92" t="s">
        <v>162</v>
      </c>
      <c r="B453" s="93">
        <v>46257</v>
      </c>
      <c r="C453" s="92" t="s">
        <v>1405</v>
      </c>
      <c r="D453" s="92" t="s">
        <v>1406</v>
      </c>
      <c r="E453" s="92" t="s">
        <v>3678</v>
      </c>
      <c r="F453" s="88">
        <v>3850</v>
      </c>
      <c r="H453" s="88">
        <v>3850</v>
      </c>
      <c r="I453"/>
      <c r="J453" s="162">
        <v>1786598451490</v>
      </c>
      <c r="K453" s="65"/>
      <c r="L453" s="65"/>
    </row>
    <row r="454" spans="1:12" hidden="1">
      <c r="A454" s="92" t="s">
        <v>162</v>
      </c>
      <c r="B454" s="93">
        <v>46257</v>
      </c>
      <c r="C454" s="92" t="s">
        <v>1717</v>
      </c>
      <c r="D454" s="92" t="s">
        <v>1718</v>
      </c>
      <c r="E454" s="92" t="s">
        <v>3678</v>
      </c>
      <c r="F454" s="88">
        <v>2800</v>
      </c>
      <c r="H454" s="88">
        <v>2800</v>
      </c>
      <c r="I454"/>
      <c r="J454" s="162">
        <v>1786597922110</v>
      </c>
      <c r="K454" s="65"/>
      <c r="L454" s="65"/>
    </row>
    <row r="455" spans="1:12" hidden="1">
      <c r="A455" s="92" t="s">
        <v>172</v>
      </c>
      <c r="B455" s="93">
        <v>46257</v>
      </c>
      <c r="C455" s="92" t="s">
        <v>2863</v>
      </c>
      <c r="D455" s="92" t="s">
        <v>2864</v>
      </c>
      <c r="E455" s="92" t="s">
        <v>3678</v>
      </c>
      <c r="F455" s="88">
        <v>2800</v>
      </c>
      <c r="H455" s="88">
        <v>2800</v>
      </c>
      <c r="I455"/>
      <c r="J455" s="162">
        <v>1786598636245</v>
      </c>
      <c r="K455" s="65"/>
      <c r="L455" s="65"/>
    </row>
    <row r="456" spans="1:12" hidden="1">
      <c r="A456" s="92" t="s">
        <v>162</v>
      </c>
      <c r="B456" s="93">
        <v>46257</v>
      </c>
      <c r="C456" s="92" t="s">
        <v>1868</v>
      </c>
      <c r="D456" s="92" t="s">
        <v>1869</v>
      </c>
      <c r="E456" s="92" t="s">
        <v>3678</v>
      </c>
      <c r="F456" s="88">
        <v>2800</v>
      </c>
      <c r="H456" s="88">
        <v>2800</v>
      </c>
      <c r="I456"/>
      <c r="J456" s="162">
        <v>1786597462161</v>
      </c>
      <c r="K456" s="65"/>
      <c r="L456" s="65"/>
    </row>
    <row r="457" spans="1:12" hidden="1">
      <c r="A457" s="92" t="s">
        <v>162</v>
      </c>
      <c r="B457" s="93">
        <v>46257</v>
      </c>
      <c r="C457" s="92" t="s">
        <v>1874</v>
      </c>
      <c r="D457" s="92" t="s">
        <v>1875</v>
      </c>
      <c r="E457" s="92" t="s">
        <v>3678</v>
      </c>
      <c r="F457" s="88">
        <v>4200</v>
      </c>
      <c r="H457" s="88">
        <v>4200</v>
      </c>
      <c r="I457"/>
      <c r="J457" s="162">
        <v>1786597539531</v>
      </c>
      <c r="K457" s="65"/>
      <c r="L457" s="65"/>
    </row>
    <row r="458" spans="1:12" hidden="1">
      <c r="A458" s="92" t="s">
        <v>162</v>
      </c>
      <c r="B458" s="93">
        <v>46257</v>
      </c>
      <c r="C458" s="92" t="s">
        <v>1757</v>
      </c>
      <c r="D458" s="92" t="s">
        <v>1758</v>
      </c>
      <c r="E458" s="92" t="s">
        <v>3678</v>
      </c>
      <c r="F458" s="88">
        <v>2800</v>
      </c>
      <c r="H458" s="88">
        <v>2800</v>
      </c>
      <c r="I458"/>
      <c r="J458" s="162">
        <v>1786597807595</v>
      </c>
      <c r="K458" s="65"/>
      <c r="L458" s="65"/>
    </row>
    <row r="459" spans="1:12" hidden="1">
      <c r="A459" s="92" t="s">
        <v>172</v>
      </c>
      <c r="B459" s="93">
        <v>46257</v>
      </c>
      <c r="C459" s="92" t="s">
        <v>1984</v>
      </c>
      <c r="D459" s="92" t="s">
        <v>1985</v>
      </c>
      <c r="E459" s="92" t="s">
        <v>3678</v>
      </c>
      <c r="F459" s="88">
        <v>2800</v>
      </c>
      <c r="H459" s="88">
        <v>2800</v>
      </c>
      <c r="I459"/>
      <c r="J459" s="162">
        <v>1786598354173</v>
      </c>
      <c r="K459" s="65"/>
      <c r="L459" s="65"/>
    </row>
    <row r="460" spans="1:12" hidden="1">
      <c r="A460" s="92" t="s">
        <v>162</v>
      </c>
      <c r="B460" s="93">
        <v>46257</v>
      </c>
      <c r="C460" s="92" t="s">
        <v>1961</v>
      </c>
      <c r="D460" s="92" t="s">
        <v>1962</v>
      </c>
      <c r="E460" s="92" t="s">
        <v>3678</v>
      </c>
      <c r="F460" s="88">
        <v>3850</v>
      </c>
      <c r="H460" s="88">
        <v>3850</v>
      </c>
      <c r="I460"/>
      <c r="J460" s="162">
        <v>1786596918650</v>
      </c>
      <c r="K460" s="65"/>
      <c r="L460" s="65"/>
    </row>
    <row r="461" spans="1:12" hidden="1">
      <c r="A461" s="92" t="s">
        <v>180</v>
      </c>
      <c r="B461" s="93">
        <v>46257</v>
      </c>
      <c r="C461" s="92" t="s">
        <v>347</v>
      </c>
      <c r="D461" s="92" t="s">
        <v>348</v>
      </c>
      <c r="E461" s="92" t="s">
        <v>3678</v>
      </c>
      <c r="F461" s="88">
        <v>3850</v>
      </c>
      <c r="H461" s="88">
        <v>3850</v>
      </c>
      <c r="I461"/>
      <c r="J461" s="162">
        <v>1786596925659</v>
      </c>
      <c r="K461" s="65"/>
      <c r="L461" s="65"/>
    </row>
    <row r="462" spans="1:12" hidden="1">
      <c r="A462" s="92" t="s">
        <v>162</v>
      </c>
      <c r="B462" s="93">
        <v>46257</v>
      </c>
      <c r="C462" s="92" t="s">
        <v>1468</v>
      </c>
      <c r="D462" s="92" t="s">
        <v>1469</v>
      </c>
      <c r="E462" s="92" t="s">
        <v>3678</v>
      </c>
      <c r="F462" s="88">
        <v>3850</v>
      </c>
      <c r="H462" s="88">
        <v>3850</v>
      </c>
      <c r="I462"/>
      <c r="J462" s="162">
        <v>1787405443369</v>
      </c>
      <c r="K462" s="65"/>
      <c r="L462" s="65"/>
    </row>
    <row r="463" spans="1:12" hidden="1">
      <c r="A463" s="92" t="s">
        <v>162</v>
      </c>
      <c r="B463" s="93">
        <v>46257</v>
      </c>
      <c r="C463" s="92" t="s">
        <v>1931</v>
      </c>
      <c r="D463" s="92" t="s">
        <v>1932</v>
      </c>
      <c r="E463" s="92" t="s">
        <v>3678</v>
      </c>
      <c r="F463" s="88">
        <v>3850</v>
      </c>
      <c r="H463" s="88">
        <v>3850</v>
      </c>
      <c r="I463"/>
      <c r="J463" s="162">
        <v>1786596464329</v>
      </c>
      <c r="K463" s="65"/>
      <c r="L463" s="65"/>
    </row>
    <row r="464" spans="1:12" hidden="1">
      <c r="A464" s="92" t="s">
        <v>162</v>
      </c>
      <c r="B464" s="93">
        <v>46257</v>
      </c>
      <c r="C464" s="92" t="s">
        <v>1670</v>
      </c>
      <c r="D464" s="92" t="s">
        <v>1671</v>
      </c>
      <c r="E464" s="92" t="s">
        <v>3678</v>
      </c>
      <c r="F464" s="88">
        <v>2800</v>
      </c>
      <c r="H464" s="88">
        <v>2800</v>
      </c>
      <c r="I464"/>
      <c r="J464" s="162">
        <v>1786597024477</v>
      </c>
      <c r="K464" s="65"/>
      <c r="L464" s="65"/>
    </row>
    <row r="465" spans="1:12" hidden="1">
      <c r="A465" s="92" t="s">
        <v>162</v>
      </c>
      <c r="B465" s="93">
        <v>46257</v>
      </c>
      <c r="C465" s="92" t="s">
        <v>1470</v>
      </c>
      <c r="D465" s="92" t="s">
        <v>1471</v>
      </c>
      <c r="E465" s="92" t="s">
        <v>3678</v>
      </c>
      <c r="F465" s="88">
        <v>3850</v>
      </c>
      <c r="H465" s="88">
        <v>3850</v>
      </c>
      <c r="I465"/>
      <c r="J465" s="162">
        <v>1786597701748</v>
      </c>
      <c r="K465" s="65"/>
      <c r="L465" s="65"/>
    </row>
    <row r="466" spans="1:12" hidden="1">
      <c r="A466" s="92" t="s">
        <v>162</v>
      </c>
      <c r="B466" s="93">
        <v>46257</v>
      </c>
      <c r="C466" s="92" t="s">
        <v>1806</v>
      </c>
      <c r="D466" s="92" t="s">
        <v>1807</v>
      </c>
      <c r="E466" s="92" t="s">
        <v>3678</v>
      </c>
      <c r="F466" s="88">
        <v>2800</v>
      </c>
      <c r="H466" s="88">
        <v>2800</v>
      </c>
      <c r="I466"/>
      <c r="J466" s="162">
        <v>1786598080482</v>
      </c>
      <c r="K466" s="65"/>
      <c r="L466" s="65"/>
    </row>
    <row r="467" spans="1:12">
      <c r="A467" s="92" t="s">
        <v>162</v>
      </c>
      <c r="B467" s="93">
        <v>46257</v>
      </c>
      <c r="C467" s="92" t="s">
        <v>1672</v>
      </c>
      <c r="D467" s="92" t="s">
        <v>1673</v>
      </c>
      <c r="E467" s="92" t="s">
        <v>3677</v>
      </c>
      <c r="F467" s="88">
        <v>2000</v>
      </c>
      <c r="H467" s="88">
        <v>2000</v>
      </c>
      <c r="I467" s="65" t="s">
        <v>107</v>
      </c>
      <c r="J467" s="162">
        <v>1787131582954</v>
      </c>
      <c r="K467" s="65"/>
      <c r="L467" s="65"/>
    </row>
    <row r="468" spans="1:12" hidden="1">
      <c r="A468" s="92" t="s">
        <v>180</v>
      </c>
      <c r="B468" s="93">
        <v>46257</v>
      </c>
      <c r="C468" s="92" t="s">
        <v>349</v>
      </c>
      <c r="D468" s="92" t="s">
        <v>350</v>
      </c>
      <c r="E468" s="92" t="s">
        <v>3678</v>
      </c>
      <c r="F468" s="88">
        <v>2800</v>
      </c>
      <c r="H468" s="88">
        <v>2800</v>
      </c>
      <c r="I468"/>
      <c r="J468" s="162">
        <v>1786596742448</v>
      </c>
      <c r="K468" s="65"/>
      <c r="L468" s="65"/>
    </row>
    <row r="469" spans="1:12" hidden="1">
      <c r="A469" s="92" t="s">
        <v>180</v>
      </c>
      <c r="B469" s="93">
        <v>46257</v>
      </c>
      <c r="C469" s="92" t="s">
        <v>2103</v>
      </c>
      <c r="D469" s="92" t="s">
        <v>2104</v>
      </c>
      <c r="E469" s="92" t="s">
        <v>3678</v>
      </c>
      <c r="F469" s="88">
        <v>4000</v>
      </c>
      <c r="H469" s="88">
        <v>4000</v>
      </c>
      <c r="I469"/>
      <c r="J469" s="162">
        <v>1786597014343</v>
      </c>
      <c r="K469" s="65"/>
      <c r="L469" s="65"/>
    </row>
    <row r="470" spans="1:12" hidden="1">
      <c r="A470" s="92" t="s">
        <v>172</v>
      </c>
      <c r="B470" s="93">
        <v>46257</v>
      </c>
      <c r="C470" s="92" t="s">
        <v>1262</v>
      </c>
      <c r="D470" s="92" t="s">
        <v>1263</v>
      </c>
      <c r="E470" s="92" t="s">
        <v>3678</v>
      </c>
      <c r="F470" s="88">
        <v>4000</v>
      </c>
      <c r="H470" s="88">
        <v>4000</v>
      </c>
      <c r="I470"/>
      <c r="J470" s="162">
        <v>1786596634932</v>
      </c>
      <c r="K470" s="65"/>
      <c r="L470" s="65"/>
    </row>
    <row r="471" spans="1:12" hidden="1">
      <c r="A471" s="92" t="s">
        <v>180</v>
      </c>
      <c r="B471" s="93">
        <v>46257</v>
      </c>
      <c r="C471" s="92" t="s">
        <v>3578</v>
      </c>
      <c r="D471" s="92" t="s">
        <v>3579</v>
      </c>
      <c r="E471" s="92" t="s">
        <v>3678</v>
      </c>
      <c r="F471" s="88">
        <v>3850</v>
      </c>
      <c r="H471" s="88">
        <v>3850</v>
      </c>
      <c r="I471"/>
      <c r="J471" s="162">
        <v>1786598568090</v>
      </c>
      <c r="K471" s="65"/>
      <c r="L471" s="65"/>
    </row>
    <row r="472" spans="1:12" hidden="1">
      <c r="A472" s="92" t="s">
        <v>162</v>
      </c>
      <c r="B472" s="93">
        <v>46257</v>
      </c>
      <c r="C472" s="92" t="s">
        <v>3580</v>
      </c>
      <c r="D472" s="92" t="s">
        <v>450</v>
      </c>
      <c r="E472" s="92" t="s">
        <v>3678</v>
      </c>
      <c r="F472" s="88">
        <v>3850</v>
      </c>
      <c r="H472" s="88">
        <v>3850</v>
      </c>
      <c r="I472"/>
      <c r="J472" s="162">
        <v>1786674602344</v>
      </c>
      <c r="K472" s="65"/>
      <c r="L472" s="65"/>
    </row>
    <row r="473" spans="1:12" hidden="1">
      <c r="A473" s="92" t="s">
        <v>162</v>
      </c>
      <c r="B473" s="93">
        <v>46257</v>
      </c>
      <c r="C473" s="92" t="s">
        <v>1921</v>
      </c>
      <c r="D473" s="92" t="s">
        <v>1922</v>
      </c>
      <c r="E473" s="92" t="s">
        <v>3678</v>
      </c>
      <c r="F473" s="88">
        <v>4000</v>
      </c>
      <c r="H473" s="88">
        <v>4000</v>
      </c>
      <c r="I473"/>
      <c r="J473" s="162">
        <v>1786597419250</v>
      </c>
      <c r="K473" s="65"/>
      <c r="L473" s="65"/>
    </row>
    <row r="474" spans="1:12" hidden="1">
      <c r="A474" s="92" t="s">
        <v>172</v>
      </c>
      <c r="B474" s="93">
        <v>46257</v>
      </c>
      <c r="C474" s="92" t="s">
        <v>2904</v>
      </c>
      <c r="D474" s="92" t="s">
        <v>2905</v>
      </c>
      <c r="E474" s="92" t="s">
        <v>3678</v>
      </c>
      <c r="F474" s="88">
        <v>3850</v>
      </c>
      <c r="H474" s="88">
        <v>3850</v>
      </c>
      <c r="I474"/>
      <c r="J474" s="162">
        <v>1786597753232</v>
      </c>
      <c r="K474" s="65"/>
      <c r="L474" s="65"/>
    </row>
    <row r="475" spans="1:12" hidden="1">
      <c r="A475" s="92" t="s">
        <v>162</v>
      </c>
      <c r="B475" s="93">
        <v>46257</v>
      </c>
      <c r="C475" s="92" t="s">
        <v>1783</v>
      </c>
      <c r="D475" s="92" t="s">
        <v>1784</v>
      </c>
      <c r="E475" s="92" t="s">
        <v>3678</v>
      </c>
      <c r="F475" s="88">
        <v>2800</v>
      </c>
      <c r="H475" s="88">
        <v>2800</v>
      </c>
      <c r="I475"/>
      <c r="J475" s="162">
        <v>1786598602641</v>
      </c>
      <c r="K475" s="65"/>
      <c r="L475" s="65"/>
    </row>
    <row r="476" spans="1:12">
      <c r="A476" s="92" t="s">
        <v>180</v>
      </c>
      <c r="B476" s="93">
        <v>46257</v>
      </c>
      <c r="C476" s="92" t="s">
        <v>3581</v>
      </c>
      <c r="D476" s="92" t="s">
        <v>3582</v>
      </c>
      <c r="E476" s="92" t="s">
        <v>3677</v>
      </c>
      <c r="F476" s="88">
        <v>3000</v>
      </c>
      <c r="H476" s="88">
        <v>3000</v>
      </c>
      <c r="I476" s="65" t="s">
        <v>4089</v>
      </c>
      <c r="J476" s="162">
        <v>1787373370514</v>
      </c>
      <c r="K476" s="65"/>
      <c r="L476" s="65"/>
    </row>
    <row r="477" spans="1:12" hidden="1">
      <c r="A477" s="92" t="s">
        <v>162</v>
      </c>
      <c r="B477" s="93">
        <v>46257</v>
      </c>
      <c r="C477" s="92" t="s">
        <v>1492</v>
      </c>
      <c r="D477" s="92" t="s">
        <v>1493</v>
      </c>
      <c r="E477" s="92" t="s">
        <v>3678</v>
      </c>
      <c r="F477" s="88">
        <v>1513</v>
      </c>
      <c r="H477" s="88">
        <v>1513</v>
      </c>
      <c r="I477"/>
      <c r="J477" s="162">
        <v>1786597094876</v>
      </c>
      <c r="K477" s="65"/>
      <c r="L477" s="65"/>
    </row>
    <row r="478" spans="1:12" hidden="1">
      <c r="A478" s="92" t="s">
        <v>176</v>
      </c>
      <c r="B478" s="93">
        <v>46257</v>
      </c>
      <c r="C478" s="92" t="s">
        <v>2955</v>
      </c>
      <c r="D478" s="92" t="s">
        <v>2956</v>
      </c>
      <c r="E478" s="92" t="s">
        <v>3678</v>
      </c>
      <c r="F478" s="88">
        <v>4000</v>
      </c>
      <c r="H478" s="88">
        <v>4000</v>
      </c>
      <c r="I478"/>
      <c r="J478" s="162">
        <v>1786598804544</v>
      </c>
      <c r="K478" s="65"/>
      <c r="L478" s="65"/>
    </row>
    <row r="479" spans="1:12" hidden="1">
      <c r="A479" s="92" t="s">
        <v>162</v>
      </c>
      <c r="B479" s="93">
        <v>46257</v>
      </c>
      <c r="C479" s="92" t="s">
        <v>3583</v>
      </c>
      <c r="D479" s="92" t="s">
        <v>3584</v>
      </c>
      <c r="E479" s="92" t="s">
        <v>3678</v>
      </c>
      <c r="F479" s="88">
        <v>3850</v>
      </c>
      <c r="H479" s="88">
        <v>3850</v>
      </c>
      <c r="I479"/>
      <c r="J479" s="162">
        <v>1786598683648</v>
      </c>
      <c r="K479" s="65"/>
      <c r="L479" s="65"/>
    </row>
    <row r="480" spans="1:12" hidden="1">
      <c r="A480" s="92" t="s">
        <v>162</v>
      </c>
      <c r="B480" s="93">
        <v>46257</v>
      </c>
      <c r="C480" s="92" t="s">
        <v>1516</v>
      </c>
      <c r="D480" s="92" t="s">
        <v>1517</v>
      </c>
      <c r="E480" s="92" t="s">
        <v>3678</v>
      </c>
      <c r="F480" s="88">
        <v>2800</v>
      </c>
      <c r="H480" s="88">
        <v>2800</v>
      </c>
      <c r="I480"/>
      <c r="J480" s="162">
        <v>1786596590258</v>
      </c>
      <c r="K480" s="65"/>
      <c r="L480" s="65"/>
    </row>
    <row r="481" spans="1:12" hidden="1">
      <c r="A481" s="92" t="s">
        <v>180</v>
      </c>
      <c r="B481" s="93">
        <v>46257</v>
      </c>
      <c r="C481" s="92" t="s">
        <v>2059</v>
      </c>
      <c r="D481" s="92" t="s">
        <v>2060</v>
      </c>
      <c r="E481" s="92" t="s">
        <v>3678</v>
      </c>
      <c r="F481" s="88">
        <v>4000</v>
      </c>
      <c r="H481" s="88">
        <v>4000</v>
      </c>
      <c r="I481"/>
      <c r="J481" s="162">
        <v>1786597043251</v>
      </c>
      <c r="K481" s="65"/>
      <c r="L481" s="65"/>
    </row>
    <row r="482" spans="1:12" hidden="1">
      <c r="A482" s="92" t="s">
        <v>162</v>
      </c>
      <c r="B482" s="93">
        <v>46257</v>
      </c>
      <c r="C482" s="92" t="s">
        <v>1969</v>
      </c>
      <c r="D482" s="92" t="s">
        <v>1970</v>
      </c>
      <c r="E482" s="92" t="s">
        <v>3678</v>
      </c>
      <c r="F482" s="88">
        <v>3850</v>
      </c>
      <c r="H482" s="88">
        <v>3850</v>
      </c>
      <c r="I482"/>
      <c r="J482" s="162">
        <v>1786598390344</v>
      </c>
      <c r="K482" s="65"/>
      <c r="L482" s="65"/>
    </row>
    <row r="483" spans="1:12" hidden="1">
      <c r="A483" s="92" t="s">
        <v>172</v>
      </c>
      <c r="B483" s="93">
        <v>46257</v>
      </c>
      <c r="C483" s="92" t="s">
        <v>1872</v>
      </c>
      <c r="D483" s="92" t="s">
        <v>1873</v>
      </c>
      <c r="E483" s="92" t="s">
        <v>3678</v>
      </c>
      <c r="F483" s="88">
        <v>5600</v>
      </c>
      <c r="H483" s="88">
        <v>5600</v>
      </c>
      <c r="I483"/>
      <c r="J483" s="162">
        <v>1786596840855</v>
      </c>
      <c r="K483" s="65"/>
      <c r="L483" s="65"/>
    </row>
    <row r="484" spans="1:12" hidden="1">
      <c r="A484" s="92" t="s">
        <v>162</v>
      </c>
      <c r="B484" s="93">
        <v>46257</v>
      </c>
      <c r="C484" s="92" t="s">
        <v>1790</v>
      </c>
      <c r="D484" s="92" t="s">
        <v>1791</v>
      </c>
      <c r="E484" s="92" t="s">
        <v>3678</v>
      </c>
      <c r="F484" s="88">
        <v>3850</v>
      </c>
      <c r="H484" s="88">
        <v>3850</v>
      </c>
      <c r="I484"/>
      <c r="J484" s="162">
        <v>1786598397102</v>
      </c>
      <c r="K484" s="65"/>
      <c r="L484" s="65"/>
    </row>
    <row r="485" spans="1:12" hidden="1">
      <c r="A485" s="92" t="s">
        <v>162</v>
      </c>
      <c r="B485" s="93">
        <v>46257</v>
      </c>
      <c r="C485" s="92" t="s">
        <v>1417</v>
      </c>
      <c r="D485" s="92" t="s">
        <v>1418</v>
      </c>
      <c r="E485" s="92" t="s">
        <v>3678</v>
      </c>
      <c r="F485" s="88">
        <v>3850</v>
      </c>
      <c r="H485" s="88">
        <v>3850</v>
      </c>
      <c r="I485"/>
      <c r="J485" s="162">
        <v>1786598534731</v>
      </c>
      <c r="K485" s="65"/>
      <c r="L485" s="65"/>
    </row>
    <row r="486" spans="1:12" hidden="1">
      <c r="A486" s="92" t="s">
        <v>172</v>
      </c>
      <c r="B486" s="93">
        <v>46257</v>
      </c>
      <c r="C486" s="92" t="s">
        <v>301</v>
      </c>
      <c r="D486" s="92" t="s">
        <v>302</v>
      </c>
      <c r="E486" s="92" t="s">
        <v>3678</v>
      </c>
      <c r="F486" s="88">
        <v>3850</v>
      </c>
      <c r="H486" s="88">
        <v>3850</v>
      </c>
      <c r="I486"/>
      <c r="J486" s="162">
        <v>1786596917176</v>
      </c>
      <c r="K486" s="65"/>
      <c r="L486" s="65"/>
    </row>
    <row r="487" spans="1:12" hidden="1">
      <c r="A487" s="92" t="s">
        <v>162</v>
      </c>
      <c r="B487" s="93">
        <v>46257</v>
      </c>
      <c r="C487" s="92" t="s">
        <v>1542</v>
      </c>
      <c r="D487" s="92" t="s">
        <v>1543</v>
      </c>
      <c r="E487" s="92" t="s">
        <v>3678</v>
      </c>
      <c r="F487" s="88">
        <v>3850</v>
      </c>
      <c r="H487" s="88">
        <v>3850</v>
      </c>
      <c r="I487"/>
      <c r="J487" s="162">
        <v>1786596931814</v>
      </c>
      <c r="K487" s="65"/>
      <c r="L487" s="65"/>
    </row>
    <row r="488" spans="1:12" hidden="1">
      <c r="A488" s="92" t="s">
        <v>162</v>
      </c>
      <c r="B488" s="93">
        <v>46257</v>
      </c>
      <c r="C488" s="92" t="s">
        <v>1451</v>
      </c>
      <c r="D488" s="92" t="s">
        <v>1452</v>
      </c>
      <c r="E488" s="92" t="s">
        <v>3678</v>
      </c>
      <c r="F488" s="88">
        <v>4200</v>
      </c>
      <c r="H488" s="88">
        <v>4200</v>
      </c>
      <c r="I488"/>
      <c r="J488" s="162">
        <v>1786596761276</v>
      </c>
      <c r="K488" s="65"/>
      <c r="L488" s="65"/>
    </row>
    <row r="489" spans="1:12" hidden="1">
      <c r="A489" s="92" t="s">
        <v>162</v>
      </c>
      <c r="B489" s="93">
        <v>46257</v>
      </c>
      <c r="C489" s="92" t="s">
        <v>1502</v>
      </c>
      <c r="D489" s="92" t="s">
        <v>1503</v>
      </c>
      <c r="E489" s="92" t="s">
        <v>3678</v>
      </c>
      <c r="F489" s="88">
        <v>3850</v>
      </c>
      <c r="H489" s="88">
        <v>3850</v>
      </c>
      <c r="I489"/>
      <c r="J489" s="162">
        <v>1786596740315</v>
      </c>
      <c r="K489" s="65"/>
      <c r="L489" s="65"/>
    </row>
    <row r="490" spans="1:12" hidden="1">
      <c r="A490" s="92" t="s">
        <v>162</v>
      </c>
      <c r="B490" s="93">
        <v>46257</v>
      </c>
      <c r="C490" s="92" t="s">
        <v>1658</v>
      </c>
      <c r="D490" s="92" t="s">
        <v>1659</v>
      </c>
      <c r="E490" s="92" t="s">
        <v>3678</v>
      </c>
      <c r="F490" s="88">
        <v>2800</v>
      </c>
      <c r="H490" s="88">
        <v>2800</v>
      </c>
      <c r="I490"/>
      <c r="J490" s="162">
        <v>1786598075043</v>
      </c>
      <c r="K490" s="65"/>
      <c r="L490" s="65"/>
    </row>
    <row r="491" spans="1:12" hidden="1">
      <c r="A491" s="92" t="s">
        <v>162</v>
      </c>
      <c r="B491" s="93">
        <v>46257</v>
      </c>
      <c r="C491" s="92" t="s">
        <v>1482</v>
      </c>
      <c r="D491" s="92" t="s">
        <v>1483</v>
      </c>
      <c r="E491" s="92" t="s">
        <v>3678</v>
      </c>
      <c r="F491" s="88">
        <v>3850</v>
      </c>
      <c r="H491" s="88">
        <v>3850</v>
      </c>
      <c r="I491"/>
      <c r="J491" s="162">
        <v>1786598497191</v>
      </c>
      <c r="K491" s="65"/>
      <c r="L491" s="65"/>
    </row>
    <row r="492" spans="1:12" hidden="1">
      <c r="A492" s="92" t="s">
        <v>162</v>
      </c>
      <c r="B492" s="93">
        <v>46257</v>
      </c>
      <c r="C492" s="92" t="s">
        <v>1781</v>
      </c>
      <c r="D492" s="92" t="s">
        <v>1782</v>
      </c>
      <c r="E492" s="92" t="s">
        <v>3678</v>
      </c>
      <c r="F492" s="88">
        <v>3850</v>
      </c>
      <c r="H492" s="88">
        <v>3850</v>
      </c>
      <c r="I492"/>
      <c r="J492" s="162">
        <v>1786598036202</v>
      </c>
      <c r="K492" s="65"/>
      <c r="L492" s="65"/>
    </row>
    <row r="493" spans="1:12" hidden="1">
      <c r="A493" s="92" t="s">
        <v>162</v>
      </c>
      <c r="B493" s="93">
        <v>46257</v>
      </c>
      <c r="C493" s="92" t="s">
        <v>1793</v>
      </c>
      <c r="D493" s="92" t="s">
        <v>1794</v>
      </c>
      <c r="E493" s="92" t="s">
        <v>3678</v>
      </c>
      <c r="F493" s="88">
        <v>3850</v>
      </c>
      <c r="H493" s="88">
        <v>3850</v>
      </c>
      <c r="I493"/>
      <c r="J493" s="162">
        <v>1786597623144</v>
      </c>
      <c r="K493" s="65"/>
      <c r="L493" s="65"/>
    </row>
    <row r="494" spans="1:12">
      <c r="A494" s="92" t="s">
        <v>180</v>
      </c>
      <c r="B494" s="93">
        <v>46257</v>
      </c>
      <c r="C494" s="92" t="s">
        <v>3585</v>
      </c>
      <c r="D494" s="92" t="s">
        <v>3586</v>
      </c>
      <c r="E494" s="92" t="s">
        <v>3677</v>
      </c>
      <c r="F494" s="88">
        <v>3000</v>
      </c>
      <c r="H494" s="88">
        <v>3000</v>
      </c>
      <c r="I494" s="65" t="s">
        <v>4029</v>
      </c>
      <c r="J494" s="162">
        <v>1787370116854</v>
      </c>
      <c r="K494" s="65"/>
      <c r="L494" s="65"/>
    </row>
    <row r="495" spans="1:12" hidden="1">
      <c r="A495" s="92" t="s">
        <v>162</v>
      </c>
      <c r="B495" s="93">
        <v>46257</v>
      </c>
      <c r="C495" s="92" t="s">
        <v>1619</v>
      </c>
      <c r="D495" s="92" t="s">
        <v>1620</v>
      </c>
      <c r="E495" s="92" t="s">
        <v>3678</v>
      </c>
      <c r="F495" s="88">
        <v>2800</v>
      </c>
      <c r="H495" s="88">
        <v>2800</v>
      </c>
      <c r="I495"/>
      <c r="J495" s="162">
        <v>1786596566365</v>
      </c>
      <c r="K495" s="65"/>
      <c r="L495" s="65"/>
    </row>
    <row r="496" spans="1:12" hidden="1">
      <c r="A496" s="92" t="s">
        <v>172</v>
      </c>
      <c r="B496" s="93">
        <v>46257</v>
      </c>
      <c r="C496" s="92" t="s">
        <v>3096</v>
      </c>
      <c r="D496" s="92" t="s">
        <v>3097</v>
      </c>
      <c r="E496" s="92" t="s">
        <v>3678</v>
      </c>
      <c r="F496" s="88">
        <v>2800</v>
      </c>
      <c r="H496" s="88">
        <v>2800</v>
      </c>
      <c r="I496"/>
      <c r="J496" s="162">
        <v>1787458452479</v>
      </c>
      <c r="K496" s="65"/>
      <c r="L496" s="65"/>
    </row>
    <row r="497" spans="1:12" hidden="1">
      <c r="A497" s="92" t="s">
        <v>162</v>
      </c>
      <c r="B497" s="93">
        <v>46257</v>
      </c>
      <c r="C497" s="92" t="s">
        <v>1415</v>
      </c>
      <c r="D497" s="92" t="s">
        <v>1416</v>
      </c>
      <c r="E497" s="92" t="s">
        <v>3678</v>
      </c>
      <c r="F497" s="88">
        <v>4000</v>
      </c>
      <c r="H497" s="88">
        <v>4000</v>
      </c>
      <c r="I497"/>
      <c r="J497" s="162">
        <v>1786596405190</v>
      </c>
      <c r="K497" s="65"/>
      <c r="L497" s="65"/>
    </row>
    <row r="498" spans="1:12" hidden="1">
      <c r="A498" s="92" t="s">
        <v>162</v>
      </c>
      <c r="B498" s="93">
        <v>46257</v>
      </c>
      <c r="C498" s="92" t="s">
        <v>1725</v>
      </c>
      <c r="D498" s="92" t="s">
        <v>1726</v>
      </c>
      <c r="E498" s="92" t="s">
        <v>3678</v>
      </c>
      <c r="F498" s="88">
        <v>2800</v>
      </c>
      <c r="H498" s="88">
        <v>2800</v>
      </c>
      <c r="I498"/>
      <c r="J498" s="162">
        <v>1786597182916</v>
      </c>
      <c r="K498" s="65"/>
      <c r="L498" s="65"/>
    </row>
    <row r="499" spans="1:12" hidden="1">
      <c r="A499" s="92" t="s">
        <v>162</v>
      </c>
      <c r="B499" s="93">
        <v>46257</v>
      </c>
      <c r="C499" s="92" t="s">
        <v>1859</v>
      </c>
      <c r="D499" s="92" t="s">
        <v>1860</v>
      </c>
      <c r="E499" s="92" t="s">
        <v>3678</v>
      </c>
      <c r="F499" s="88">
        <v>2800</v>
      </c>
      <c r="H499" s="88">
        <v>2800</v>
      </c>
      <c r="I499"/>
      <c r="J499" s="162">
        <v>1786598530252</v>
      </c>
      <c r="K499" s="65"/>
      <c r="L499" s="65"/>
    </row>
    <row r="500" spans="1:12" hidden="1">
      <c r="A500" s="92" t="s">
        <v>162</v>
      </c>
      <c r="B500" s="93">
        <v>46257</v>
      </c>
      <c r="C500" s="92" t="s">
        <v>1427</v>
      </c>
      <c r="D500" s="92" t="s">
        <v>1428</v>
      </c>
      <c r="E500" s="92" t="s">
        <v>3678</v>
      </c>
      <c r="F500" s="88">
        <v>3850</v>
      </c>
      <c r="H500" s="88">
        <v>3850</v>
      </c>
      <c r="I500"/>
      <c r="J500" s="162">
        <v>1786597832738</v>
      </c>
      <c r="K500" s="65"/>
      <c r="L500" s="65"/>
    </row>
    <row r="501" spans="1:12" hidden="1">
      <c r="A501" s="92" t="s">
        <v>162</v>
      </c>
      <c r="B501" s="93">
        <v>46257</v>
      </c>
      <c r="C501" s="92" t="s">
        <v>1366</v>
      </c>
      <c r="D501" s="92" t="s">
        <v>1367</v>
      </c>
      <c r="E501" s="92" t="s">
        <v>3678</v>
      </c>
      <c r="F501" s="88">
        <v>2800</v>
      </c>
      <c r="H501" s="88">
        <v>2800</v>
      </c>
      <c r="I501"/>
      <c r="J501" s="162">
        <v>1786596814934</v>
      </c>
      <c r="K501" s="65"/>
      <c r="L501" s="65"/>
    </row>
    <row r="502" spans="1:12" hidden="1">
      <c r="A502" s="92" t="s">
        <v>172</v>
      </c>
      <c r="B502" s="93">
        <v>46257</v>
      </c>
      <c r="C502" s="92" t="s">
        <v>2883</v>
      </c>
      <c r="D502" s="92" t="s">
        <v>2884</v>
      </c>
      <c r="E502" s="92" t="s">
        <v>3678</v>
      </c>
      <c r="F502" s="88">
        <v>4000</v>
      </c>
      <c r="H502" s="88">
        <v>4000</v>
      </c>
      <c r="I502"/>
      <c r="J502" s="162">
        <v>1786598644317</v>
      </c>
      <c r="K502" s="65"/>
      <c r="L502" s="65"/>
    </row>
    <row r="503" spans="1:12" hidden="1">
      <c r="A503" s="92" t="s">
        <v>162</v>
      </c>
      <c r="B503" s="93">
        <v>46257</v>
      </c>
      <c r="C503" s="92" t="s">
        <v>1480</v>
      </c>
      <c r="D503" s="92" t="s">
        <v>1481</v>
      </c>
      <c r="E503" s="92" t="s">
        <v>3678</v>
      </c>
      <c r="F503" s="88">
        <v>3850</v>
      </c>
      <c r="H503" s="88">
        <v>3850</v>
      </c>
      <c r="I503"/>
      <c r="J503" s="162">
        <v>1786598305509</v>
      </c>
      <c r="K503" s="65"/>
      <c r="L503" s="65"/>
    </row>
    <row r="504" spans="1:12" hidden="1">
      <c r="A504" s="92" t="s">
        <v>172</v>
      </c>
      <c r="B504" s="93">
        <v>46257</v>
      </c>
      <c r="C504" s="92" t="s">
        <v>366</v>
      </c>
      <c r="D504" s="92" t="s">
        <v>367</v>
      </c>
      <c r="E504" s="92" t="s">
        <v>3678</v>
      </c>
      <c r="F504" s="88">
        <v>3850</v>
      </c>
      <c r="H504" s="88">
        <v>3850</v>
      </c>
      <c r="I504"/>
      <c r="J504" s="162">
        <v>1786598672802</v>
      </c>
      <c r="K504" s="65"/>
      <c r="L504" s="65"/>
    </row>
    <row r="505" spans="1:12" hidden="1">
      <c r="A505" s="92" t="s">
        <v>162</v>
      </c>
      <c r="B505" s="93">
        <v>46257</v>
      </c>
      <c r="C505" s="92" t="s">
        <v>1684</v>
      </c>
      <c r="D505" s="92" t="s">
        <v>1685</v>
      </c>
      <c r="E505" s="92" t="s">
        <v>3678</v>
      </c>
      <c r="F505" s="88">
        <v>3850</v>
      </c>
      <c r="H505" s="88">
        <v>3850</v>
      </c>
      <c r="I505"/>
      <c r="J505" s="162">
        <v>1786597982037</v>
      </c>
      <c r="K505" s="65"/>
      <c r="L505" s="65"/>
    </row>
    <row r="506" spans="1:12" hidden="1">
      <c r="A506" s="92" t="s">
        <v>162</v>
      </c>
      <c r="B506" s="93">
        <v>46257</v>
      </c>
      <c r="C506" s="92" t="s">
        <v>1518</v>
      </c>
      <c r="D506" s="92" t="s">
        <v>1519</v>
      </c>
      <c r="E506" s="92" t="s">
        <v>3678</v>
      </c>
      <c r="F506" s="88">
        <v>3850</v>
      </c>
      <c r="H506" s="88">
        <v>3850</v>
      </c>
      <c r="I506"/>
      <c r="J506" s="162">
        <v>1787107853686</v>
      </c>
      <c r="K506" s="65"/>
      <c r="L506" s="65"/>
    </row>
    <row r="507" spans="1:12" hidden="1">
      <c r="A507" s="92" t="s">
        <v>162</v>
      </c>
      <c r="B507" s="93">
        <v>46257</v>
      </c>
      <c r="C507" s="92" t="s">
        <v>1352</v>
      </c>
      <c r="D507" s="92" t="s">
        <v>1353</v>
      </c>
      <c r="E507" s="92" t="s">
        <v>3678</v>
      </c>
      <c r="F507" s="88">
        <v>3850</v>
      </c>
      <c r="H507" s="88">
        <v>3850</v>
      </c>
      <c r="I507"/>
      <c r="J507" s="162">
        <v>1786597165085</v>
      </c>
      <c r="K507" s="65"/>
      <c r="L507" s="65"/>
    </row>
    <row r="508" spans="1:12" hidden="1">
      <c r="A508" s="92" t="s">
        <v>172</v>
      </c>
      <c r="B508" s="93">
        <v>46257</v>
      </c>
      <c r="C508" s="92" t="s">
        <v>3587</v>
      </c>
      <c r="D508" s="92" t="s">
        <v>3588</v>
      </c>
      <c r="E508" s="92" t="s">
        <v>3678</v>
      </c>
      <c r="F508" s="88">
        <v>4000</v>
      </c>
      <c r="H508" s="88">
        <v>4000</v>
      </c>
      <c r="I508"/>
      <c r="J508" s="162">
        <v>1786598577139</v>
      </c>
      <c r="K508" s="65"/>
      <c r="L508" s="65"/>
    </row>
    <row r="509" spans="1:12" hidden="1">
      <c r="A509" s="92" t="s">
        <v>162</v>
      </c>
      <c r="B509" s="93">
        <v>46257</v>
      </c>
      <c r="C509" s="92" t="s">
        <v>1904</v>
      </c>
      <c r="D509" s="92" t="s">
        <v>1905</v>
      </c>
      <c r="E509" s="92" t="s">
        <v>3678</v>
      </c>
      <c r="F509" s="88">
        <v>2800</v>
      </c>
      <c r="H509" s="88">
        <v>2800</v>
      </c>
      <c r="I509"/>
      <c r="J509" s="162">
        <v>1786597447065</v>
      </c>
      <c r="K509" s="65"/>
      <c r="L509" s="65"/>
    </row>
    <row r="510" spans="1:12" hidden="1">
      <c r="A510" s="92" t="s">
        <v>172</v>
      </c>
      <c r="B510" s="93">
        <v>46258</v>
      </c>
      <c r="C510" s="92" t="s">
        <v>3035</v>
      </c>
      <c r="D510" s="92" t="s">
        <v>3036</v>
      </c>
      <c r="E510" s="92" t="s">
        <v>3678</v>
      </c>
      <c r="F510" s="88">
        <v>3850</v>
      </c>
      <c r="H510" s="88">
        <v>3850</v>
      </c>
      <c r="I510"/>
      <c r="J510" s="162">
        <v>1786840345021</v>
      </c>
      <c r="K510" s="65"/>
      <c r="L510" s="65"/>
    </row>
    <row r="511" spans="1:12" hidden="1">
      <c r="A511" s="92" t="s">
        <v>162</v>
      </c>
      <c r="B511" s="93">
        <v>46258</v>
      </c>
      <c r="C511" s="92" t="s">
        <v>1704</v>
      </c>
      <c r="D511" s="92" t="s">
        <v>1705</v>
      </c>
      <c r="E511" s="92" t="s">
        <v>3678</v>
      </c>
      <c r="F511" s="88">
        <v>3850</v>
      </c>
      <c r="H511" s="88">
        <v>3850</v>
      </c>
      <c r="I511"/>
      <c r="J511" s="162">
        <v>1786597226154</v>
      </c>
      <c r="K511" s="65"/>
      <c r="L511" s="65"/>
    </row>
    <row r="512" spans="1:12" hidden="1">
      <c r="A512" s="92" t="s">
        <v>162</v>
      </c>
      <c r="B512" s="93">
        <v>46258</v>
      </c>
      <c r="C512" s="92" t="s">
        <v>1733</v>
      </c>
      <c r="D512" s="92" t="s">
        <v>1734</v>
      </c>
      <c r="E512" s="92" t="s">
        <v>3678</v>
      </c>
      <c r="F512" s="88">
        <v>3850</v>
      </c>
      <c r="H512" s="88">
        <v>3850</v>
      </c>
      <c r="I512"/>
      <c r="J512" s="162">
        <v>1786596971229</v>
      </c>
      <c r="K512" s="65"/>
      <c r="L512" s="65"/>
    </row>
    <row r="513" spans="1:12" hidden="1">
      <c r="A513" s="92" t="s">
        <v>162</v>
      </c>
      <c r="B513" s="93">
        <v>46258</v>
      </c>
      <c r="C513" s="92" t="s">
        <v>1568</v>
      </c>
      <c r="D513" s="92" t="s">
        <v>1569</v>
      </c>
      <c r="E513" s="92" t="s">
        <v>3678</v>
      </c>
      <c r="F513" s="88">
        <v>3850</v>
      </c>
      <c r="H513" s="88">
        <v>3850</v>
      </c>
      <c r="I513"/>
      <c r="J513" s="162">
        <v>1786596609459</v>
      </c>
      <c r="K513" s="65"/>
      <c r="L513" s="65"/>
    </row>
    <row r="514" spans="1:12" hidden="1">
      <c r="A514" s="92" t="s">
        <v>162</v>
      </c>
      <c r="B514" s="93">
        <v>46258</v>
      </c>
      <c r="C514" s="92" t="s">
        <v>3504</v>
      </c>
      <c r="D514" s="92" t="s">
        <v>3505</v>
      </c>
      <c r="E514" s="92" t="s">
        <v>3678</v>
      </c>
      <c r="F514" s="88">
        <v>4200</v>
      </c>
      <c r="H514" s="88">
        <v>4200</v>
      </c>
      <c r="I514"/>
      <c r="J514" s="162">
        <v>1787547419425</v>
      </c>
      <c r="K514" s="65"/>
      <c r="L514" s="65"/>
    </row>
    <row r="515" spans="1:12" hidden="1">
      <c r="A515" s="92" t="s">
        <v>162</v>
      </c>
      <c r="B515" s="93">
        <v>46258</v>
      </c>
      <c r="C515" s="92" t="s">
        <v>3589</v>
      </c>
      <c r="D515" s="92" t="s">
        <v>3590</v>
      </c>
      <c r="E515" s="92" t="s">
        <v>3678</v>
      </c>
      <c r="F515" s="88">
        <v>3850</v>
      </c>
      <c r="H515" s="88">
        <v>3850</v>
      </c>
      <c r="I515"/>
      <c r="J515" s="162">
        <v>1787297468965</v>
      </c>
      <c r="K515" s="65"/>
      <c r="L515" s="65"/>
    </row>
    <row r="516" spans="1:12" hidden="1">
      <c r="A516" s="92" t="s">
        <v>162</v>
      </c>
      <c r="B516" s="93">
        <v>46258</v>
      </c>
      <c r="C516" s="92" t="s">
        <v>1878</v>
      </c>
      <c r="D516" s="92" t="s">
        <v>1879</v>
      </c>
      <c r="E516" s="92" t="s">
        <v>3678</v>
      </c>
      <c r="F516" s="88">
        <v>3850</v>
      </c>
      <c r="H516" s="88">
        <v>3850</v>
      </c>
      <c r="I516"/>
      <c r="J516" s="162">
        <v>1786597282774</v>
      </c>
      <c r="K516" s="65"/>
      <c r="L516" s="65"/>
    </row>
    <row r="517" spans="1:12" hidden="1">
      <c r="A517" s="92" t="s">
        <v>162</v>
      </c>
      <c r="B517" s="93">
        <v>46258</v>
      </c>
      <c r="C517" s="92" t="s">
        <v>2005</v>
      </c>
      <c r="D517" s="92" t="s">
        <v>2006</v>
      </c>
      <c r="E517" s="92" t="s">
        <v>3678</v>
      </c>
      <c r="F517" s="88">
        <v>4000</v>
      </c>
      <c r="H517" s="88">
        <v>4000</v>
      </c>
      <c r="I517"/>
      <c r="J517" s="162">
        <v>1787451305214</v>
      </c>
      <c r="K517" s="65"/>
      <c r="L517" s="65"/>
    </row>
    <row r="518" spans="1:12" hidden="1">
      <c r="A518" s="92" t="s">
        <v>176</v>
      </c>
      <c r="B518" s="93">
        <v>46258</v>
      </c>
      <c r="C518" s="92" t="s">
        <v>3591</v>
      </c>
      <c r="D518" s="92" t="s">
        <v>3592</v>
      </c>
      <c r="E518" s="92" t="s">
        <v>3678</v>
      </c>
      <c r="F518" s="88">
        <v>3850</v>
      </c>
      <c r="H518" s="88">
        <v>3850</v>
      </c>
      <c r="I518"/>
      <c r="J518" s="162">
        <v>1786598209102</v>
      </c>
      <c r="K518" s="65"/>
      <c r="L518" s="65"/>
    </row>
    <row r="519" spans="1:12" hidden="1">
      <c r="A519" s="92" t="s">
        <v>162</v>
      </c>
      <c r="B519" s="93">
        <v>46258</v>
      </c>
      <c r="C519" s="92" t="s">
        <v>3593</v>
      </c>
      <c r="D519" s="92" t="s">
        <v>3594</v>
      </c>
      <c r="E519" s="92" t="s">
        <v>3678</v>
      </c>
      <c r="F519" s="88">
        <v>3850</v>
      </c>
      <c r="H519" s="88">
        <v>3850</v>
      </c>
      <c r="I519"/>
      <c r="J519" s="162">
        <v>1786596752526</v>
      </c>
      <c r="K519" s="65"/>
      <c r="L519" s="65"/>
    </row>
    <row r="520" spans="1:12" hidden="1">
      <c r="A520" s="92" t="s">
        <v>180</v>
      </c>
      <c r="B520" s="93">
        <v>46258</v>
      </c>
      <c r="C520" s="92" t="s">
        <v>377</v>
      </c>
      <c r="D520" s="92" t="s">
        <v>378</v>
      </c>
      <c r="E520" s="92" t="s">
        <v>3678</v>
      </c>
      <c r="F520" s="88">
        <v>4200</v>
      </c>
      <c r="H520" s="88">
        <v>4200</v>
      </c>
      <c r="I520"/>
      <c r="J520" s="162">
        <v>1786596776269</v>
      </c>
      <c r="K520" s="65"/>
      <c r="L520" s="65"/>
    </row>
    <row r="521" spans="1:12" hidden="1">
      <c r="A521" s="92" t="s">
        <v>172</v>
      </c>
      <c r="B521" s="93">
        <v>46258</v>
      </c>
      <c r="C521" s="92" t="s">
        <v>2003</v>
      </c>
      <c r="D521" s="92" t="s">
        <v>2004</v>
      </c>
      <c r="E521" s="92" t="s">
        <v>3678</v>
      </c>
      <c r="F521" s="88">
        <v>2800</v>
      </c>
      <c r="H521" s="88">
        <v>2800</v>
      </c>
      <c r="I521"/>
      <c r="J521" s="162">
        <v>1786596415300</v>
      </c>
      <c r="K521" s="65"/>
      <c r="L521" s="65"/>
    </row>
    <row r="522" spans="1:12" hidden="1">
      <c r="A522" s="92" t="s">
        <v>162</v>
      </c>
      <c r="B522" s="93">
        <v>46258</v>
      </c>
      <c r="C522" s="92" t="s">
        <v>1939</v>
      </c>
      <c r="D522" s="92" t="s">
        <v>1940</v>
      </c>
      <c r="E522" s="92" t="s">
        <v>3678</v>
      </c>
      <c r="F522" s="88">
        <v>3850</v>
      </c>
      <c r="H522" s="88">
        <v>3850</v>
      </c>
      <c r="I522"/>
      <c r="J522" s="162">
        <v>1786597998048</v>
      </c>
      <c r="K522" s="65"/>
      <c r="L522" s="65"/>
    </row>
    <row r="523" spans="1:12">
      <c r="A523" s="92" t="s">
        <v>180</v>
      </c>
      <c r="B523" s="93">
        <v>46258</v>
      </c>
      <c r="C523" s="92" t="s">
        <v>1526</v>
      </c>
      <c r="D523" s="92" t="s">
        <v>1527</v>
      </c>
      <c r="E523" s="92" t="s">
        <v>3677</v>
      </c>
      <c r="F523" s="88">
        <v>2000</v>
      </c>
      <c r="H523" s="88">
        <v>2000</v>
      </c>
      <c r="I523" s="65" t="s">
        <v>133</v>
      </c>
      <c r="J523" s="162">
        <v>1787122542639</v>
      </c>
      <c r="K523" s="65"/>
      <c r="L523" s="65"/>
    </row>
    <row r="524" spans="1:12" hidden="1">
      <c r="A524" s="92" t="s">
        <v>162</v>
      </c>
      <c r="B524" s="93">
        <v>46258</v>
      </c>
      <c r="C524" s="92" t="s">
        <v>1995</v>
      </c>
      <c r="D524" s="92" t="s">
        <v>1996</v>
      </c>
      <c r="E524" s="92" t="s">
        <v>3678</v>
      </c>
      <c r="F524" s="88">
        <v>3850</v>
      </c>
      <c r="H524" s="88">
        <v>3850</v>
      </c>
      <c r="I524"/>
      <c r="J524" s="162">
        <v>1787537636945</v>
      </c>
      <c r="K524" s="65"/>
      <c r="L524" s="65"/>
    </row>
    <row r="525" spans="1:12" hidden="1">
      <c r="A525" s="92" t="s">
        <v>162</v>
      </c>
      <c r="B525" s="93">
        <v>46258</v>
      </c>
      <c r="C525" s="92" t="s">
        <v>1582</v>
      </c>
      <c r="D525" s="92" t="s">
        <v>1583</v>
      </c>
      <c r="E525" s="92" t="s">
        <v>3678</v>
      </c>
      <c r="F525" s="88">
        <v>4000</v>
      </c>
      <c r="H525" s="88">
        <v>4000</v>
      </c>
      <c r="I525"/>
      <c r="J525" s="162">
        <v>1786598736042</v>
      </c>
      <c r="K525" s="65"/>
      <c r="L525" s="65"/>
    </row>
    <row r="526" spans="1:12" hidden="1">
      <c r="A526" s="92" t="s">
        <v>162</v>
      </c>
      <c r="B526" s="93">
        <v>46258</v>
      </c>
      <c r="C526" s="92" t="s">
        <v>1576</v>
      </c>
      <c r="D526" s="92" t="s">
        <v>1577</v>
      </c>
      <c r="E526" s="92" t="s">
        <v>3678</v>
      </c>
      <c r="F526" s="88">
        <v>2800</v>
      </c>
      <c r="H526" s="88">
        <v>2800</v>
      </c>
      <c r="I526"/>
      <c r="J526" s="162">
        <v>1786597871736</v>
      </c>
      <c r="K526" s="65"/>
      <c r="L526" s="65"/>
    </row>
    <row r="527" spans="1:12" hidden="1">
      <c r="A527" s="92" t="s">
        <v>162</v>
      </c>
      <c r="B527" s="93">
        <v>46258</v>
      </c>
      <c r="C527" s="92" t="s">
        <v>3595</v>
      </c>
      <c r="D527" s="92" t="s">
        <v>1716</v>
      </c>
      <c r="E527" s="92" t="s">
        <v>3678</v>
      </c>
      <c r="F527" s="88">
        <v>2300</v>
      </c>
      <c r="H527" s="88">
        <v>2300</v>
      </c>
      <c r="I527"/>
      <c r="J527" s="162">
        <v>1787133027112</v>
      </c>
      <c r="K527" s="65"/>
      <c r="L527" s="65"/>
    </row>
    <row r="528" spans="1:12" hidden="1">
      <c r="A528" s="92" t="s">
        <v>162</v>
      </c>
      <c r="B528" s="93">
        <v>46258</v>
      </c>
      <c r="C528" s="92" t="s">
        <v>1748</v>
      </c>
      <c r="D528" s="92" t="s">
        <v>1749</v>
      </c>
      <c r="E528" s="92" t="s">
        <v>3678</v>
      </c>
      <c r="F528" s="88">
        <v>2800</v>
      </c>
      <c r="H528" s="88">
        <v>2800</v>
      </c>
      <c r="I528"/>
      <c r="J528" s="162">
        <v>1786598477258</v>
      </c>
      <c r="K528" s="65"/>
      <c r="L528" s="65"/>
    </row>
    <row r="529" spans="1:12" hidden="1">
      <c r="A529" s="92" t="s">
        <v>172</v>
      </c>
      <c r="B529" s="93">
        <v>46258</v>
      </c>
      <c r="C529" s="92" t="s">
        <v>1230</v>
      </c>
      <c r="D529" s="92" t="s">
        <v>1231</v>
      </c>
      <c r="E529" s="92" t="s">
        <v>3678</v>
      </c>
      <c r="F529" s="88">
        <v>4000</v>
      </c>
      <c r="H529" s="88">
        <v>4000</v>
      </c>
      <c r="I529"/>
      <c r="J529" s="162">
        <v>1787063915227</v>
      </c>
      <c r="K529" s="65"/>
      <c r="L529" s="65"/>
    </row>
    <row r="530" spans="1:12" hidden="1">
      <c r="A530" s="92" t="s">
        <v>172</v>
      </c>
      <c r="B530" s="93">
        <v>46258</v>
      </c>
      <c r="C530" s="92" t="s">
        <v>201</v>
      </c>
      <c r="D530" s="92" t="s">
        <v>202</v>
      </c>
      <c r="E530" s="92" t="s">
        <v>3678</v>
      </c>
      <c r="F530" s="88">
        <v>4000</v>
      </c>
      <c r="H530" s="88">
        <v>4000</v>
      </c>
      <c r="I530"/>
      <c r="J530" s="162">
        <v>1786949919251</v>
      </c>
      <c r="K530" s="65"/>
      <c r="L530" s="65"/>
    </row>
    <row r="531" spans="1:12" hidden="1">
      <c r="A531" s="92" t="s">
        <v>162</v>
      </c>
      <c r="B531" s="93">
        <v>46258</v>
      </c>
      <c r="C531" s="92" t="s">
        <v>1863</v>
      </c>
      <c r="D531" s="92" t="s">
        <v>1864</v>
      </c>
      <c r="E531" s="92" t="s">
        <v>3678</v>
      </c>
      <c r="F531" s="88">
        <v>2800</v>
      </c>
      <c r="H531" s="88">
        <v>2800</v>
      </c>
      <c r="I531"/>
      <c r="J531" s="162">
        <v>1786597756322</v>
      </c>
      <c r="K531" s="65"/>
      <c r="L531" s="65"/>
    </row>
    <row r="532" spans="1:12" hidden="1">
      <c r="A532" s="92" t="s">
        <v>162</v>
      </c>
      <c r="B532" s="93">
        <v>46258</v>
      </c>
      <c r="C532" s="92" t="s">
        <v>1488</v>
      </c>
      <c r="D532" s="92" t="s">
        <v>1489</v>
      </c>
      <c r="E532" s="92" t="s">
        <v>3678</v>
      </c>
      <c r="F532" s="88">
        <v>3850</v>
      </c>
      <c r="H532" s="88">
        <v>3850</v>
      </c>
      <c r="I532"/>
      <c r="J532" s="162">
        <v>1786598393982</v>
      </c>
      <c r="K532" s="65"/>
      <c r="L532" s="65"/>
    </row>
    <row r="533" spans="1:12" hidden="1">
      <c r="A533" s="92" t="s">
        <v>162</v>
      </c>
      <c r="B533" s="93">
        <v>46258</v>
      </c>
      <c r="C533" s="92" t="s">
        <v>1645</v>
      </c>
      <c r="D533" s="92" t="s">
        <v>1646</v>
      </c>
      <c r="E533" s="92" t="s">
        <v>3678</v>
      </c>
      <c r="F533" s="88">
        <v>3850</v>
      </c>
      <c r="H533" s="88">
        <v>3850</v>
      </c>
      <c r="I533"/>
      <c r="J533" s="162">
        <v>1786598683788</v>
      </c>
      <c r="K533" s="65"/>
      <c r="L533" s="65"/>
    </row>
    <row r="534" spans="1:12" hidden="1">
      <c r="A534" s="92" t="s">
        <v>162</v>
      </c>
      <c r="B534" s="93">
        <v>46258</v>
      </c>
      <c r="C534" s="92" t="s">
        <v>1824</v>
      </c>
      <c r="D534" s="92" t="s">
        <v>1825</v>
      </c>
      <c r="E534" s="92" t="s">
        <v>3678</v>
      </c>
      <c r="F534" s="88">
        <v>4200</v>
      </c>
      <c r="H534" s="88">
        <v>4200</v>
      </c>
      <c r="I534"/>
      <c r="J534" s="162">
        <v>1786597273935</v>
      </c>
      <c r="K534" s="65"/>
      <c r="L534" s="65"/>
    </row>
    <row r="535" spans="1:12" hidden="1">
      <c r="A535" s="92" t="s">
        <v>162</v>
      </c>
      <c r="B535" s="93">
        <v>46258</v>
      </c>
      <c r="C535" s="92" t="s">
        <v>1540</v>
      </c>
      <c r="D535" s="92" t="s">
        <v>1541</v>
      </c>
      <c r="E535" s="92" t="s">
        <v>3678</v>
      </c>
      <c r="F535" s="88">
        <v>3850</v>
      </c>
      <c r="H535" s="88">
        <v>3850</v>
      </c>
      <c r="I535"/>
      <c r="J535" s="162">
        <v>1787541913074</v>
      </c>
      <c r="K535" s="65"/>
      <c r="L535" s="65"/>
    </row>
    <row r="536" spans="1:12" hidden="1">
      <c r="A536" s="92" t="s">
        <v>162</v>
      </c>
      <c r="B536" s="93">
        <v>46258</v>
      </c>
      <c r="C536" s="92" t="s">
        <v>1887</v>
      </c>
      <c r="D536" s="92" t="s">
        <v>1888</v>
      </c>
      <c r="E536" s="92" t="s">
        <v>3678</v>
      </c>
      <c r="F536" s="88">
        <v>3850</v>
      </c>
      <c r="H536" s="88">
        <v>3850</v>
      </c>
      <c r="I536"/>
      <c r="J536" s="162">
        <v>1786597433076</v>
      </c>
      <c r="K536" s="65"/>
      <c r="L536" s="65"/>
    </row>
    <row r="537" spans="1:12" hidden="1">
      <c r="A537" s="92" t="s">
        <v>162</v>
      </c>
      <c r="B537" s="93">
        <v>46258</v>
      </c>
      <c r="C537" s="92" t="s">
        <v>1721</v>
      </c>
      <c r="D537" s="92" t="s">
        <v>1722</v>
      </c>
      <c r="E537" s="92" t="s">
        <v>3678</v>
      </c>
      <c r="F537" s="88">
        <v>2800</v>
      </c>
      <c r="H537" s="88">
        <v>2800</v>
      </c>
      <c r="I537"/>
      <c r="J537" s="162">
        <v>1787537359296</v>
      </c>
      <c r="K537" s="65"/>
      <c r="L537" s="65"/>
    </row>
    <row r="538" spans="1:12" hidden="1">
      <c r="A538" s="92" t="s">
        <v>162</v>
      </c>
      <c r="B538" s="93">
        <v>46258</v>
      </c>
      <c r="C538" s="92" t="s">
        <v>2076</v>
      </c>
      <c r="D538" s="92" t="s">
        <v>2077</v>
      </c>
      <c r="E538" s="92" t="s">
        <v>3678</v>
      </c>
      <c r="F538" s="88">
        <v>3850</v>
      </c>
      <c r="H538" s="88">
        <v>3850</v>
      </c>
      <c r="I538"/>
      <c r="J538" s="162">
        <v>1786598323102</v>
      </c>
      <c r="K538" s="65"/>
      <c r="L538" s="65"/>
    </row>
    <row r="539" spans="1:12" hidden="1">
      <c r="A539" s="92" t="s">
        <v>162</v>
      </c>
      <c r="B539" s="93">
        <v>46258</v>
      </c>
      <c r="C539" s="92" t="s">
        <v>2027</v>
      </c>
      <c r="D539" s="92" t="s">
        <v>2028</v>
      </c>
      <c r="E539" s="92" t="s">
        <v>3678</v>
      </c>
      <c r="F539" s="88">
        <v>2800</v>
      </c>
      <c r="H539" s="88">
        <v>2800</v>
      </c>
      <c r="I539"/>
      <c r="J539" s="162">
        <v>1786598155833</v>
      </c>
      <c r="K539" s="65"/>
      <c r="L539" s="65"/>
    </row>
    <row r="540" spans="1:12" hidden="1">
      <c r="A540" s="92" t="s">
        <v>162</v>
      </c>
      <c r="B540" s="93">
        <v>46258</v>
      </c>
      <c r="C540" s="92" t="s">
        <v>3596</v>
      </c>
      <c r="D540" s="92" t="s">
        <v>3597</v>
      </c>
      <c r="E540" s="92" t="s">
        <v>3678</v>
      </c>
      <c r="F540" s="88">
        <v>3850</v>
      </c>
      <c r="H540" s="88">
        <v>3850</v>
      </c>
      <c r="I540"/>
      <c r="J540" s="162">
        <v>1786598414771</v>
      </c>
      <c r="K540" s="65"/>
      <c r="L540" s="65"/>
    </row>
    <row r="541" spans="1:12" hidden="1">
      <c r="A541" s="92" t="s">
        <v>162</v>
      </c>
      <c r="B541" s="93">
        <v>46258</v>
      </c>
      <c r="C541" s="92" t="s">
        <v>1690</v>
      </c>
      <c r="D541" s="92" t="s">
        <v>1691</v>
      </c>
      <c r="E541" s="92" t="s">
        <v>3678</v>
      </c>
      <c r="F541" s="88">
        <v>3850</v>
      </c>
      <c r="H541" s="88">
        <v>3850</v>
      </c>
      <c r="I541"/>
      <c r="J541" s="162">
        <v>1786598004274</v>
      </c>
      <c r="K541" s="65"/>
      <c r="L541" s="65"/>
    </row>
    <row r="542" spans="1:12" hidden="1">
      <c r="A542" s="92" t="s">
        <v>162</v>
      </c>
      <c r="B542" s="93">
        <v>46258</v>
      </c>
      <c r="C542" s="92" t="s">
        <v>2015</v>
      </c>
      <c r="D542" s="92" t="s">
        <v>2016</v>
      </c>
      <c r="E542" s="92" t="s">
        <v>3678</v>
      </c>
      <c r="F542" s="88">
        <v>3850</v>
      </c>
      <c r="H542" s="88">
        <v>3850</v>
      </c>
      <c r="I542"/>
      <c r="J542" s="162">
        <v>1786596635259</v>
      </c>
      <c r="K542" s="65"/>
      <c r="L542" s="65"/>
    </row>
    <row r="543" spans="1:12" hidden="1">
      <c r="A543" s="92" t="s">
        <v>162</v>
      </c>
      <c r="B543" s="93">
        <v>46258</v>
      </c>
      <c r="C543" s="92" t="s">
        <v>1582</v>
      </c>
      <c r="D543" s="92" t="s">
        <v>1583</v>
      </c>
      <c r="E543" s="92" t="s">
        <v>3678</v>
      </c>
      <c r="F543" s="88">
        <v>3850</v>
      </c>
      <c r="H543" s="88">
        <v>3850</v>
      </c>
      <c r="I543"/>
      <c r="J543" s="162">
        <v>1786596854580</v>
      </c>
      <c r="K543" s="65"/>
      <c r="L543" s="65"/>
    </row>
    <row r="544" spans="1:12" hidden="1">
      <c r="A544" s="92" t="s">
        <v>172</v>
      </c>
      <c r="B544" s="93">
        <v>46258</v>
      </c>
      <c r="C544" s="92" t="s">
        <v>3595</v>
      </c>
      <c r="D544" s="92" t="s">
        <v>1716</v>
      </c>
      <c r="E544" s="92" t="s">
        <v>3678</v>
      </c>
      <c r="F544" s="88">
        <v>4000</v>
      </c>
      <c r="H544" s="88">
        <v>4000</v>
      </c>
      <c r="I544"/>
      <c r="J544" s="162">
        <v>1786597551589</v>
      </c>
      <c r="K544" s="65"/>
      <c r="L544" s="65"/>
    </row>
    <row r="545" spans="1:12" hidden="1">
      <c r="A545" s="92" t="s">
        <v>162</v>
      </c>
      <c r="B545" s="93">
        <v>46258</v>
      </c>
      <c r="C545" s="92" t="s">
        <v>3015</v>
      </c>
      <c r="D545" s="92" t="s">
        <v>3016</v>
      </c>
      <c r="E545" s="92" t="s">
        <v>3678</v>
      </c>
      <c r="F545" s="88">
        <v>3850</v>
      </c>
      <c r="H545" s="88">
        <v>3850</v>
      </c>
      <c r="I545"/>
      <c r="J545" s="162">
        <v>1786596932235</v>
      </c>
      <c r="K545" s="65"/>
      <c r="L545" s="65"/>
    </row>
    <row r="546" spans="1:12" hidden="1">
      <c r="A546" s="92" t="s">
        <v>162</v>
      </c>
      <c r="B546" s="93">
        <v>46258</v>
      </c>
      <c r="C546" s="92" t="s">
        <v>1574</v>
      </c>
      <c r="D546" s="92" t="s">
        <v>1575</v>
      </c>
      <c r="E546" s="92" t="s">
        <v>3678</v>
      </c>
      <c r="F546" s="88">
        <v>3850</v>
      </c>
      <c r="H546" s="88">
        <v>3850</v>
      </c>
      <c r="I546"/>
      <c r="J546" s="162">
        <v>1786597662266</v>
      </c>
      <c r="K546" s="65"/>
      <c r="L546" s="65"/>
    </row>
    <row r="547" spans="1:12" hidden="1">
      <c r="A547" s="92" t="s">
        <v>162</v>
      </c>
      <c r="B547" s="93">
        <v>46258</v>
      </c>
      <c r="C547" s="92" t="s">
        <v>1795</v>
      </c>
      <c r="D547" s="92" t="s">
        <v>1796</v>
      </c>
      <c r="E547" s="92" t="s">
        <v>3678</v>
      </c>
      <c r="F547" s="88">
        <v>3850</v>
      </c>
      <c r="H547" s="88">
        <v>3850</v>
      </c>
      <c r="I547"/>
      <c r="J547" s="162">
        <v>1786597389410</v>
      </c>
      <c r="K547" s="65"/>
      <c r="L547" s="65"/>
    </row>
    <row r="548" spans="1:12" hidden="1">
      <c r="A548" s="92" t="s">
        <v>162</v>
      </c>
      <c r="B548" s="93">
        <v>46258</v>
      </c>
      <c r="C548" s="92" t="s">
        <v>1631</v>
      </c>
      <c r="D548" s="92" t="s">
        <v>1632</v>
      </c>
      <c r="E548" s="92" t="s">
        <v>3678</v>
      </c>
      <c r="F548" s="88">
        <v>3850</v>
      </c>
      <c r="H548" s="88">
        <v>3850</v>
      </c>
      <c r="I548"/>
      <c r="J548" s="162">
        <v>1786934194166</v>
      </c>
      <c r="K548" s="65"/>
      <c r="L548" s="65"/>
    </row>
    <row r="549" spans="1:12" hidden="1">
      <c r="A549" s="92" t="s">
        <v>162</v>
      </c>
      <c r="B549" s="93">
        <v>46258</v>
      </c>
      <c r="C549" s="92" t="s">
        <v>1838</v>
      </c>
      <c r="D549" s="92" t="s">
        <v>1839</v>
      </c>
      <c r="E549" s="92" t="s">
        <v>3678</v>
      </c>
      <c r="F549" s="88">
        <v>3850</v>
      </c>
      <c r="H549" s="88">
        <v>3850</v>
      </c>
      <c r="I549"/>
      <c r="J549" s="162">
        <v>1786598157446</v>
      </c>
      <c r="K549" s="65"/>
      <c r="L549" s="65"/>
    </row>
    <row r="550" spans="1:12" hidden="1">
      <c r="A550" s="92" t="s">
        <v>176</v>
      </c>
      <c r="B550" s="93">
        <v>46258</v>
      </c>
      <c r="C550" s="92" t="s">
        <v>3598</v>
      </c>
      <c r="D550" s="92" t="s">
        <v>3599</v>
      </c>
      <c r="E550" s="92" t="s">
        <v>3678</v>
      </c>
      <c r="F550" s="88">
        <v>3850</v>
      </c>
      <c r="H550" s="88">
        <v>3850</v>
      </c>
      <c r="I550"/>
      <c r="J550" s="162">
        <v>1787538892499</v>
      </c>
      <c r="K550" s="65"/>
      <c r="L550" s="65"/>
    </row>
    <row r="551" spans="1:12" hidden="1">
      <c r="A551" s="92" t="s">
        <v>162</v>
      </c>
      <c r="B551" s="93">
        <v>46258</v>
      </c>
      <c r="C551" s="92" t="s">
        <v>3500</v>
      </c>
      <c r="D551" s="92" t="s">
        <v>3501</v>
      </c>
      <c r="E551" s="92" t="s">
        <v>3678</v>
      </c>
      <c r="F551" s="88">
        <v>3850</v>
      </c>
      <c r="H551" s="88">
        <v>3850</v>
      </c>
      <c r="I551"/>
      <c r="J551" s="162">
        <v>1787544038486</v>
      </c>
      <c r="K551" s="65"/>
      <c r="L551" s="65"/>
    </row>
    <row r="552" spans="1:12" hidden="1">
      <c r="A552" s="92" t="s">
        <v>162</v>
      </c>
      <c r="B552" s="93">
        <v>46258</v>
      </c>
      <c r="C552" s="92" t="s">
        <v>3600</v>
      </c>
      <c r="D552" s="92" t="s">
        <v>3601</v>
      </c>
      <c r="E552" s="92" t="s">
        <v>3678</v>
      </c>
      <c r="F552" s="88">
        <v>2800</v>
      </c>
      <c r="H552" s="88">
        <v>2800</v>
      </c>
      <c r="I552"/>
      <c r="J552" s="162">
        <v>1787121627122</v>
      </c>
      <c r="K552" s="65"/>
      <c r="L552" s="65"/>
    </row>
    <row r="553" spans="1:12" hidden="1">
      <c r="A553" s="92" t="s">
        <v>162</v>
      </c>
      <c r="B553" s="93">
        <v>46258</v>
      </c>
      <c r="C553" s="92" t="s">
        <v>1566</v>
      </c>
      <c r="D553" s="92" t="s">
        <v>1567</v>
      </c>
      <c r="E553" s="92" t="s">
        <v>3678</v>
      </c>
      <c r="F553" s="88">
        <v>3850</v>
      </c>
      <c r="H553" s="88">
        <v>3850</v>
      </c>
      <c r="I553"/>
      <c r="J553" s="162">
        <v>1786598255634</v>
      </c>
      <c r="K553" s="65"/>
      <c r="L553" s="65"/>
    </row>
    <row r="554" spans="1:12" hidden="1">
      <c r="A554" s="92" t="s">
        <v>162</v>
      </c>
      <c r="B554" s="93">
        <v>46258</v>
      </c>
      <c r="C554" s="92" t="s">
        <v>1395</v>
      </c>
      <c r="D554" s="92" t="s">
        <v>1396</v>
      </c>
      <c r="E554" s="92" t="s">
        <v>3678</v>
      </c>
      <c r="F554" s="88">
        <v>3500</v>
      </c>
      <c r="H554" s="88">
        <v>3500</v>
      </c>
      <c r="I554"/>
      <c r="J554" s="162">
        <v>1786790572394</v>
      </c>
      <c r="K554" s="65"/>
      <c r="L554" s="65"/>
    </row>
    <row r="555" spans="1:12" hidden="1">
      <c r="A555" s="92" t="s">
        <v>162</v>
      </c>
      <c r="B555" s="93">
        <v>46258</v>
      </c>
      <c r="C555" s="92" t="s">
        <v>1723</v>
      </c>
      <c r="D555" s="92" t="s">
        <v>1724</v>
      </c>
      <c r="E555" s="92" t="s">
        <v>3678</v>
      </c>
      <c r="F555" s="88">
        <v>4200</v>
      </c>
      <c r="H555" s="88">
        <v>4200</v>
      </c>
      <c r="I555"/>
      <c r="J555" s="162">
        <v>1786597281811</v>
      </c>
      <c r="K555" s="65"/>
      <c r="L555" s="65"/>
    </row>
    <row r="556" spans="1:12" hidden="1">
      <c r="A556" s="92" t="s">
        <v>162</v>
      </c>
      <c r="B556" s="93">
        <v>46258</v>
      </c>
      <c r="C556" s="92" t="s">
        <v>1953</v>
      </c>
      <c r="D556" s="92" t="s">
        <v>1954</v>
      </c>
      <c r="E556" s="92" t="s">
        <v>3678</v>
      </c>
      <c r="F556" s="88">
        <v>3850</v>
      </c>
      <c r="H556" s="88">
        <v>3850</v>
      </c>
      <c r="I556"/>
      <c r="J556" s="162">
        <v>1787034901550</v>
      </c>
      <c r="K556" s="65"/>
      <c r="L556" s="65"/>
    </row>
    <row r="557" spans="1:12" hidden="1">
      <c r="A557" s="92" t="s">
        <v>162</v>
      </c>
      <c r="B557" s="93">
        <v>46258</v>
      </c>
      <c r="C557" s="92" t="s">
        <v>1737</v>
      </c>
      <c r="D557" s="92" t="s">
        <v>1738</v>
      </c>
      <c r="E557" s="92" t="s">
        <v>3678</v>
      </c>
      <c r="F557" s="88">
        <v>4200</v>
      </c>
      <c r="H557" s="88">
        <v>4200</v>
      </c>
      <c r="I557"/>
      <c r="J557" s="162">
        <v>1786597995620</v>
      </c>
      <c r="K557" s="65"/>
      <c r="L557" s="65"/>
    </row>
    <row r="558" spans="1:12" hidden="1">
      <c r="A558" s="92" t="s">
        <v>162</v>
      </c>
      <c r="B558" s="93">
        <v>46258</v>
      </c>
      <c r="C558" s="92" t="s">
        <v>3436</v>
      </c>
      <c r="D558" s="92" t="s">
        <v>3437</v>
      </c>
      <c r="E558" s="92" t="s">
        <v>3678</v>
      </c>
      <c r="F558" s="88">
        <v>2800</v>
      </c>
      <c r="H558" s="88">
        <v>2800</v>
      </c>
      <c r="I558"/>
      <c r="J558" s="162">
        <v>1786596511632</v>
      </c>
      <c r="K558" s="65"/>
      <c r="L558" s="65"/>
    </row>
    <row r="559" spans="1:12" hidden="1">
      <c r="A559" s="92" t="s">
        <v>176</v>
      </c>
      <c r="B559" s="93">
        <v>46258</v>
      </c>
      <c r="C559" s="92" t="s">
        <v>3602</v>
      </c>
      <c r="D559" s="92" t="s">
        <v>3603</v>
      </c>
      <c r="E559" s="92" t="s">
        <v>3678</v>
      </c>
      <c r="F559" s="88">
        <v>2800</v>
      </c>
      <c r="H559" s="88">
        <v>2800</v>
      </c>
      <c r="I559"/>
      <c r="J559" s="162">
        <v>1786596973913</v>
      </c>
      <c r="K559" s="65"/>
      <c r="L559" s="65"/>
    </row>
    <row r="560" spans="1:12" hidden="1">
      <c r="A560" s="92" t="s">
        <v>172</v>
      </c>
      <c r="B560" s="93">
        <v>46258</v>
      </c>
      <c r="C560" s="92" t="s">
        <v>345</v>
      </c>
      <c r="D560" s="92" t="s">
        <v>346</v>
      </c>
      <c r="E560" s="92" t="s">
        <v>3678</v>
      </c>
      <c r="F560" s="88">
        <v>3850</v>
      </c>
      <c r="H560" s="88">
        <v>3850</v>
      </c>
      <c r="I560"/>
      <c r="J560" s="162">
        <v>1786597601488</v>
      </c>
      <c r="K560" s="65"/>
      <c r="L560" s="65"/>
    </row>
    <row r="561" spans="1:12" hidden="1">
      <c r="A561" s="92" t="s">
        <v>172</v>
      </c>
      <c r="B561" s="93">
        <v>46258</v>
      </c>
      <c r="C561" s="92" t="s">
        <v>640</v>
      </c>
      <c r="D561" s="92" t="s">
        <v>641</v>
      </c>
      <c r="E561" s="92" t="s">
        <v>3678</v>
      </c>
      <c r="F561" s="88">
        <v>2800</v>
      </c>
      <c r="H561" s="88">
        <v>2800</v>
      </c>
      <c r="I561"/>
      <c r="J561" s="162">
        <v>1786597202183</v>
      </c>
      <c r="K561" s="65"/>
      <c r="L561" s="65"/>
    </row>
    <row r="562" spans="1:12" hidden="1">
      <c r="A562" s="92" t="s">
        <v>180</v>
      </c>
      <c r="B562" s="93">
        <v>46258</v>
      </c>
      <c r="C562" s="92" t="s">
        <v>368</v>
      </c>
      <c r="D562" s="92" t="s">
        <v>369</v>
      </c>
      <c r="E562" s="92" t="s">
        <v>3678</v>
      </c>
      <c r="F562" s="88">
        <v>4200</v>
      </c>
      <c r="H562" s="88">
        <v>4200</v>
      </c>
      <c r="I562"/>
      <c r="J562" s="162">
        <v>1787111572705</v>
      </c>
      <c r="K562" s="65"/>
      <c r="L562" s="65"/>
    </row>
    <row r="563" spans="1:12" hidden="1">
      <c r="A563" s="92" t="s">
        <v>162</v>
      </c>
      <c r="B563" s="93">
        <v>46258</v>
      </c>
      <c r="C563" s="92" t="s">
        <v>1967</v>
      </c>
      <c r="D563" s="92" t="s">
        <v>1968</v>
      </c>
      <c r="E563" s="92" t="s">
        <v>3678</v>
      </c>
      <c r="F563" s="88">
        <v>3500</v>
      </c>
      <c r="H563" s="88">
        <v>3500</v>
      </c>
      <c r="I563"/>
      <c r="J563" s="162">
        <v>1787547270942</v>
      </c>
      <c r="K563" s="65"/>
      <c r="L563" s="65"/>
    </row>
    <row r="564" spans="1:12" hidden="1">
      <c r="A564" s="92" t="s">
        <v>162</v>
      </c>
      <c r="B564" s="93">
        <v>46258</v>
      </c>
      <c r="C564" s="92" t="s">
        <v>1957</v>
      </c>
      <c r="D564" s="92" t="s">
        <v>1958</v>
      </c>
      <c r="E564" s="92" t="s">
        <v>3678</v>
      </c>
      <c r="F564" s="88">
        <v>3850</v>
      </c>
      <c r="H564" s="88">
        <v>3850</v>
      </c>
      <c r="I564"/>
      <c r="J564" s="162">
        <v>1787102909603</v>
      </c>
      <c r="K564" s="65"/>
      <c r="L564" s="65"/>
    </row>
    <row r="565" spans="1:12" hidden="1">
      <c r="A565" s="92" t="s">
        <v>162</v>
      </c>
      <c r="B565" s="93">
        <v>46258</v>
      </c>
      <c r="C565" s="92" t="s">
        <v>3604</v>
      </c>
      <c r="D565" s="92" t="s">
        <v>3605</v>
      </c>
      <c r="E565" s="92" t="s">
        <v>3678</v>
      </c>
      <c r="F565" s="88">
        <v>3850</v>
      </c>
      <c r="H565" s="88">
        <v>3850</v>
      </c>
      <c r="I565"/>
      <c r="J565" s="162">
        <v>1786597511038</v>
      </c>
      <c r="K565" s="65"/>
      <c r="L565" s="65"/>
    </row>
    <row r="566" spans="1:12" hidden="1">
      <c r="A566" s="92" t="s">
        <v>162</v>
      </c>
      <c r="B566" s="93">
        <v>46258</v>
      </c>
      <c r="C566" s="92" t="s">
        <v>1891</v>
      </c>
      <c r="D566" s="92" t="s">
        <v>1892</v>
      </c>
      <c r="E566" s="92" t="s">
        <v>3678</v>
      </c>
      <c r="F566" s="88">
        <v>4000</v>
      </c>
      <c r="H566" s="88">
        <v>4000</v>
      </c>
      <c r="I566"/>
      <c r="J566" s="162">
        <v>1786598409476</v>
      </c>
      <c r="K566" s="65"/>
      <c r="L566" s="65"/>
    </row>
    <row r="567" spans="1:12" hidden="1">
      <c r="A567" s="92" t="s">
        <v>162</v>
      </c>
      <c r="B567" s="93">
        <v>46258</v>
      </c>
      <c r="C567" s="92" t="s">
        <v>1631</v>
      </c>
      <c r="D567" s="92" t="s">
        <v>1632</v>
      </c>
      <c r="E567" s="92" t="s">
        <v>3678</v>
      </c>
      <c r="F567" s="88">
        <v>7700</v>
      </c>
      <c r="H567" s="88">
        <v>7700</v>
      </c>
      <c r="I567"/>
      <c r="J567" s="162">
        <v>1786596689452</v>
      </c>
      <c r="K567" s="65"/>
      <c r="L567" s="65"/>
    </row>
    <row r="568" spans="1:12" hidden="1">
      <c r="A568" s="92" t="s">
        <v>162</v>
      </c>
      <c r="B568" s="93">
        <v>46258</v>
      </c>
      <c r="C568" s="92" t="s">
        <v>1810</v>
      </c>
      <c r="D568" s="92" t="s">
        <v>1811</v>
      </c>
      <c r="E568" s="92" t="s">
        <v>3678</v>
      </c>
      <c r="F568" s="88">
        <v>3850</v>
      </c>
      <c r="H568" s="88">
        <v>3850</v>
      </c>
      <c r="I568"/>
      <c r="J568" s="162">
        <v>1786598187514</v>
      </c>
      <c r="K568" s="65"/>
      <c r="L568" s="65"/>
    </row>
    <row r="569" spans="1:12" hidden="1">
      <c r="A569" s="92" t="s">
        <v>162</v>
      </c>
      <c r="B569" s="93">
        <v>46258</v>
      </c>
      <c r="C569" s="92" t="s">
        <v>1653</v>
      </c>
      <c r="D569" s="92" t="s">
        <v>1654</v>
      </c>
      <c r="E569" s="92" t="s">
        <v>3678</v>
      </c>
      <c r="F569" s="88">
        <v>3850</v>
      </c>
      <c r="H569" s="88">
        <v>3850</v>
      </c>
      <c r="I569"/>
      <c r="J569" s="162">
        <v>1786597260892</v>
      </c>
      <c r="K569" s="65"/>
      <c r="L569" s="65"/>
    </row>
    <row r="570" spans="1:12" hidden="1">
      <c r="A570" s="92" t="s">
        <v>162</v>
      </c>
      <c r="B570" s="93">
        <v>46258</v>
      </c>
      <c r="C570" s="92" t="s">
        <v>1816</v>
      </c>
      <c r="D570" s="92" t="s">
        <v>1817</v>
      </c>
      <c r="E570" s="92" t="s">
        <v>3678</v>
      </c>
      <c r="F570" s="88">
        <v>3850</v>
      </c>
      <c r="H570" s="88">
        <v>3850</v>
      </c>
      <c r="I570"/>
      <c r="J570" s="162">
        <v>1787561044139</v>
      </c>
      <c r="K570" s="65"/>
      <c r="L570" s="65"/>
    </row>
    <row r="571" spans="1:12" hidden="1">
      <c r="A571" s="92" t="s">
        <v>162</v>
      </c>
      <c r="B571" s="93">
        <v>46258</v>
      </c>
      <c r="C571" s="92" t="s">
        <v>1828</v>
      </c>
      <c r="D571" s="92" t="s">
        <v>1829</v>
      </c>
      <c r="E571" s="92" t="s">
        <v>3678</v>
      </c>
      <c r="F571" s="88">
        <v>3850</v>
      </c>
      <c r="H571" s="88">
        <v>3850</v>
      </c>
      <c r="I571"/>
      <c r="J571" s="162">
        <v>1786949885470</v>
      </c>
      <c r="K571" s="65"/>
      <c r="L571" s="65"/>
    </row>
    <row r="572" spans="1:12" hidden="1">
      <c r="A572" s="92" t="s">
        <v>162</v>
      </c>
      <c r="B572" s="93">
        <v>46258</v>
      </c>
      <c r="C572" s="92" t="s">
        <v>1389</v>
      </c>
      <c r="D572" s="92" t="s">
        <v>1390</v>
      </c>
      <c r="E572" s="92" t="s">
        <v>3678</v>
      </c>
      <c r="F572" s="88">
        <v>2800</v>
      </c>
      <c r="H572" s="88">
        <v>2800</v>
      </c>
      <c r="I572"/>
      <c r="J572" s="162">
        <v>1786598741661</v>
      </c>
      <c r="K572" s="65"/>
      <c r="L572" s="65"/>
    </row>
    <row r="573" spans="1:12" hidden="1">
      <c r="A573" s="92" t="s">
        <v>180</v>
      </c>
      <c r="B573" s="93">
        <v>46258</v>
      </c>
      <c r="C573" s="92" t="s">
        <v>3182</v>
      </c>
      <c r="D573" s="92" t="s">
        <v>3183</v>
      </c>
      <c r="E573" s="92" t="s">
        <v>3678</v>
      </c>
      <c r="F573" s="88">
        <v>3850</v>
      </c>
      <c r="H573" s="88">
        <v>3850</v>
      </c>
      <c r="I573"/>
      <c r="J573" s="162">
        <v>1787110600854</v>
      </c>
      <c r="K573" s="65"/>
      <c r="L573" s="65"/>
    </row>
    <row r="574" spans="1:12" hidden="1">
      <c r="A574" s="92" t="s">
        <v>176</v>
      </c>
      <c r="B574" s="93">
        <v>46258</v>
      </c>
      <c r="C574" s="92" t="s">
        <v>2989</v>
      </c>
      <c r="D574" s="92" t="s">
        <v>2990</v>
      </c>
      <c r="E574" s="92" t="s">
        <v>3678</v>
      </c>
      <c r="F574" s="88">
        <v>4000</v>
      </c>
      <c r="H574" s="88">
        <v>4000</v>
      </c>
      <c r="I574"/>
      <c r="J574" s="162">
        <v>1786596817304</v>
      </c>
      <c r="K574" s="65"/>
      <c r="L574" s="65"/>
    </row>
    <row r="575" spans="1:12" hidden="1">
      <c r="A575" s="92" t="s">
        <v>162</v>
      </c>
      <c r="B575" s="93">
        <v>46258</v>
      </c>
      <c r="C575" s="92" t="s">
        <v>1846</v>
      </c>
      <c r="D575" s="92" t="s">
        <v>1847</v>
      </c>
      <c r="E575" s="92" t="s">
        <v>3678</v>
      </c>
      <c r="F575" s="88">
        <v>4200</v>
      </c>
      <c r="H575" s="88">
        <v>4200</v>
      </c>
      <c r="I575"/>
      <c r="J575" s="162">
        <v>1786597408841</v>
      </c>
      <c r="K575" s="65"/>
      <c r="L575" s="65"/>
    </row>
    <row r="576" spans="1:12" hidden="1">
      <c r="A576" s="92" t="s">
        <v>172</v>
      </c>
      <c r="B576" s="93">
        <v>46258</v>
      </c>
      <c r="C576" s="92" t="s">
        <v>2879</v>
      </c>
      <c r="D576" s="92" t="s">
        <v>2880</v>
      </c>
      <c r="E576" s="92" t="s">
        <v>3678</v>
      </c>
      <c r="F576" s="88">
        <v>3850</v>
      </c>
      <c r="H576" s="88">
        <v>3850</v>
      </c>
      <c r="I576"/>
      <c r="J576" s="162">
        <v>1786596811674</v>
      </c>
      <c r="K576" s="65"/>
      <c r="L576" s="65"/>
    </row>
    <row r="577" spans="1:12" hidden="1">
      <c r="A577" s="92" t="s">
        <v>180</v>
      </c>
      <c r="B577" s="93">
        <v>46258</v>
      </c>
      <c r="C577" s="92" t="s">
        <v>474</v>
      </c>
      <c r="D577" s="92" t="s">
        <v>475</v>
      </c>
      <c r="E577" s="92" t="s">
        <v>3678</v>
      </c>
      <c r="F577" s="88">
        <v>2800</v>
      </c>
      <c r="H577" s="88">
        <v>2800</v>
      </c>
      <c r="I577"/>
      <c r="J577" s="162">
        <v>1786598416987</v>
      </c>
      <c r="K577" s="65"/>
      <c r="L577" s="65"/>
    </row>
    <row r="578" spans="1:12">
      <c r="A578" s="92" t="s">
        <v>172</v>
      </c>
      <c r="B578" s="93">
        <v>46258</v>
      </c>
      <c r="C578" s="92" t="s">
        <v>1752</v>
      </c>
      <c r="D578" s="92" t="s">
        <v>1753</v>
      </c>
      <c r="E578" s="92" t="s">
        <v>3677</v>
      </c>
      <c r="F578" s="88">
        <v>2000</v>
      </c>
      <c r="H578" s="88">
        <v>2000</v>
      </c>
      <c r="I578" s="65" t="s">
        <v>1754</v>
      </c>
      <c r="J578" s="162">
        <v>1787131127273</v>
      </c>
      <c r="K578" s="65"/>
      <c r="L578" s="65"/>
    </row>
    <row r="579" spans="1:12" hidden="1">
      <c r="A579" s="92" t="s">
        <v>162</v>
      </c>
      <c r="B579" s="93">
        <v>46258</v>
      </c>
      <c r="C579" s="92" t="s">
        <v>1943</v>
      </c>
      <c r="D579" s="92" t="s">
        <v>1944</v>
      </c>
      <c r="E579" s="92" t="s">
        <v>3678</v>
      </c>
      <c r="F579" s="88">
        <v>3850</v>
      </c>
      <c r="H579" s="88">
        <v>3850</v>
      </c>
      <c r="I579"/>
      <c r="J579" s="162">
        <v>1786598467796</v>
      </c>
      <c r="K579" s="65"/>
      <c r="L579" s="65"/>
    </row>
    <row r="580" spans="1:12" hidden="1">
      <c r="A580" s="92" t="s">
        <v>162</v>
      </c>
      <c r="B580" s="93">
        <v>46258</v>
      </c>
      <c r="C580" s="92" t="s">
        <v>1866</v>
      </c>
      <c r="D580" s="92" t="s">
        <v>1867</v>
      </c>
      <c r="E580" s="92" t="s">
        <v>3678</v>
      </c>
      <c r="F580" s="88">
        <v>2800</v>
      </c>
      <c r="H580" s="88">
        <v>2800</v>
      </c>
      <c r="I580"/>
      <c r="J580" s="162">
        <v>1786597540752</v>
      </c>
      <c r="K580" s="65"/>
      <c r="L580" s="65"/>
    </row>
    <row r="581" spans="1:12" hidden="1">
      <c r="A581" s="92" t="s">
        <v>162</v>
      </c>
      <c r="B581" s="93">
        <v>46258</v>
      </c>
      <c r="C581" s="92" t="s">
        <v>1449</v>
      </c>
      <c r="D581" s="92" t="s">
        <v>1450</v>
      </c>
      <c r="E581" s="92" t="s">
        <v>3678</v>
      </c>
      <c r="F581" s="88">
        <v>2800</v>
      </c>
      <c r="H581" s="88">
        <v>2800</v>
      </c>
      <c r="I581"/>
      <c r="J581" s="162">
        <v>1786597149302</v>
      </c>
      <c r="K581" s="65"/>
      <c r="L581" s="65"/>
    </row>
    <row r="582" spans="1:12" hidden="1">
      <c r="A582" s="92" t="s">
        <v>172</v>
      </c>
      <c r="B582" s="93">
        <v>46258</v>
      </c>
      <c r="C582" s="92" t="s">
        <v>1850</v>
      </c>
      <c r="D582" s="92" t="s">
        <v>1851</v>
      </c>
      <c r="E582" s="92" t="s">
        <v>3678</v>
      </c>
      <c r="F582" s="88">
        <v>3850</v>
      </c>
      <c r="H582" s="88">
        <v>3850</v>
      </c>
      <c r="I582"/>
      <c r="J582" s="162">
        <v>1786596407189</v>
      </c>
      <c r="K582" s="65"/>
      <c r="L582" s="65"/>
    </row>
    <row r="583" spans="1:12" hidden="1">
      <c r="A583" s="92" t="s">
        <v>180</v>
      </c>
      <c r="B583" s="93">
        <v>46258</v>
      </c>
      <c r="C583" s="92" t="s">
        <v>3021</v>
      </c>
      <c r="D583" s="92" t="s">
        <v>3022</v>
      </c>
      <c r="E583" s="92" t="s">
        <v>3678</v>
      </c>
      <c r="F583" s="88">
        <v>2800</v>
      </c>
      <c r="H583" s="88">
        <v>2800</v>
      </c>
      <c r="I583"/>
      <c r="J583" s="162">
        <v>1786597459996</v>
      </c>
      <c r="K583" s="65"/>
      <c r="L583" s="65"/>
    </row>
    <row r="584" spans="1:12" hidden="1">
      <c r="A584" s="92" t="s">
        <v>162</v>
      </c>
      <c r="B584" s="93">
        <v>46258</v>
      </c>
      <c r="C584" s="92" t="s">
        <v>1883</v>
      </c>
      <c r="D584" s="92" t="s">
        <v>1884</v>
      </c>
      <c r="E584" s="92" t="s">
        <v>3678</v>
      </c>
      <c r="F584" s="88">
        <v>4200</v>
      </c>
      <c r="H584" s="88">
        <v>4200</v>
      </c>
      <c r="I584"/>
      <c r="J584" s="162">
        <v>1786597535468</v>
      </c>
      <c r="K584" s="65"/>
      <c r="L584" s="65"/>
    </row>
    <row r="585" spans="1:12" hidden="1">
      <c r="A585" s="92" t="s">
        <v>172</v>
      </c>
      <c r="B585" s="93">
        <v>46258</v>
      </c>
      <c r="C585" s="92" t="s">
        <v>3480</v>
      </c>
      <c r="D585" s="92" t="s">
        <v>3481</v>
      </c>
      <c r="E585" s="92" t="s">
        <v>3678</v>
      </c>
      <c r="F585" s="88">
        <v>4000</v>
      </c>
      <c r="H585" s="88">
        <v>4000</v>
      </c>
      <c r="I585"/>
      <c r="J585" s="162">
        <v>1786598329573</v>
      </c>
      <c r="K585" s="65"/>
      <c r="L585" s="65"/>
    </row>
    <row r="586" spans="1:12" hidden="1">
      <c r="A586" s="92" t="s">
        <v>162</v>
      </c>
      <c r="B586" s="93">
        <v>46258</v>
      </c>
      <c r="C586" s="92" t="s">
        <v>1637</v>
      </c>
      <c r="D586" s="92" t="s">
        <v>1638</v>
      </c>
      <c r="E586" s="92" t="s">
        <v>3678</v>
      </c>
      <c r="F586" s="88">
        <v>3850</v>
      </c>
      <c r="H586" s="88">
        <v>3850</v>
      </c>
      <c r="I586"/>
      <c r="J586" s="162">
        <v>1786596390407</v>
      </c>
      <c r="K586" s="65"/>
      <c r="L586" s="65"/>
    </row>
    <row r="587" spans="1:12" hidden="1">
      <c r="A587" s="92" t="s">
        <v>162</v>
      </c>
      <c r="B587" s="93">
        <v>46258</v>
      </c>
      <c r="C587" s="92" t="s">
        <v>1660</v>
      </c>
      <c r="D587" s="92" t="s">
        <v>1661</v>
      </c>
      <c r="E587" s="92" t="s">
        <v>3678</v>
      </c>
      <c r="F587" s="88">
        <v>3850</v>
      </c>
      <c r="H587" s="88">
        <v>3850</v>
      </c>
      <c r="I587"/>
      <c r="J587" s="162">
        <v>1787112381864</v>
      </c>
      <c r="K587" s="65"/>
      <c r="L587" s="65"/>
    </row>
    <row r="588" spans="1:12" hidden="1">
      <c r="A588" s="92" t="s">
        <v>162</v>
      </c>
      <c r="B588" s="93">
        <v>46258</v>
      </c>
      <c r="C588" s="92" t="s">
        <v>3303</v>
      </c>
      <c r="D588" s="92" t="s">
        <v>3304</v>
      </c>
      <c r="E588" s="92" t="s">
        <v>3678</v>
      </c>
      <c r="F588" s="88">
        <v>3850</v>
      </c>
      <c r="H588" s="88">
        <v>3850</v>
      </c>
      <c r="I588"/>
      <c r="J588" s="162">
        <v>1786598636216</v>
      </c>
      <c r="K588" s="65"/>
      <c r="L588" s="65"/>
    </row>
    <row r="589" spans="1:12" hidden="1">
      <c r="A589" s="92" t="s">
        <v>162</v>
      </c>
      <c r="B589" s="93">
        <v>46258</v>
      </c>
      <c r="C589" s="92" t="s">
        <v>1464</v>
      </c>
      <c r="D589" s="92" t="s">
        <v>1465</v>
      </c>
      <c r="E589" s="92" t="s">
        <v>3678</v>
      </c>
      <c r="F589" s="88">
        <v>3850</v>
      </c>
      <c r="H589" s="88">
        <v>3850</v>
      </c>
      <c r="I589"/>
      <c r="J589" s="162">
        <v>1786597140624</v>
      </c>
      <c r="K589" s="65"/>
      <c r="L589" s="65"/>
    </row>
    <row r="590" spans="1:12" hidden="1">
      <c r="A590" s="92" t="s">
        <v>162</v>
      </c>
      <c r="B590" s="93">
        <v>46258</v>
      </c>
      <c r="C590" s="92" t="s">
        <v>1993</v>
      </c>
      <c r="D590" s="92" t="s">
        <v>1994</v>
      </c>
      <c r="E590" s="92" t="s">
        <v>3678</v>
      </c>
      <c r="F590" s="88">
        <v>2800</v>
      </c>
      <c r="H590" s="88">
        <v>2800</v>
      </c>
      <c r="I590"/>
      <c r="J590" s="162">
        <v>1786597582947</v>
      </c>
      <c r="K590" s="65"/>
      <c r="L590" s="65"/>
    </row>
    <row r="591" spans="1:12" hidden="1">
      <c r="A591" s="92" t="s">
        <v>162</v>
      </c>
      <c r="B591" s="93">
        <v>46258</v>
      </c>
      <c r="C591" s="92" t="s">
        <v>1186</v>
      </c>
      <c r="D591" s="92" t="s">
        <v>1187</v>
      </c>
      <c r="E591" s="92" t="s">
        <v>3678</v>
      </c>
      <c r="F591" s="88">
        <v>2800</v>
      </c>
      <c r="H591" s="88">
        <v>2800</v>
      </c>
      <c r="I591"/>
      <c r="J591" s="162">
        <v>1786596603296</v>
      </c>
      <c r="K591" s="65"/>
      <c r="L591" s="65"/>
    </row>
    <row r="592" spans="1:12">
      <c r="A592" s="92" t="s">
        <v>162</v>
      </c>
      <c r="B592" s="93">
        <v>46258</v>
      </c>
      <c r="C592" s="92" t="s">
        <v>1223</v>
      </c>
      <c r="D592" s="92" t="s">
        <v>1224</v>
      </c>
      <c r="E592" s="92" t="s">
        <v>3677</v>
      </c>
      <c r="F592" s="88">
        <v>2000</v>
      </c>
      <c r="H592" s="88">
        <v>2000</v>
      </c>
      <c r="I592" s="65" t="s">
        <v>1225</v>
      </c>
      <c r="J592" s="162">
        <v>1787056994789</v>
      </c>
      <c r="K592" s="65"/>
      <c r="L592" s="65"/>
    </row>
    <row r="593" spans="1:12" hidden="1">
      <c r="A593" s="92" t="s">
        <v>162</v>
      </c>
      <c r="B593" s="93">
        <v>46258</v>
      </c>
      <c r="C593" s="92" t="s">
        <v>2036</v>
      </c>
      <c r="D593" s="92" t="s">
        <v>2037</v>
      </c>
      <c r="E593" s="92" t="s">
        <v>3678</v>
      </c>
      <c r="F593" s="88">
        <v>2800</v>
      </c>
      <c r="H593" s="88">
        <v>2800</v>
      </c>
      <c r="I593"/>
      <c r="J593" s="162">
        <v>1786597227576</v>
      </c>
      <c r="K593" s="65"/>
      <c r="L593" s="65"/>
    </row>
    <row r="594" spans="1:12" hidden="1">
      <c r="A594" s="92" t="s">
        <v>162</v>
      </c>
      <c r="B594" s="93">
        <v>46258</v>
      </c>
      <c r="C594" s="92" t="s">
        <v>1933</v>
      </c>
      <c r="D594" s="92" t="s">
        <v>1934</v>
      </c>
      <c r="E594" s="92" t="s">
        <v>3678</v>
      </c>
      <c r="F594" s="88">
        <v>3850</v>
      </c>
      <c r="H594" s="88">
        <v>3850</v>
      </c>
      <c r="I594"/>
      <c r="J594" s="162">
        <v>1786598457837</v>
      </c>
      <c r="K594" s="65"/>
      <c r="L594" s="65"/>
    </row>
    <row r="595" spans="1:12" hidden="1">
      <c r="A595" s="92" t="s">
        <v>172</v>
      </c>
      <c r="B595" s="93">
        <v>46258</v>
      </c>
      <c r="C595" s="92" t="s">
        <v>3606</v>
      </c>
      <c r="D595" s="92" t="s">
        <v>3607</v>
      </c>
      <c r="E595" s="92" t="s">
        <v>3678</v>
      </c>
      <c r="F595" s="88">
        <v>3850</v>
      </c>
      <c r="H595" s="88">
        <v>3850</v>
      </c>
      <c r="I595"/>
      <c r="J595" s="162">
        <v>1786939110280</v>
      </c>
      <c r="K595" s="65"/>
      <c r="L595" s="65"/>
    </row>
    <row r="596" spans="1:12" hidden="1">
      <c r="A596" s="92" t="s">
        <v>162</v>
      </c>
      <c r="B596" s="93">
        <v>46258</v>
      </c>
      <c r="C596" s="92" t="s">
        <v>2039</v>
      </c>
      <c r="D596" s="92" t="s">
        <v>2040</v>
      </c>
      <c r="E596" s="92" t="s">
        <v>3678</v>
      </c>
      <c r="F596" s="88">
        <v>4200</v>
      </c>
      <c r="H596" s="88">
        <v>4200</v>
      </c>
      <c r="I596"/>
      <c r="J596" s="162">
        <v>1786598054922</v>
      </c>
      <c r="K596" s="65"/>
      <c r="L596" s="65"/>
    </row>
    <row r="597" spans="1:12" hidden="1">
      <c r="A597" s="92" t="s">
        <v>162</v>
      </c>
      <c r="B597" s="93">
        <v>46258</v>
      </c>
      <c r="C597" s="92" t="s">
        <v>1385</v>
      </c>
      <c r="D597" s="92" t="s">
        <v>1386</v>
      </c>
      <c r="E597" s="92" t="s">
        <v>3678</v>
      </c>
      <c r="F597" s="88">
        <v>2800</v>
      </c>
      <c r="H597" s="88">
        <v>2800</v>
      </c>
      <c r="I597"/>
      <c r="J597" s="162">
        <v>1786597703261</v>
      </c>
      <c r="K597" s="65"/>
      <c r="L597" s="65"/>
    </row>
    <row r="598" spans="1:12">
      <c r="A598" s="92" t="s">
        <v>162</v>
      </c>
      <c r="B598" s="93">
        <v>46258</v>
      </c>
      <c r="C598" s="92" t="s">
        <v>1852</v>
      </c>
      <c r="D598" s="92" t="s">
        <v>1853</v>
      </c>
      <c r="E598" s="92" t="s">
        <v>3677</v>
      </c>
      <c r="F598" s="88">
        <v>2000</v>
      </c>
      <c r="H598" s="88">
        <v>2000</v>
      </c>
      <c r="I598" s="65" t="s">
        <v>47</v>
      </c>
      <c r="J598" s="162">
        <v>1786940673954</v>
      </c>
      <c r="K598" s="65"/>
      <c r="L598" s="65"/>
    </row>
    <row r="599" spans="1:12" hidden="1">
      <c r="A599" s="92" t="s">
        <v>176</v>
      </c>
      <c r="B599" s="93">
        <v>46258</v>
      </c>
      <c r="C599" s="92" t="s">
        <v>3608</v>
      </c>
      <c r="D599" s="92" t="s">
        <v>3609</v>
      </c>
      <c r="E599" s="92" t="s">
        <v>3678</v>
      </c>
      <c r="F599" s="88">
        <v>3850</v>
      </c>
      <c r="H599" s="88">
        <v>3850</v>
      </c>
      <c r="I599"/>
      <c r="J599" s="162">
        <v>1786597510885</v>
      </c>
      <c r="K599" s="65"/>
      <c r="L599" s="65"/>
    </row>
    <row r="600" spans="1:12" hidden="1">
      <c r="A600" s="92" t="s">
        <v>162</v>
      </c>
      <c r="B600" s="93">
        <v>46258</v>
      </c>
      <c r="C600" s="92" t="s">
        <v>1676</v>
      </c>
      <c r="D600" s="92" t="s">
        <v>1677</v>
      </c>
      <c r="E600" s="92" t="s">
        <v>3678</v>
      </c>
      <c r="F600" s="88">
        <v>3850</v>
      </c>
      <c r="H600" s="88">
        <v>3850</v>
      </c>
      <c r="I600"/>
      <c r="J600" s="162">
        <v>1786598584863</v>
      </c>
      <c r="K600" s="65"/>
      <c r="L600" s="65"/>
    </row>
    <row r="601" spans="1:12" hidden="1">
      <c r="A601" s="92" t="s">
        <v>162</v>
      </c>
      <c r="B601" s="93">
        <v>46258</v>
      </c>
      <c r="C601" s="92" t="s">
        <v>1611</v>
      </c>
      <c r="D601" s="92" t="s">
        <v>1612</v>
      </c>
      <c r="E601" s="92" t="s">
        <v>3678</v>
      </c>
      <c r="F601" s="88">
        <v>3850</v>
      </c>
      <c r="H601" s="88">
        <v>3850</v>
      </c>
      <c r="I601"/>
      <c r="J601" s="162">
        <v>1786596874516</v>
      </c>
      <c r="K601" s="65"/>
      <c r="L601" s="65"/>
    </row>
    <row r="602" spans="1:12" hidden="1">
      <c r="A602" s="92" t="s">
        <v>162</v>
      </c>
      <c r="B602" s="93">
        <v>46258</v>
      </c>
      <c r="C602" s="92" t="s">
        <v>1746</v>
      </c>
      <c r="D602" s="92" t="s">
        <v>1747</v>
      </c>
      <c r="E602" s="92" t="s">
        <v>3678</v>
      </c>
      <c r="F602" s="88">
        <v>4200</v>
      </c>
      <c r="H602" s="88">
        <v>4200</v>
      </c>
      <c r="I602"/>
      <c r="J602" s="162">
        <v>1786596991689</v>
      </c>
      <c r="K602" s="65"/>
      <c r="L602" s="65"/>
    </row>
    <row r="603" spans="1:12" hidden="1">
      <c r="A603" s="92" t="s">
        <v>162</v>
      </c>
      <c r="B603" s="93">
        <v>46258</v>
      </c>
      <c r="C603" s="92" t="s">
        <v>3610</v>
      </c>
      <c r="D603" s="92" t="s">
        <v>3611</v>
      </c>
      <c r="E603" s="92" t="s">
        <v>3678</v>
      </c>
      <c r="F603" s="88">
        <v>3850</v>
      </c>
      <c r="H603" s="88">
        <v>3850</v>
      </c>
      <c r="I603"/>
      <c r="J603" s="162">
        <v>1786598553729</v>
      </c>
      <c r="K603" s="65"/>
      <c r="L603" s="65"/>
    </row>
    <row r="604" spans="1:12" hidden="1">
      <c r="A604" s="92" t="s">
        <v>162</v>
      </c>
      <c r="B604" s="93">
        <v>46258</v>
      </c>
      <c r="C604" s="92" t="s">
        <v>1844</v>
      </c>
      <c r="D604" s="92" t="s">
        <v>1845</v>
      </c>
      <c r="E604" s="92" t="s">
        <v>3678</v>
      </c>
      <c r="F604" s="88">
        <v>4200</v>
      </c>
      <c r="H604" s="88">
        <v>4200</v>
      </c>
      <c r="I604"/>
      <c r="J604" s="162">
        <v>1786597137430</v>
      </c>
      <c r="K604" s="65"/>
      <c r="L604" s="65"/>
    </row>
    <row r="605" spans="1:12" hidden="1">
      <c r="A605" s="92" t="s">
        <v>172</v>
      </c>
      <c r="B605" s="93">
        <v>46258</v>
      </c>
      <c r="C605" s="92" t="s">
        <v>443</v>
      </c>
      <c r="D605" s="92" t="s">
        <v>444</v>
      </c>
      <c r="E605" s="92" t="s">
        <v>3678</v>
      </c>
      <c r="F605" s="88">
        <v>3850</v>
      </c>
      <c r="H605" s="88">
        <v>3850</v>
      </c>
      <c r="I605"/>
      <c r="J605" s="162">
        <v>1786597421744</v>
      </c>
      <c r="K605" s="65"/>
      <c r="L605" s="65"/>
    </row>
    <row r="606" spans="1:12" hidden="1">
      <c r="A606" s="92" t="s">
        <v>162</v>
      </c>
      <c r="B606" s="93">
        <v>46258</v>
      </c>
      <c r="C606" s="92" t="s">
        <v>1387</v>
      </c>
      <c r="D606" s="92" t="s">
        <v>1388</v>
      </c>
      <c r="E606" s="92" t="s">
        <v>3678</v>
      </c>
      <c r="F606" s="88">
        <v>3850</v>
      </c>
      <c r="H606" s="88">
        <v>3850</v>
      </c>
      <c r="I606"/>
      <c r="J606" s="162">
        <v>1786597679220</v>
      </c>
      <c r="K606" s="65"/>
      <c r="L606" s="65"/>
    </row>
    <row r="607" spans="1:12" hidden="1">
      <c r="A607" s="92" t="s">
        <v>162</v>
      </c>
      <c r="B607" s="93">
        <v>46258</v>
      </c>
      <c r="C607" s="92" t="s">
        <v>1700</v>
      </c>
      <c r="D607" s="92" t="s">
        <v>1701</v>
      </c>
      <c r="E607" s="92" t="s">
        <v>3678</v>
      </c>
      <c r="F607" s="88">
        <v>4744</v>
      </c>
      <c r="H607" s="88">
        <v>4744</v>
      </c>
      <c r="I607"/>
      <c r="J607" s="162">
        <v>1786597144210</v>
      </c>
      <c r="K607" s="65"/>
      <c r="L607" s="65"/>
    </row>
    <row r="608" spans="1:12" hidden="1">
      <c r="A608" s="92" t="s">
        <v>162</v>
      </c>
      <c r="B608" s="93">
        <v>46258</v>
      </c>
      <c r="C608" s="92" t="s">
        <v>1700</v>
      </c>
      <c r="D608" s="92" t="s">
        <v>1701</v>
      </c>
      <c r="E608" s="92" t="s">
        <v>3678</v>
      </c>
      <c r="F608" s="88">
        <v>3850</v>
      </c>
      <c r="H608" s="88">
        <v>3850</v>
      </c>
      <c r="I608"/>
      <c r="J608" s="162">
        <v>1786597144210</v>
      </c>
      <c r="K608" s="65"/>
      <c r="L608" s="65"/>
    </row>
    <row r="609" spans="1:12" hidden="1">
      <c r="A609" s="92" t="s">
        <v>162</v>
      </c>
      <c r="B609" s="93">
        <v>46258</v>
      </c>
      <c r="C609" s="92" t="s">
        <v>692</v>
      </c>
      <c r="D609" s="92" t="s">
        <v>1655</v>
      </c>
      <c r="E609" s="92" t="s">
        <v>3678</v>
      </c>
      <c r="F609" s="88">
        <v>2800</v>
      </c>
      <c r="H609" s="88">
        <v>2800</v>
      </c>
      <c r="I609"/>
      <c r="J609" s="162">
        <v>1787553515746</v>
      </c>
      <c r="K609" s="65"/>
      <c r="L609" s="65"/>
    </row>
    <row r="610" spans="1:12" hidden="1">
      <c r="A610" s="92" t="s">
        <v>162</v>
      </c>
      <c r="B610" s="93">
        <v>46258</v>
      </c>
      <c r="C610" s="92" t="s">
        <v>1411</v>
      </c>
      <c r="D610" s="92" t="s">
        <v>1412</v>
      </c>
      <c r="E610" s="92" t="s">
        <v>3678</v>
      </c>
      <c r="F610" s="88">
        <v>3850</v>
      </c>
      <c r="H610" s="88">
        <v>3850</v>
      </c>
      <c r="I610"/>
      <c r="J610" s="162">
        <v>1786597124050</v>
      </c>
      <c r="K610" s="65"/>
      <c r="L610" s="65"/>
    </row>
    <row r="611" spans="1:12" hidden="1">
      <c r="A611" s="92" t="s">
        <v>162</v>
      </c>
      <c r="B611" s="93">
        <v>46258</v>
      </c>
      <c r="C611" s="92" t="s">
        <v>1739</v>
      </c>
      <c r="D611" s="92" t="s">
        <v>1740</v>
      </c>
      <c r="E611" s="92" t="s">
        <v>3678</v>
      </c>
      <c r="F611" s="88">
        <v>2800</v>
      </c>
      <c r="H611" s="88">
        <v>2800</v>
      </c>
      <c r="I611"/>
      <c r="J611" s="162">
        <v>1786597337922</v>
      </c>
      <c r="K611" s="65"/>
      <c r="L611" s="65"/>
    </row>
    <row r="612" spans="1:12" hidden="1">
      <c r="A612" s="92" t="s">
        <v>172</v>
      </c>
      <c r="B612" s="93">
        <v>46258</v>
      </c>
      <c r="C612" s="92" t="s">
        <v>3115</v>
      </c>
      <c r="D612" s="92" t="s">
        <v>3116</v>
      </c>
      <c r="E612" s="92" t="s">
        <v>3678</v>
      </c>
      <c r="F612" s="88">
        <v>3850</v>
      </c>
      <c r="H612" s="88">
        <v>3850</v>
      </c>
      <c r="I612"/>
      <c r="J612" s="162">
        <v>1786678847765</v>
      </c>
      <c r="K612" s="65"/>
      <c r="L612" s="65"/>
    </row>
    <row r="613" spans="1:12" hidden="1">
      <c r="A613" s="92" t="s">
        <v>162</v>
      </c>
      <c r="B613" s="93">
        <v>46258</v>
      </c>
      <c r="C613" s="92" t="s">
        <v>1711</v>
      </c>
      <c r="D613" s="92" t="s">
        <v>1712</v>
      </c>
      <c r="E613" s="92" t="s">
        <v>3678</v>
      </c>
      <c r="F613" s="88">
        <v>2800</v>
      </c>
      <c r="H613" s="88">
        <v>2800</v>
      </c>
      <c r="I613"/>
      <c r="J613" s="162">
        <v>1786596836110</v>
      </c>
      <c r="K613" s="65"/>
      <c r="L613" s="65"/>
    </row>
    <row r="614" spans="1:12" hidden="1">
      <c r="A614" s="92" t="s">
        <v>180</v>
      </c>
      <c r="B614" s="93">
        <v>46259</v>
      </c>
      <c r="C614" s="92" t="s">
        <v>645</v>
      </c>
      <c r="D614" s="92" t="s">
        <v>646</v>
      </c>
      <c r="E614" s="92" t="s">
        <v>3678</v>
      </c>
      <c r="F614" s="88">
        <v>4000</v>
      </c>
      <c r="H614" s="88">
        <v>4000</v>
      </c>
      <c r="I614"/>
      <c r="J614" s="162">
        <v>1786957939290</v>
      </c>
      <c r="K614" s="65"/>
      <c r="L614" s="65"/>
    </row>
    <row r="615" spans="1:12" hidden="1">
      <c r="A615" s="92" t="s">
        <v>162</v>
      </c>
      <c r="B615" s="93">
        <v>46259</v>
      </c>
      <c r="C615" s="92" t="s">
        <v>1923</v>
      </c>
      <c r="D615" s="92" t="s">
        <v>1924</v>
      </c>
      <c r="E615" s="92" t="s">
        <v>3678</v>
      </c>
      <c r="F615" s="88">
        <v>3850</v>
      </c>
      <c r="H615" s="88">
        <v>3850</v>
      </c>
      <c r="I615"/>
      <c r="J615" s="162">
        <v>1786597697341</v>
      </c>
      <c r="K615" s="65"/>
      <c r="L615" s="65"/>
    </row>
    <row r="616" spans="1:12" hidden="1">
      <c r="A616" s="92" t="s">
        <v>162</v>
      </c>
      <c r="B616" s="93">
        <v>46259</v>
      </c>
      <c r="C616" s="92" t="s">
        <v>1919</v>
      </c>
      <c r="D616" s="92" t="s">
        <v>1920</v>
      </c>
      <c r="E616" s="92" t="s">
        <v>3678</v>
      </c>
      <c r="F616" s="88">
        <v>2800</v>
      </c>
      <c r="H616" s="88">
        <v>2800</v>
      </c>
      <c r="I616"/>
      <c r="J616" s="162">
        <v>1786598806544</v>
      </c>
      <c r="K616" s="65"/>
      <c r="L616" s="65"/>
    </row>
    <row r="617" spans="1:12" hidden="1">
      <c r="A617" s="92" t="s">
        <v>176</v>
      </c>
      <c r="B617" s="93">
        <v>46259</v>
      </c>
      <c r="C617" s="92" t="s">
        <v>2893</v>
      </c>
      <c r="D617" s="92" t="s">
        <v>2894</v>
      </c>
      <c r="E617" s="92" t="s">
        <v>3678</v>
      </c>
      <c r="F617" s="88">
        <v>4000</v>
      </c>
      <c r="H617" s="88">
        <v>4000</v>
      </c>
      <c r="I617"/>
      <c r="J617" s="162">
        <v>1786598698158</v>
      </c>
      <c r="K617" s="65"/>
      <c r="L617" s="65"/>
    </row>
    <row r="618" spans="1:12" hidden="1">
      <c r="A618" s="92" t="s">
        <v>180</v>
      </c>
      <c r="B618" s="93">
        <v>46259</v>
      </c>
      <c r="C618" s="92" t="s">
        <v>3612</v>
      </c>
      <c r="D618" s="92" t="s">
        <v>3613</v>
      </c>
      <c r="E618" s="92" t="s">
        <v>3678</v>
      </c>
      <c r="F618" s="88">
        <v>9200</v>
      </c>
      <c r="G618" s="88">
        <v>5000</v>
      </c>
      <c r="H618" s="88">
        <v>4200</v>
      </c>
      <c r="I618"/>
      <c r="J618" s="162">
        <v>1787624910479</v>
      </c>
      <c r="K618" s="65"/>
      <c r="L618" s="65"/>
    </row>
    <row r="619" spans="1:12" hidden="1">
      <c r="A619" s="92" t="s">
        <v>162</v>
      </c>
      <c r="B619" s="93">
        <v>46259</v>
      </c>
      <c r="C619" s="92" t="s">
        <v>1988</v>
      </c>
      <c r="D619" s="92" t="s">
        <v>1989</v>
      </c>
      <c r="E619" s="92" t="s">
        <v>3678</v>
      </c>
      <c r="F619" s="88">
        <v>2396</v>
      </c>
      <c r="H619" s="88">
        <v>2396</v>
      </c>
      <c r="I619"/>
      <c r="J619" s="162">
        <v>1786598368531</v>
      </c>
      <c r="K619" s="65"/>
      <c r="L619" s="65"/>
    </row>
    <row r="620" spans="1:12" hidden="1">
      <c r="A620" s="92" t="s">
        <v>162</v>
      </c>
      <c r="B620" s="93">
        <v>46259</v>
      </c>
      <c r="C620" s="92" t="s">
        <v>1885</v>
      </c>
      <c r="D620" s="92" t="s">
        <v>1886</v>
      </c>
      <c r="E620" s="92" t="s">
        <v>3678</v>
      </c>
      <c r="F620" s="88">
        <v>2800</v>
      </c>
      <c r="H620" s="88">
        <v>2800</v>
      </c>
      <c r="I620"/>
      <c r="J620" s="162">
        <v>1786597387923</v>
      </c>
      <c r="K620" s="65"/>
      <c r="L620" s="65"/>
    </row>
    <row r="621" spans="1:12" hidden="1">
      <c r="A621" s="92" t="s">
        <v>162</v>
      </c>
      <c r="B621" s="93">
        <v>46259</v>
      </c>
      <c r="C621" s="92" t="s">
        <v>2105</v>
      </c>
      <c r="D621" s="92" t="s">
        <v>2106</v>
      </c>
      <c r="E621" s="92" t="s">
        <v>3678</v>
      </c>
      <c r="F621" s="88">
        <v>4200</v>
      </c>
      <c r="H621" s="88">
        <v>4200</v>
      </c>
      <c r="I621"/>
      <c r="J621" s="162">
        <v>1786598386108</v>
      </c>
      <c r="K621" s="65"/>
      <c r="L621" s="65"/>
    </row>
    <row r="622" spans="1:12" hidden="1">
      <c r="A622" s="92" t="s">
        <v>172</v>
      </c>
      <c r="B622" s="93">
        <v>46259</v>
      </c>
      <c r="C622" s="92" t="s">
        <v>209</v>
      </c>
      <c r="D622" s="92" t="s">
        <v>210</v>
      </c>
      <c r="E622" s="92" t="s">
        <v>3678</v>
      </c>
      <c r="F622" s="88">
        <v>4000</v>
      </c>
      <c r="H622" s="88">
        <v>4000</v>
      </c>
      <c r="I622"/>
      <c r="J622" s="162">
        <v>1787554332475</v>
      </c>
      <c r="K622" s="65"/>
      <c r="L622" s="65"/>
    </row>
    <row r="623" spans="1:12" hidden="1">
      <c r="A623" s="92" t="s">
        <v>162</v>
      </c>
      <c r="B623" s="93">
        <v>46259</v>
      </c>
      <c r="C623" s="92" t="s">
        <v>1802</v>
      </c>
      <c r="D623" s="92" t="s">
        <v>1803</v>
      </c>
      <c r="E623" s="92" t="s">
        <v>3678</v>
      </c>
      <c r="F623" s="88">
        <v>4200</v>
      </c>
      <c r="H623" s="88">
        <v>4200</v>
      </c>
      <c r="I623"/>
      <c r="J623" s="162">
        <v>1787542495346</v>
      </c>
    </row>
    <row r="624" spans="1:12" hidden="1">
      <c r="A624" s="92" t="s">
        <v>162</v>
      </c>
      <c r="B624" s="93">
        <v>46259</v>
      </c>
      <c r="C624" s="92" t="s">
        <v>170</v>
      </c>
      <c r="D624" s="92" t="s">
        <v>171</v>
      </c>
      <c r="E624" s="92" t="s">
        <v>3678</v>
      </c>
      <c r="F624" s="88">
        <v>3850</v>
      </c>
      <c r="H624" s="88">
        <v>3850</v>
      </c>
      <c r="I624"/>
      <c r="J624" s="162">
        <v>1786598502912</v>
      </c>
      <c r="K624" s="65"/>
      <c r="L624" s="65"/>
    </row>
    <row r="625" spans="1:12" hidden="1">
      <c r="A625" s="92" t="s">
        <v>162</v>
      </c>
      <c r="B625" s="93">
        <v>46259</v>
      </c>
      <c r="C625" s="92" t="s">
        <v>1876</v>
      </c>
      <c r="D625" s="92" t="s">
        <v>1877</v>
      </c>
      <c r="E625" s="92" t="s">
        <v>3678</v>
      </c>
      <c r="F625" s="88">
        <v>3850</v>
      </c>
      <c r="H625" s="88">
        <v>3850</v>
      </c>
      <c r="I625"/>
      <c r="J625" s="162">
        <v>1786597322730</v>
      </c>
      <c r="K625" s="65"/>
      <c r="L625" s="65"/>
    </row>
    <row r="626" spans="1:12" hidden="1">
      <c r="A626" s="92" t="s">
        <v>162</v>
      </c>
      <c r="B626" s="93">
        <v>46259</v>
      </c>
      <c r="C626" s="92" t="s">
        <v>1808</v>
      </c>
      <c r="D626" s="92" t="s">
        <v>1809</v>
      </c>
      <c r="E626" s="92" t="s">
        <v>3678</v>
      </c>
      <c r="F626" s="88">
        <v>2800</v>
      </c>
      <c r="H626" s="88">
        <v>2800</v>
      </c>
      <c r="I626"/>
      <c r="J626" s="162">
        <v>1786597176738</v>
      </c>
      <c r="K626" s="65"/>
      <c r="L626" s="65"/>
    </row>
    <row r="627" spans="1:12" hidden="1">
      <c r="A627" s="92" t="s">
        <v>172</v>
      </c>
      <c r="B627" s="93">
        <v>46259</v>
      </c>
      <c r="C627" s="92" t="s">
        <v>362</v>
      </c>
      <c r="D627" s="92" t="s">
        <v>363</v>
      </c>
      <c r="E627" s="92" t="s">
        <v>3678</v>
      </c>
      <c r="F627" s="88">
        <v>2800</v>
      </c>
      <c r="H627" s="88">
        <v>2800</v>
      </c>
      <c r="I627"/>
      <c r="J627" s="162">
        <v>1786596899800</v>
      </c>
      <c r="K627" s="65"/>
      <c r="L627" s="65"/>
    </row>
    <row r="628" spans="1:12" hidden="1">
      <c r="A628" s="92" t="s">
        <v>172</v>
      </c>
      <c r="B628" s="93">
        <v>46259</v>
      </c>
      <c r="C628" s="92" t="s">
        <v>2825</v>
      </c>
      <c r="D628" s="92" t="s">
        <v>2826</v>
      </c>
      <c r="E628" s="92" t="s">
        <v>3678</v>
      </c>
      <c r="F628" s="88">
        <v>3850</v>
      </c>
      <c r="H628" s="88">
        <v>3850</v>
      </c>
      <c r="I628"/>
      <c r="J628" s="162">
        <v>1786597258684</v>
      </c>
      <c r="K628" s="65"/>
      <c r="L628" s="65"/>
    </row>
    <row r="629" spans="1:12" hidden="1">
      <c r="A629" s="92" t="s">
        <v>162</v>
      </c>
      <c r="B629" s="93">
        <v>46259</v>
      </c>
      <c r="C629" s="92" t="s">
        <v>1909</v>
      </c>
      <c r="D629" s="92" t="s">
        <v>1910</v>
      </c>
      <c r="E629" s="92" t="s">
        <v>3678</v>
      </c>
      <c r="F629" s="88">
        <v>2800</v>
      </c>
      <c r="H629" s="88">
        <v>2800</v>
      </c>
      <c r="I629"/>
      <c r="J629" s="162">
        <v>1787543473286</v>
      </c>
      <c r="K629" s="65"/>
      <c r="L629" s="65"/>
    </row>
    <row r="630" spans="1:12" hidden="1">
      <c r="A630" s="92" t="s">
        <v>162</v>
      </c>
      <c r="B630" s="93">
        <v>46259</v>
      </c>
      <c r="C630" s="92" t="s">
        <v>1893</v>
      </c>
      <c r="D630" s="92" t="s">
        <v>1894</v>
      </c>
      <c r="E630" s="92" t="s">
        <v>3678</v>
      </c>
      <c r="F630" s="88">
        <v>3850</v>
      </c>
      <c r="H630" s="88">
        <v>3850</v>
      </c>
      <c r="I630"/>
      <c r="J630" s="162">
        <v>1786597193022</v>
      </c>
      <c r="K630" s="65"/>
      <c r="L630" s="65"/>
    </row>
    <row r="631" spans="1:12" hidden="1">
      <c r="A631" s="92" t="s">
        <v>162</v>
      </c>
      <c r="B631" s="93">
        <v>46259</v>
      </c>
      <c r="C631" s="92" t="s">
        <v>1927</v>
      </c>
      <c r="D631" s="92" t="s">
        <v>1928</v>
      </c>
      <c r="E631" s="92" t="s">
        <v>3678</v>
      </c>
      <c r="F631" s="88">
        <v>3850</v>
      </c>
      <c r="H631" s="88">
        <v>3850</v>
      </c>
      <c r="I631"/>
      <c r="J631" s="162">
        <v>1787588689945</v>
      </c>
      <c r="K631" s="65"/>
      <c r="L631" s="65"/>
    </row>
    <row r="632" spans="1:12" hidden="1">
      <c r="A632" s="92" t="s">
        <v>162</v>
      </c>
      <c r="B632" s="93">
        <v>46259</v>
      </c>
      <c r="C632" s="92" t="s">
        <v>1682</v>
      </c>
      <c r="D632" s="92" t="s">
        <v>1683</v>
      </c>
      <c r="E632" s="92" t="s">
        <v>3678</v>
      </c>
      <c r="F632" s="88">
        <v>3850</v>
      </c>
      <c r="H632" s="88">
        <v>3850</v>
      </c>
      <c r="I632"/>
      <c r="J632" s="162">
        <v>1786598108201</v>
      </c>
      <c r="K632" s="65"/>
      <c r="L632" s="65"/>
    </row>
    <row r="633" spans="1:12" hidden="1">
      <c r="A633" s="92" t="s">
        <v>162</v>
      </c>
      <c r="B633" s="93">
        <v>46259</v>
      </c>
      <c r="C633" s="92" t="s">
        <v>2007</v>
      </c>
      <c r="D633" s="92" t="s">
        <v>2008</v>
      </c>
      <c r="E633" s="92" t="s">
        <v>3678</v>
      </c>
      <c r="F633" s="88">
        <v>3850</v>
      </c>
      <c r="H633" s="88">
        <v>3850</v>
      </c>
      <c r="I633"/>
      <c r="J633" s="162">
        <v>1787588786044</v>
      </c>
      <c r="K633" s="65"/>
      <c r="L633" s="65"/>
    </row>
    <row r="634" spans="1:12" hidden="1">
      <c r="A634" s="92" t="s">
        <v>162</v>
      </c>
      <c r="B634" s="93">
        <v>46259</v>
      </c>
      <c r="C634" s="92" t="s">
        <v>2022</v>
      </c>
      <c r="D634" s="92" t="s">
        <v>2023</v>
      </c>
      <c r="E634" s="92" t="s">
        <v>3678</v>
      </c>
      <c r="F634" s="88">
        <v>3850</v>
      </c>
      <c r="H634" s="88">
        <v>3850</v>
      </c>
      <c r="I634"/>
      <c r="J634" s="162">
        <v>1787588828039</v>
      </c>
      <c r="K634" s="65"/>
      <c r="L634" s="65"/>
    </row>
    <row r="635" spans="1:12" hidden="1">
      <c r="A635" s="92" t="s">
        <v>162</v>
      </c>
      <c r="B635" s="93">
        <v>46259</v>
      </c>
      <c r="C635" s="92" t="s">
        <v>3319</v>
      </c>
      <c r="D635" s="92" t="s">
        <v>3320</v>
      </c>
      <c r="E635" s="92" t="s">
        <v>3678</v>
      </c>
      <c r="F635" s="88">
        <v>3850</v>
      </c>
      <c r="H635" s="88">
        <v>3850</v>
      </c>
      <c r="I635"/>
      <c r="J635" s="162">
        <v>1787588798023</v>
      </c>
      <c r="K635" s="65"/>
      <c r="L635" s="65"/>
    </row>
    <row r="636" spans="1:12" hidden="1">
      <c r="A636" s="92" t="s">
        <v>162</v>
      </c>
      <c r="B636" s="93">
        <v>46259</v>
      </c>
      <c r="C636" s="92" t="s">
        <v>1698</v>
      </c>
      <c r="D636" s="92" t="s">
        <v>1699</v>
      </c>
      <c r="E636" s="92" t="s">
        <v>3678</v>
      </c>
      <c r="F636" s="88">
        <v>3850</v>
      </c>
      <c r="H636" s="88">
        <v>3850</v>
      </c>
      <c r="I636"/>
      <c r="J636" s="162">
        <v>1786597226647</v>
      </c>
      <c r="K636" s="65"/>
      <c r="L636" s="65"/>
    </row>
    <row r="637" spans="1:12" hidden="1">
      <c r="A637" s="92" t="s">
        <v>172</v>
      </c>
      <c r="B637" s="93">
        <v>46259</v>
      </c>
      <c r="C637" s="92" t="s">
        <v>1609</v>
      </c>
      <c r="D637" s="92" t="s">
        <v>1610</v>
      </c>
      <c r="E637" s="92" t="s">
        <v>3678</v>
      </c>
      <c r="F637" s="88">
        <v>6850</v>
      </c>
      <c r="G637" s="88">
        <v>3000</v>
      </c>
      <c r="H637" s="88">
        <v>3850</v>
      </c>
      <c r="I637"/>
      <c r="J637" s="162">
        <v>1787551791824</v>
      </c>
      <c r="K637" s="65"/>
      <c r="L637" s="65"/>
    </row>
    <row r="638" spans="1:12" hidden="1">
      <c r="A638" s="92" t="s">
        <v>162</v>
      </c>
      <c r="B638" s="93">
        <v>46259</v>
      </c>
      <c r="C638" s="92" t="s">
        <v>1804</v>
      </c>
      <c r="D638" s="92" t="s">
        <v>1805</v>
      </c>
      <c r="E638" s="92" t="s">
        <v>3678</v>
      </c>
      <c r="F638" s="88">
        <v>3850</v>
      </c>
      <c r="H638" s="88">
        <v>3850</v>
      </c>
      <c r="I638"/>
      <c r="J638" s="162">
        <v>1786598074960</v>
      </c>
      <c r="K638" s="65"/>
      <c r="L638" s="65"/>
    </row>
    <row r="639" spans="1:12" hidden="1">
      <c r="A639" s="92" t="s">
        <v>162</v>
      </c>
      <c r="B639" s="93">
        <v>46259</v>
      </c>
      <c r="C639" s="92" t="s">
        <v>1935</v>
      </c>
      <c r="D639" s="92" t="s">
        <v>1936</v>
      </c>
      <c r="E639" s="92" t="s">
        <v>3678</v>
      </c>
      <c r="F639" s="88">
        <v>3850</v>
      </c>
      <c r="H639" s="88">
        <v>3850</v>
      </c>
      <c r="I639"/>
      <c r="J639" s="162">
        <v>1786597141916</v>
      </c>
      <c r="K639" s="65"/>
      <c r="L639" s="65"/>
    </row>
    <row r="640" spans="1:12" hidden="1">
      <c r="A640" s="92" t="s">
        <v>162</v>
      </c>
      <c r="B640" s="93">
        <v>46259</v>
      </c>
      <c r="C640" s="92" t="s">
        <v>2068</v>
      </c>
      <c r="D640" s="92" t="s">
        <v>2069</v>
      </c>
      <c r="E640" s="92" t="s">
        <v>3678</v>
      </c>
      <c r="F640" s="88">
        <v>2800</v>
      </c>
      <c r="H640" s="88">
        <v>2800</v>
      </c>
      <c r="I640"/>
      <c r="J640" s="162">
        <v>1786598476209</v>
      </c>
      <c r="K640" s="65"/>
      <c r="L640" s="65"/>
    </row>
    <row r="641" spans="1:12" hidden="1">
      <c r="A641" s="92" t="s">
        <v>162</v>
      </c>
      <c r="B641" s="93">
        <v>46259</v>
      </c>
      <c r="C641" s="92" t="s">
        <v>3494</v>
      </c>
      <c r="D641" s="92" t="s">
        <v>3495</v>
      </c>
      <c r="E641" s="92" t="s">
        <v>3678</v>
      </c>
      <c r="F641" s="88">
        <v>3850</v>
      </c>
      <c r="H641" s="88">
        <v>3850</v>
      </c>
      <c r="I641"/>
      <c r="J641" s="162">
        <v>1787562174118</v>
      </c>
      <c r="K641" s="65"/>
      <c r="L641" s="65"/>
    </row>
    <row r="642" spans="1:12" hidden="1">
      <c r="A642" s="92" t="s">
        <v>172</v>
      </c>
      <c r="B642" s="93">
        <v>46259</v>
      </c>
      <c r="C642" s="92" t="s">
        <v>3045</v>
      </c>
      <c r="D642" s="92" t="s">
        <v>3046</v>
      </c>
      <c r="E642" s="92" t="s">
        <v>3678</v>
      </c>
      <c r="F642" s="88">
        <v>2300</v>
      </c>
      <c r="H642" s="88">
        <v>2300</v>
      </c>
      <c r="I642"/>
      <c r="J642" s="162">
        <v>1787046233963</v>
      </c>
      <c r="K642" s="65"/>
      <c r="L642" s="65"/>
    </row>
    <row r="643" spans="1:12" hidden="1">
      <c r="A643" s="92" t="s">
        <v>180</v>
      </c>
      <c r="B643" s="93">
        <v>46259</v>
      </c>
      <c r="C643" s="92" t="s">
        <v>3614</v>
      </c>
      <c r="D643" s="92" t="s">
        <v>3615</v>
      </c>
      <c r="E643" s="92" t="s">
        <v>3678</v>
      </c>
      <c r="F643" s="88">
        <v>4000</v>
      </c>
      <c r="H643" s="88">
        <v>4000</v>
      </c>
      <c r="I643"/>
      <c r="J643" s="162">
        <v>1787300319006</v>
      </c>
      <c r="K643" s="65"/>
      <c r="L643" s="65"/>
    </row>
    <row r="644" spans="1:12" hidden="1">
      <c r="A644" s="92" t="s">
        <v>172</v>
      </c>
      <c r="B644" s="93">
        <v>46259</v>
      </c>
      <c r="C644" s="92" t="s">
        <v>1349</v>
      </c>
      <c r="D644" s="92" t="s">
        <v>361</v>
      </c>
      <c r="E644" s="92" t="s">
        <v>3678</v>
      </c>
      <c r="F644" s="88">
        <v>3850</v>
      </c>
      <c r="H644" s="88">
        <v>3850</v>
      </c>
      <c r="I644"/>
      <c r="J644" s="162">
        <v>1786598490880</v>
      </c>
      <c r="K644" s="65"/>
      <c r="L644" s="65"/>
    </row>
    <row r="645" spans="1:12" hidden="1">
      <c r="A645" s="92" t="s">
        <v>162</v>
      </c>
      <c r="B645" s="93">
        <v>46259</v>
      </c>
      <c r="C645" s="92" t="s">
        <v>1902</v>
      </c>
      <c r="D645" s="92" t="s">
        <v>1903</v>
      </c>
      <c r="E645" s="92" t="s">
        <v>3678</v>
      </c>
      <c r="F645" s="88">
        <v>2800</v>
      </c>
      <c r="H645" s="88">
        <v>2800</v>
      </c>
      <c r="I645"/>
      <c r="J645" s="162">
        <v>1786597262040</v>
      </c>
      <c r="K645" s="65"/>
      <c r="L645" s="65"/>
    </row>
    <row r="646" spans="1:12" hidden="1">
      <c r="A646" s="92" t="s">
        <v>162</v>
      </c>
      <c r="B646" s="93">
        <v>46259</v>
      </c>
      <c r="C646" s="92" t="s">
        <v>3528</v>
      </c>
      <c r="D646" s="92" t="s">
        <v>3529</v>
      </c>
      <c r="E646" s="92" t="s">
        <v>3678</v>
      </c>
      <c r="F646" s="88">
        <v>2800</v>
      </c>
      <c r="H646" s="88">
        <v>2800</v>
      </c>
      <c r="I646"/>
      <c r="J646" s="162">
        <v>1786597975926</v>
      </c>
      <c r="K646" s="65"/>
      <c r="L646" s="65"/>
    </row>
    <row r="647" spans="1:12" hidden="1">
      <c r="A647" s="92" t="s">
        <v>162</v>
      </c>
      <c r="B647" s="93">
        <v>46259</v>
      </c>
      <c r="C647" s="92" t="s">
        <v>1861</v>
      </c>
      <c r="D647" s="92" t="s">
        <v>1862</v>
      </c>
      <c r="E647" s="92" t="s">
        <v>3678</v>
      </c>
      <c r="F647" s="88">
        <v>2800</v>
      </c>
      <c r="H647" s="88">
        <v>2800</v>
      </c>
      <c r="I647"/>
      <c r="J647" s="162">
        <v>1786597470974</v>
      </c>
      <c r="K647" s="65"/>
      <c r="L647" s="65"/>
    </row>
    <row r="648" spans="1:12" hidden="1">
      <c r="A648" s="92" t="s">
        <v>162</v>
      </c>
      <c r="B648" s="93">
        <v>46259</v>
      </c>
      <c r="C648" s="92" t="s">
        <v>1702</v>
      </c>
      <c r="D648" s="92" t="s">
        <v>1703</v>
      </c>
      <c r="E648" s="92" t="s">
        <v>3678</v>
      </c>
      <c r="F648" s="88">
        <v>3850</v>
      </c>
      <c r="H648" s="88">
        <v>3850</v>
      </c>
      <c r="I648"/>
      <c r="J648" s="162">
        <v>1786598299332</v>
      </c>
      <c r="K648" s="65"/>
      <c r="L648" s="65"/>
    </row>
    <row r="649" spans="1:12" hidden="1">
      <c r="A649" s="92" t="s">
        <v>162</v>
      </c>
      <c r="B649" s="93">
        <v>46259</v>
      </c>
      <c r="C649" s="92" t="s">
        <v>3616</v>
      </c>
      <c r="D649" s="92" t="s">
        <v>3617</v>
      </c>
      <c r="E649" s="92" t="s">
        <v>3678</v>
      </c>
      <c r="F649" s="88">
        <v>2800</v>
      </c>
      <c r="H649" s="88">
        <v>2800</v>
      </c>
      <c r="I649"/>
      <c r="J649" s="162">
        <v>1787587586529</v>
      </c>
      <c r="K649" s="65"/>
      <c r="L649" s="65"/>
    </row>
    <row r="650" spans="1:12" hidden="1">
      <c r="A650" s="92" t="s">
        <v>162</v>
      </c>
      <c r="B650" s="93">
        <v>46259</v>
      </c>
      <c r="C650" s="92" t="s">
        <v>1840</v>
      </c>
      <c r="D650" s="92" t="s">
        <v>1841</v>
      </c>
      <c r="E650" s="92" t="s">
        <v>3678</v>
      </c>
      <c r="F650" s="88">
        <v>4000</v>
      </c>
      <c r="H650" s="88">
        <v>4000</v>
      </c>
      <c r="I650"/>
      <c r="J650" s="162">
        <v>1786596954094</v>
      </c>
      <c r="K650" s="65"/>
      <c r="L650" s="65"/>
    </row>
    <row r="651" spans="1:12" hidden="1">
      <c r="A651" s="92" t="s">
        <v>162</v>
      </c>
      <c r="B651" s="93">
        <v>46259</v>
      </c>
      <c r="C651" s="92" t="s">
        <v>1881</v>
      </c>
      <c r="D651" s="92" t="s">
        <v>1882</v>
      </c>
      <c r="E651" s="92" t="s">
        <v>3678</v>
      </c>
      <c r="F651" s="88">
        <v>3850</v>
      </c>
      <c r="H651" s="88">
        <v>3850</v>
      </c>
      <c r="I651"/>
      <c r="J651" s="162">
        <v>1786597334536</v>
      </c>
      <c r="K651" s="65"/>
      <c r="L651" s="65"/>
    </row>
    <row r="652" spans="1:12" hidden="1">
      <c r="A652" s="92" t="s">
        <v>172</v>
      </c>
      <c r="B652" s="93">
        <v>46259</v>
      </c>
      <c r="C652" s="92" t="s">
        <v>3482</v>
      </c>
      <c r="D652" s="92" t="s">
        <v>3483</v>
      </c>
      <c r="E652" s="92" t="s">
        <v>3678</v>
      </c>
      <c r="F652" s="88">
        <v>2800</v>
      </c>
      <c r="H652" s="88">
        <v>2800</v>
      </c>
      <c r="I652"/>
      <c r="J652" s="162">
        <v>1786597082537</v>
      </c>
      <c r="K652" s="65"/>
      <c r="L652" s="65"/>
    </row>
    <row r="653" spans="1:12" hidden="1">
      <c r="A653" s="92" t="s">
        <v>162</v>
      </c>
      <c r="B653" s="93">
        <v>46259</v>
      </c>
      <c r="C653" s="92" t="s">
        <v>1514</v>
      </c>
      <c r="D653" s="92" t="s">
        <v>1515</v>
      </c>
      <c r="E653" s="92" t="s">
        <v>3678</v>
      </c>
      <c r="F653" s="88">
        <v>2800</v>
      </c>
      <c r="H653" s="88">
        <v>2800</v>
      </c>
      <c r="I653"/>
      <c r="J653" s="162">
        <v>1786598714851</v>
      </c>
      <c r="K653" s="65"/>
      <c r="L653" s="65"/>
    </row>
    <row r="654" spans="1:12" hidden="1">
      <c r="A654" s="92" t="s">
        <v>162</v>
      </c>
      <c r="B654" s="93">
        <v>46259</v>
      </c>
      <c r="C654" s="92" t="s">
        <v>1820</v>
      </c>
      <c r="D654" s="92" t="s">
        <v>1821</v>
      </c>
      <c r="E654" s="92" t="s">
        <v>3678</v>
      </c>
      <c r="F654" s="88">
        <v>4200</v>
      </c>
      <c r="H654" s="88">
        <v>4200</v>
      </c>
      <c r="I654"/>
      <c r="J654" s="162">
        <v>1787050699548</v>
      </c>
      <c r="K654" s="65"/>
      <c r="L654" s="65"/>
    </row>
    <row r="655" spans="1:12" hidden="1">
      <c r="A655" s="92" t="s">
        <v>162</v>
      </c>
      <c r="B655" s="93">
        <v>46259</v>
      </c>
      <c r="C655" s="92" t="s">
        <v>1777</v>
      </c>
      <c r="D655" s="92" t="s">
        <v>1778</v>
      </c>
      <c r="E655" s="92" t="s">
        <v>3678</v>
      </c>
      <c r="F655" s="88">
        <v>2800</v>
      </c>
      <c r="H655" s="88">
        <v>2800</v>
      </c>
      <c r="I655"/>
      <c r="J655" s="162">
        <v>1786598434587</v>
      </c>
      <c r="K655" s="65"/>
      <c r="L655" s="65"/>
    </row>
    <row r="656" spans="1:12" hidden="1">
      <c r="A656" s="92" t="s">
        <v>162</v>
      </c>
      <c r="B656" s="93">
        <v>46259</v>
      </c>
      <c r="C656" s="92" t="s">
        <v>1546</v>
      </c>
      <c r="D656" s="92" t="s">
        <v>1547</v>
      </c>
      <c r="E656" s="92" t="s">
        <v>3678</v>
      </c>
      <c r="F656" s="88">
        <v>2800</v>
      </c>
      <c r="H656" s="88">
        <v>2800</v>
      </c>
      <c r="I656"/>
      <c r="J656" s="162">
        <v>1786597767530</v>
      </c>
      <c r="K656" s="65"/>
      <c r="L656" s="65"/>
    </row>
    <row r="657" spans="1:12" hidden="1">
      <c r="A657" s="92" t="s">
        <v>162</v>
      </c>
      <c r="B657" s="93">
        <v>46259</v>
      </c>
      <c r="C657" s="92" t="s">
        <v>2009</v>
      </c>
      <c r="D657" s="92" t="s">
        <v>2010</v>
      </c>
      <c r="E657" s="92" t="s">
        <v>3678</v>
      </c>
      <c r="F657" s="88">
        <v>2800</v>
      </c>
      <c r="H657" s="88">
        <v>2800</v>
      </c>
      <c r="I657"/>
      <c r="J657" s="162">
        <v>1786597883495</v>
      </c>
      <c r="K657" s="65"/>
      <c r="L657" s="65"/>
    </row>
    <row r="658" spans="1:12" hidden="1">
      <c r="A658" s="92" t="s">
        <v>162</v>
      </c>
      <c r="B658" s="93">
        <v>46259</v>
      </c>
      <c r="C658" s="92" t="s">
        <v>1895</v>
      </c>
      <c r="D658" s="92" t="s">
        <v>1896</v>
      </c>
      <c r="E658" s="92" t="s">
        <v>3678</v>
      </c>
      <c r="F658" s="88">
        <v>3850</v>
      </c>
      <c r="H658" s="88">
        <v>3850</v>
      </c>
      <c r="I658"/>
      <c r="J658" s="162">
        <v>1786598383575</v>
      </c>
      <c r="K658" s="65"/>
      <c r="L658" s="65"/>
    </row>
    <row r="659" spans="1:12" hidden="1">
      <c r="A659" s="92" t="s">
        <v>162</v>
      </c>
      <c r="B659" s="93">
        <v>46259</v>
      </c>
      <c r="C659" s="92" t="s">
        <v>1941</v>
      </c>
      <c r="D659" s="92" t="s">
        <v>1942</v>
      </c>
      <c r="E659" s="92" t="s">
        <v>3678</v>
      </c>
      <c r="F659" s="88">
        <v>3850</v>
      </c>
      <c r="H659" s="88">
        <v>3850</v>
      </c>
      <c r="I659"/>
      <c r="J659" s="162">
        <v>1787631160240</v>
      </c>
      <c r="K659" s="65"/>
      <c r="L659" s="65"/>
    </row>
    <row r="660" spans="1:12" hidden="1">
      <c r="A660" s="92" t="s">
        <v>162</v>
      </c>
      <c r="B660" s="93">
        <v>46259</v>
      </c>
      <c r="C660" s="92" t="s">
        <v>1925</v>
      </c>
      <c r="D660" s="92" t="s">
        <v>1926</v>
      </c>
      <c r="E660" s="92" t="s">
        <v>3678</v>
      </c>
      <c r="F660" s="88">
        <v>2800</v>
      </c>
      <c r="H660" s="88">
        <v>2800</v>
      </c>
      <c r="I660"/>
      <c r="J660" s="162">
        <v>1786596959994</v>
      </c>
      <c r="K660" s="65"/>
      <c r="L660" s="65"/>
    </row>
    <row r="661" spans="1:12" hidden="1">
      <c r="A661" s="92" t="s">
        <v>162</v>
      </c>
      <c r="B661" s="93">
        <v>46259</v>
      </c>
      <c r="C661" s="92" t="s">
        <v>1520</v>
      </c>
      <c r="D661" s="92" t="s">
        <v>1521</v>
      </c>
      <c r="E661" s="92" t="s">
        <v>3678</v>
      </c>
      <c r="F661" s="88">
        <v>3850</v>
      </c>
      <c r="H661" s="88">
        <v>3850</v>
      </c>
      <c r="I661"/>
      <c r="J661" s="162">
        <v>1786596594148</v>
      </c>
      <c r="K661" s="65"/>
      <c r="L661" s="65"/>
    </row>
    <row r="662" spans="1:12" hidden="1">
      <c r="A662" s="92" t="s">
        <v>172</v>
      </c>
      <c r="B662" s="93">
        <v>46259</v>
      </c>
      <c r="C662" s="92" t="s">
        <v>3618</v>
      </c>
      <c r="D662" s="92" t="s">
        <v>3619</v>
      </c>
      <c r="E662" s="92" t="s">
        <v>3678</v>
      </c>
      <c r="F662" s="88">
        <v>2800</v>
      </c>
      <c r="H662" s="88">
        <v>2800</v>
      </c>
      <c r="I662"/>
      <c r="J662" s="162">
        <v>1786598445319</v>
      </c>
      <c r="K662" s="65"/>
      <c r="L662" s="65"/>
    </row>
    <row r="663" spans="1:12" hidden="1">
      <c r="A663" s="92" t="s">
        <v>172</v>
      </c>
      <c r="B663" s="93">
        <v>46259</v>
      </c>
      <c r="C663" s="92" t="s">
        <v>2947</v>
      </c>
      <c r="D663" s="92" t="s">
        <v>2948</v>
      </c>
      <c r="E663" s="92" t="s">
        <v>3678</v>
      </c>
      <c r="F663" s="88">
        <v>3850</v>
      </c>
      <c r="H663" s="88">
        <v>3850</v>
      </c>
      <c r="I663"/>
      <c r="J663" s="162">
        <v>1786596956838</v>
      </c>
      <c r="K663" s="65"/>
      <c r="L663" s="65"/>
    </row>
    <row r="664" spans="1:12" hidden="1">
      <c r="A664" s="92" t="s">
        <v>162</v>
      </c>
      <c r="B664" s="93">
        <v>46259</v>
      </c>
      <c r="C664" s="92" t="s">
        <v>1552</v>
      </c>
      <c r="D664" s="92" t="s">
        <v>1553</v>
      </c>
      <c r="E664" s="92" t="s">
        <v>3678</v>
      </c>
      <c r="F664" s="88">
        <v>4200</v>
      </c>
      <c r="H664" s="88">
        <v>4200</v>
      </c>
      <c r="I664"/>
      <c r="J664" s="162">
        <v>1786597326094</v>
      </c>
      <c r="K664" s="65"/>
      <c r="L664" s="65"/>
    </row>
    <row r="665" spans="1:12" hidden="1">
      <c r="A665" s="92" t="s">
        <v>162</v>
      </c>
      <c r="B665" s="93">
        <v>46259</v>
      </c>
      <c r="C665" s="92" t="s">
        <v>1647</v>
      </c>
      <c r="D665" s="92" t="s">
        <v>1648</v>
      </c>
      <c r="E665" s="92" t="s">
        <v>3678</v>
      </c>
      <c r="F665" s="88">
        <v>3850</v>
      </c>
      <c r="H665" s="88">
        <v>3850</v>
      </c>
      <c r="I665"/>
      <c r="J665" s="162">
        <v>1787566744607</v>
      </c>
      <c r="K665" s="65"/>
      <c r="L665" s="65"/>
    </row>
    <row r="666" spans="1:12" hidden="1">
      <c r="A666" s="92" t="s">
        <v>162</v>
      </c>
      <c r="B666" s="93">
        <v>46259</v>
      </c>
      <c r="C666" s="92" t="s">
        <v>1982</v>
      </c>
      <c r="D666" s="92" t="s">
        <v>1983</v>
      </c>
      <c r="E666" s="92" t="s">
        <v>3678</v>
      </c>
      <c r="F666" s="88">
        <v>3850</v>
      </c>
      <c r="H666" s="88">
        <v>3850</v>
      </c>
      <c r="I666"/>
      <c r="J666" s="162">
        <v>1786598016290</v>
      </c>
      <c r="K666" s="65"/>
      <c r="L666" s="65"/>
    </row>
    <row r="667" spans="1:12" hidden="1">
      <c r="A667" s="92" t="s">
        <v>162</v>
      </c>
      <c r="B667" s="93">
        <v>46259</v>
      </c>
      <c r="C667" s="92" t="s">
        <v>1906</v>
      </c>
      <c r="D667" s="92" t="s">
        <v>1907</v>
      </c>
      <c r="E667" s="92" t="s">
        <v>3678</v>
      </c>
      <c r="F667" s="88">
        <v>3850</v>
      </c>
      <c r="H667" s="88">
        <v>3850</v>
      </c>
      <c r="I667"/>
      <c r="J667" s="162">
        <v>1786596519739</v>
      </c>
      <c r="K667" s="65"/>
      <c r="L667" s="65"/>
    </row>
    <row r="668" spans="1:12" hidden="1">
      <c r="A668" s="92" t="s">
        <v>162</v>
      </c>
      <c r="B668" s="93">
        <v>46259</v>
      </c>
      <c r="C668" s="92" t="s">
        <v>1980</v>
      </c>
      <c r="D668" s="92" t="s">
        <v>1981</v>
      </c>
      <c r="E668" s="92" t="s">
        <v>3678</v>
      </c>
      <c r="F668" s="88">
        <v>3850</v>
      </c>
      <c r="H668" s="88">
        <v>3850</v>
      </c>
      <c r="I668"/>
      <c r="J668" s="162">
        <v>1786598615082</v>
      </c>
      <c r="K668" s="65"/>
      <c r="L668" s="65"/>
    </row>
    <row r="669" spans="1:12" hidden="1">
      <c r="A669" s="92" t="s">
        <v>162</v>
      </c>
      <c r="B669" s="93">
        <v>46259</v>
      </c>
      <c r="C669" s="92" t="s">
        <v>3524</v>
      </c>
      <c r="D669" s="92" t="s">
        <v>3525</v>
      </c>
      <c r="E669" s="92" t="s">
        <v>3678</v>
      </c>
      <c r="F669" s="88">
        <v>4000</v>
      </c>
      <c r="H669" s="88">
        <v>4000</v>
      </c>
      <c r="I669"/>
      <c r="J669" s="162">
        <v>1786598701954</v>
      </c>
      <c r="K669" s="65"/>
      <c r="L669" s="65"/>
    </row>
    <row r="670" spans="1:12">
      <c r="A670" s="92" t="s">
        <v>180</v>
      </c>
      <c r="B670" s="93">
        <v>46259</v>
      </c>
      <c r="C670" s="92" t="s">
        <v>2078</v>
      </c>
      <c r="D670" s="92" t="s">
        <v>2079</v>
      </c>
      <c r="E670" s="92" t="s">
        <v>3677</v>
      </c>
      <c r="F670" s="88">
        <v>2000</v>
      </c>
      <c r="H670" s="88">
        <v>2000</v>
      </c>
      <c r="I670" s="65" t="s">
        <v>1290</v>
      </c>
      <c r="J670" s="162">
        <v>1787122943346</v>
      </c>
      <c r="K670" s="65"/>
      <c r="L670" s="65"/>
    </row>
    <row r="671" spans="1:12" hidden="1">
      <c r="A671" s="92" t="s">
        <v>172</v>
      </c>
      <c r="B671" s="93">
        <v>46259</v>
      </c>
      <c r="C671" s="92" t="s">
        <v>1065</v>
      </c>
      <c r="D671" s="92" t="s">
        <v>1066</v>
      </c>
      <c r="E671" s="92" t="s">
        <v>3678</v>
      </c>
      <c r="F671" s="88">
        <v>2800</v>
      </c>
      <c r="H671" s="88">
        <v>2800</v>
      </c>
      <c r="I671"/>
      <c r="J671" s="162">
        <v>1786598242933</v>
      </c>
      <c r="K671" s="65"/>
      <c r="L671" s="65"/>
    </row>
    <row r="672" spans="1:12" hidden="1">
      <c r="A672" s="92" t="s">
        <v>172</v>
      </c>
      <c r="B672" s="93">
        <v>46259</v>
      </c>
      <c r="C672" s="92" t="s">
        <v>2924</v>
      </c>
      <c r="D672" s="92" t="s">
        <v>2925</v>
      </c>
      <c r="E672" s="92" t="s">
        <v>3678</v>
      </c>
      <c r="F672" s="88">
        <v>3850</v>
      </c>
      <c r="H672" s="88">
        <v>3850</v>
      </c>
      <c r="I672"/>
      <c r="J672" s="162">
        <v>1786598740375</v>
      </c>
      <c r="K672" s="65"/>
      <c r="L672" s="65"/>
    </row>
    <row r="673" spans="1:12" hidden="1">
      <c r="A673" s="92" t="s">
        <v>162</v>
      </c>
      <c r="B673" s="93">
        <v>46259</v>
      </c>
      <c r="C673" s="92" t="s">
        <v>1947</v>
      </c>
      <c r="D673" s="92" t="s">
        <v>1948</v>
      </c>
      <c r="E673" s="92" t="s">
        <v>3678</v>
      </c>
      <c r="F673" s="88">
        <v>3850</v>
      </c>
      <c r="H673" s="88">
        <v>3850</v>
      </c>
      <c r="I673"/>
      <c r="J673" s="162">
        <v>1786596939711</v>
      </c>
      <c r="K673" s="65"/>
      <c r="L673" s="65"/>
    </row>
    <row r="674" spans="1:12" hidden="1">
      <c r="A674" s="92" t="s">
        <v>162</v>
      </c>
      <c r="B674" s="93">
        <v>46259</v>
      </c>
      <c r="C674" s="92" t="s">
        <v>1142</v>
      </c>
      <c r="D674" s="92" t="s">
        <v>1143</v>
      </c>
      <c r="E674" s="92" t="s">
        <v>3678</v>
      </c>
      <c r="F674" s="88">
        <v>4200</v>
      </c>
      <c r="H674" s="88">
        <v>4200</v>
      </c>
      <c r="I674"/>
      <c r="J674" s="162">
        <v>1786597552027</v>
      </c>
      <c r="K674" s="65"/>
      <c r="L674" s="65"/>
    </row>
    <row r="675" spans="1:12" hidden="1">
      <c r="A675" s="92" t="s">
        <v>162</v>
      </c>
      <c r="B675" s="93">
        <v>46259</v>
      </c>
      <c r="C675" s="92" t="s">
        <v>1755</v>
      </c>
      <c r="D675" s="92" t="s">
        <v>1756</v>
      </c>
      <c r="E675" s="92" t="s">
        <v>3678</v>
      </c>
      <c r="F675" s="88">
        <v>4200</v>
      </c>
      <c r="H675" s="88">
        <v>4200</v>
      </c>
      <c r="I675"/>
      <c r="J675" s="162">
        <v>1786598317911</v>
      </c>
      <c r="K675" s="65"/>
      <c r="L675" s="65"/>
    </row>
    <row r="676" spans="1:12" hidden="1">
      <c r="A676" s="92" t="s">
        <v>162</v>
      </c>
      <c r="B676" s="93">
        <v>46259</v>
      </c>
      <c r="C676" s="92" t="s">
        <v>1775</v>
      </c>
      <c r="D676" s="92" t="s">
        <v>1776</v>
      </c>
      <c r="E676" s="92" t="s">
        <v>3678</v>
      </c>
      <c r="F676" s="88">
        <v>3850</v>
      </c>
      <c r="H676" s="88">
        <v>3850</v>
      </c>
      <c r="I676"/>
      <c r="J676" s="162">
        <v>1786597443379</v>
      </c>
      <c r="K676" s="65"/>
      <c r="L676" s="65"/>
    </row>
    <row r="677" spans="1:12" hidden="1">
      <c r="A677" s="92" t="s">
        <v>180</v>
      </c>
      <c r="B677" s="93">
        <v>46259</v>
      </c>
      <c r="C677" s="92" t="s">
        <v>3620</v>
      </c>
      <c r="D677" s="92" t="s">
        <v>3621</v>
      </c>
      <c r="E677" s="92" t="s">
        <v>3678</v>
      </c>
      <c r="F677" s="88">
        <v>3850</v>
      </c>
      <c r="H677" s="88">
        <v>3850</v>
      </c>
      <c r="I677"/>
      <c r="J677" s="162">
        <v>1786597271684</v>
      </c>
      <c r="K677" s="65"/>
      <c r="L677" s="65"/>
    </row>
    <row r="678" spans="1:12" hidden="1">
      <c r="A678" s="92" t="s">
        <v>162</v>
      </c>
      <c r="B678" s="93">
        <v>46259</v>
      </c>
      <c r="C678" s="92" t="s">
        <v>1800</v>
      </c>
      <c r="D678" s="92" t="s">
        <v>1801</v>
      </c>
      <c r="E678" s="92" t="s">
        <v>3678</v>
      </c>
      <c r="F678" s="88">
        <v>3850</v>
      </c>
      <c r="H678" s="88">
        <v>3850</v>
      </c>
      <c r="I678"/>
      <c r="J678" s="162">
        <v>1786596822306</v>
      </c>
      <c r="K678" s="65"/>
      <c r="L678" s="65"/>
    </row>
    <row r="679" spans="1:12" hidden="1">
      <c r="A679" s="92" t="s">
        <v>162</v>
      </c>
      <c r="B679" s="93">
        <v>46259</v>
      </c>
      <c r="C679" s="92" t="s">
        <v>1349</v>
      </c>
      <c r="D679" s="92" t="s">
        <v>361</v>
      </c>
      <c r="E679" s="92" t="s">
        <v>3678</v>
      </c>
      <c r="F679" s="88">
        <v>3850</v>
      </c>
      <c r="H679" s="88">
        <v>3850</v>
      </c>
      <c r="J679" s="162">
        <v>1787547419425</v>
      </c>
      <c r="K679" s="65"/>
      <c r="L679" s="65"/>
    </row>
    <row r="680" spans="1:12" hidden="1">
      <c r="A680" s="92" t="s">
        <v>172</v>
      </c>
      <c r="B680" s="93">
        <v>46259</v>
      </c>
      <c r="C680" s="92" t="s">
        <v>3622</v>
      </c>
      <c r="D680" s="92" t="s">
        <v>3623</v>
      </c>
      <c r="E680" s="92" t="s">
        <v>3678</v>
      </c>
      <c r="F680" s="88">
        <v>3850</v>
      </c>
      <c r="H680" s="88">
        <v>3850</v>
      </c>
      <c r="I680"/>
      <c r="J680" s="162">
        <v>1786596713116</v>
      </c>
      <c r="K680" s="65"/>
      <c r="L680" s="65"/>
    </row>
    <row r="681" spans="1:12" hidden="1">
      <c r="A681" s="92" t="s">
        <v>162</v>
      </c>
      <c r="B681" s="93">
        <v>46259</v>
      </c>
      <c r="C681" s="92" t="s">
        <v>1826</v>
      </c>
      <c r="D681" s="92" t="s">
        <v>1827</v>
      </c>
      <c r="E681" s="92" t="s">
        <v>3678</v>
      </c>
      <c r="F681" s="88">
        <v>3850</v>
      </c>
      <c r="H681" s="88">
        <v>3850</v>
      </c>
      <c r="I681"/>
      <c r="J681" s="162">
        <v>1786598487572</v>
      </c>
      <c r="K681" s="65"/>
      <c r="L681" s="65"/>
    </row>
    <row r="682" spans="1:12" hidden="1">
      <c r="A682" s="92" t="s">
        <v>162</v>
      </c>
      <c r="B682" s="93">
        <v>46259</v>
      </c>
      <c r="C682" s="92" t="s">
        <v>3510</v>
      </c>
      <c r="D682" s="92" t="s">
        <v>3511</v>
      </c>
      <c r="E682" s="92" t="s">
        <v>3678</v>
      </c>
      <c r="F682" s="88">
        <v>3850</v>
      </c>
      <c r="H682" s="88">
        <v>3850</v>
      </c>
      <c r="I682"/>
      <c r="J682" s="162">
        <v>1786596645388</v>
      </c>
      <c r="K682" s="65"/>
      <c r="L682" s="65"/>
    </row>
    <row r="683" spans="1:12" hidden="1">
      <c r="A683" s="92" t="s">
        <v>162</v>
      </c>
      <c r="B683" s="93">
        <v>46259</v>
      </c>
      <c r="C683" s="92" t="s">
        <v>2030</v>
      </c>
      <c r="D683" s="92" t="s">
        <v>2031</v>
      </c>
      <c r="E683" s="92" t="s">
        <v>3678</v>
      </c>
      <c r="F683" s="88">
        <v>4200</v>
      </c>
      <c r="H683" s="88">
        <v>4200</v>
      </c>
      <c r="I683"/>
      <c r="J683" s="162">
        <v>1786597528291</v>
      </c>
      <c r="K683" s="65"/>
      <c r="L683" s="65"/>
    </row>
    <row r="684" spans="1:12" hidden="1">
      <c r="A684" s="92" t="s">
        <v>180</v>
      </c>
      <c r="B684" s="93">
        <v>46259</v>
      </c>
      <c r="C684" s="92" t="s">
        <v>2953</v>
      </c>
      <c r="D684" s="92" t="s">
        <v>2954</v>
      </c>
      <c r="E684" s="92" t="s">
        <v>3678</v>
      </c>
      <c r="F684" s="88">
        <v>2800</v>
      </c>
      <c r="H684" s="88">
        <v>2800</v>
      </c>
      <c r="I684"/>
      <c r="J684" s="162">
        <v>1786598357267</v>
      </c>
      <c r="K684" s="65"/>
      <c r="L684" s="65"/>
    </row>
    <row r="685" spans="1:12" hidden="1">
      <c r="A685" s="92" t="s">
        <v>162</v>
      </c>
      <c r="B685" s="93">
        <v>46259</v>
      </c>
      <c r="C685" s="92" t="s">
        <v>1929</v>
      </c>
      <c r="D685" s="92" t="s">
        <v>1930</v>
      </c>
      <c r="E685" s="92" t="s">
        <v>3678</v>
      </c>
      <c r="F685" s="88">
        <v>2800</v>
      </c>
      <c r="H685" s="88">
        <v>2800</v>
      </c>
      <c r="I685"/>
      <c r="J685" s="162">
        <v>1787643006631</v>
      </c>
      <c r="K685" s="65"/>
      <c r="L685" s="65"/>
    </row>
    <row r="686" spans="1:12" hidden="1">
      <c r="A686" s="92" t="s">
        <v>162</v>
      </c>
      <c r="B686" s="93">
        <v>46259</v>
      </c>
      <c r="C686" s="92" t="s">
        <v>765</v>
      </c>
      <c r="D686" s="92" t="s">
        <v>766</v>
      </c>
      <c r="E686" s="92" t="s">
        <v>3678</v>
      </c>
      <c r="F686" s="88">
        <v>3850</v>
      </c>
      <c r="H686" s="88">
        <v>3850</v>
      </c>
      <c r="I686"/>
      <c r="J686" s="162">
        <v>1786596405107</v>
      </c>
      <c r="K686" s="65"/>
      <c r="L686" s="65"/>
    </row>
    <row r="687" spans="1:12" hidden="1">
      <c r="A687" s="92" t="s">
        <v>162</v>
      </c>
      <c r="B687" s="93">
        <v>46259</v>
      </c>
      <c r="C687" s="92" t="s">
        <v>1779</v>
      </c>
      <c r="D687" s="92" t="s">
        <v>1780</v>
      </c>
      <c r="E687" s="92" t="s">
        <v>3678</v>
      </c>
      <c r="F687" s="88">
        <v>2800</v>
      </c>
      <c r="H687" s="88">
        <v>2800</v>
      </c>
      <c r="I687"/>
      <c r="J687" s="162">
        <v>1786597410078</v>
      </c>
      <c r="K687" s="65"/>
      <c r="L687" s="65"/>
    </row>
    <row r="688" spans="1:12" hidden="1">
      <c r="A688" s="92" t="s">
        <v>172</v>
      </c>
      <c r="B688" s="93">
        <v>46259</v>
      </c>
      <c r="C688" s="92" t="s">
        <v>3624</v>
      </c>
      <c r="D688" s="92" t="s">
        <v>3625</v>
      </c>
      <c r="E688" s="92" t="s">
        <v>3678</v>
      </c>
      <c r="F688" s="88">
        <v>4000</v>
      </c>
      <c r="H688" s="88">
        <v>4000</v>
      </c>
      <c r="I688"/>
      <c r="J688" s="162">
        <v>1786598290613</v>
      </c>
      <c r="K688" s="65"/>
      <c r="L688" s="65"/>
    </row>
    <row r="689" spans="1:12" hidden="1">
      <c r="A689" s="92" t="s">
        <v>162</v>
      </c>
      <c r="B689" s="93">
        <v>46259</v>
      </c>
      <c r="C689" s="92" t="s">
        <v>216</v>
      </c>
      <c r="D689" s="92" t="s">
        <v>217</v>
      </c>
      <c r="E689" s="92" t="s">
        <v>3678</v>
      </c>
      <c r="F689" s="88">
        <v>2800</v>
      </c>
      <c r="H689" s="88">
        <v>2800</v>
      </c>
      <c r="I689"/>
      <c r="J689" s="162">
        <v>1786597806762</v>
      </c>
      <c r="K689" s="65"/>
      <c r="L689" s="65"/>
    </row>
    <row r="690" spans="1:12">
      <c r="A690" s="92" t="s">
        <v>180</v>
      </c>
      <c r="B690" s="93">
        <v>46259</v>
      </c>
      <c r="C690" s="92" t="s">
        <v>1288</v>
      </c>
      <c r="D690" s="92" t="s">
        <v>1289</v>
      </c>
      <c r="E690" s="92" t="s">
        <v>3677</v>
      </c>
      <c r="F690" s="88">
        <v>2000</v>
      </c>
      <c r="H690" s="88">
        <v>2000</v>
      </c>
      <c r="I690" s="65" t="s">
        <v>2080</v>
      </c>
      <c r="J690" s="162">
        <v>1787122449423</v>
      </c>
      <c r="K690" s="65"/>
      <c r="L690" s="65"/>
    </row>
    <row r="691" spans="1:12" hidden="1">
      <c r="A691" s="92" t="s">
        <v>3293</v>
      </c>
      <c r="B691" s="93">
        <v>46259</v>
      </c>
      <c r="C691" s="92" t="s">
        <v>1588</v>
      </c>
      <c r="D691" s="92" t="s">
        <v>1589</v>
      </c>
      <c r="E691" s="92" t="s">
        <v>3678</v>
      </c>
      <c r="F691" s="88">
        <v>2800</v>
      </c>
      <c r="G691" s="88">
        <v>2800</v>
      </c>
      <c r="I691"/>
      <c r="J691" s="162">
        <v>1786597477682</v>
      </c>
      <c r="K691" s="65"/>
      <c r="L691" s="65"/>
    </row>
    <row r="692" spans="1:12" hidden="1">
      <c r="A692" s="92" t="s">
        <v>162</v>
      </c>
      <c r="B692" s="93">
        <v>46259</v>
      </c>
      <c r="C692" s="92" t="s">
        <v>1818</v>
      </c>
      <c r="D692" s="92" t="s">
        <v>1819</v>
      </c>
      <c r="E692" s="92" t="s">
        <v>3678</v>
      </c>
      <c r="F692" s="88">
        <v>2800</v>
      </c>
      <c r="H692" s="88">
        <v>2800</v>
      </c>
      <c r="I692"/>
      <c r="J692" s="162">
        <v>1786598016314</v>
      </c>
      <c r="K692" s="65"/>
      <c r="L692" s="65"/>
    </row>
    <row r="693" spans="1:12" hidden="1">
      <c r="A693" s="92" t="s">
        <v>162</v>
      </c>
      <c r="B693" s="93">
        <v>46259</v>
      </c>
      <c r="C693" s="92" t="s">
        <v>1834</v>
      </c>
      <c r="D693" s="92" t="s">
        <v>1835</v>
      </c>
      <c r="E693" s="92" t="s">
        <v>3678</v>
      </c>
      <c r="F693" s="88">
        <v>3850</v>
      </c>
      <c r="H693" s="88">
        <v>3850</v>
      </c>
      <c r="I693"/>
      <c r="J693" s="162">
        <v>1786597436836</v>
      </c>
      <c r="K693" s="65"/>
      <c r="L693" s="65"/>
    </row>
    <row r="694" spans="1:12" hidden="1">
      <c r="A694" s="92" t="s">
        <v>162</v>
      </c>
      <c r="B694" s="93">
        <v>46259</v>
      </c>
      <c r="C694" s="92" t="s">
        <v>2011</v>
      </c>
      <c r="D694" s="92" t="s">
        <v>2012</v>
      </c>
      <c r="E694" s="92" t="s">
        <v>3678</v>
      </c>
      <c r="F694" s="88">
        <v>3850</v>
      </c>
      <c r="H694" s="88">
        <v>3850</v>
      </c>
      <c r="I694"/>
      <c r="J694" s="162">
        <v>1786597735702</v>
      </c>
      <c r="K694" s="65"/>
      <c r="L694" s="65"/>
    </row>
    <row r="695" spans="1:12" hidden="1">
      <c r="A695" s="92" t="s">
        <v>162</v>
      </c>
      <c r="B695" s="93">
        <v>46259</v>
      </c>
      <c r="C695" s="92" t="s">
        <v>1761</v>
      </c>
      <c r="D695" s="92" t="s">
        <v>1762</v>
      </c>
      <c r="E695" s="92" t="s">
        <v>3678</v>
      </c>
      <c r="F695" s="88">
        <v>2800</v>
      </c>
      <c r="H695" s="88">
        <v>2800</v>
      </c>
      <c r="I695"/>
      <c r="J695" s="162">
        <v>1786598438177</v>
      </c>
      <c r="K695" s="65"/>
      <c r="L695" s="65"/>
    </row>
    <row r="696" spans="1:12" hidden="1">
      <c r="A696" s="92" t="s">
        <v>162</v>
      </c>
      <c r="B696" s="93">
        <v>46259</v>
      </c>
      <c r="C696" s="92" t="s">
        <v>1785</v>
      </c>
      <c r="D696" s="92" t="s">
        <v>1786</v>
      </c>
      <c r="E696" s="92" t="s">
        <v>3678</v>
      </c>
      <c r="F696" s="88">
        <v>3850</v>
      </c>
      <c r="H696" s="88">
        <v>3850</v>
      </c>
      <c r="I696"/>
      <c r="J696" s="162">
        <v>1786598655230</v>
      </c>
    </row>
    <row r="697" spans="1:12" hidden="1">
      <c r="A697" s="92" t="s">
        <v>162</v>
      </c>
      <c r="B697" s="93">
        <v>46259</v>
      </c>
      <c r="C697" s="92" t="s">
        <v>2097</v>
      </c>
      <c r="D697" s="92" t="s">
        <v>2098</v>
      </c>
      <c r="E697" s="92" t="s">
        <v>3678</v>
      </c>
      <c r="F697" s="88">
        <v>4300</v>
      </c>
      <c r="H697" s="88">
        <v>4300</v>
      </c>
      <c r="I697"/>
      <c r="J697" s="162">
        <v>1787651577301</v>
      </c>
      <c r="K697" s="65"/>
      <c r="L697" s="65"/>
    </row>
    <row r="698" spans="1:12" hidden="1">
      <c r="A698" s="92" t="s">
        <v>162</v>
      </c>
      <c r="B698" s="93">
        <v>46259</v>
      </c>
      <c r="C698" s="92" t="s">
        <v>1741</v>
      </c>
      <c r="D698" s="92" t="s">
        <v>1742</v>
      </c>
      <c r="E698" s="92" t="s">
        <v>3678</v>
      </c>
      <c r="F698" s="88">
        <v>3850</v>
      </c>
      <c r="H698" s="88">
        <v>3850</v>
      </c>
      <c r="I698"/>
      <c r="J698" s="162">
        <v>1786598298787</v>
      </c>
      <c r="K698" s="65"/>
      <c r="L698" s="65"/>
    </row>
    <row r="699" spans="1:12" hidden="1">
      <c r="A699" s="92" t="s">
        <v>162</v>
      </c>
      <c r="B699" s="93">
        <v>46259</v>
      </c>
      <c r="C699" s="92" t="s">
        <v>1590</v>
      </c>
      <c r="D699" s="92" t="s">
        <v>1591</v>
      </c>
      <c r="E699" s="92" t="s">
        <v>3678</v>
      </c>
      <c r="F699" s="88">
        <v>4200</v>
      </c>
      <c r="H699" s="88">
        <v>4200</v>
      </c>
      <c r="I699"/>
      <c r="J699" s="162">
        <v>1786596999309</v>
      </c>
      <c r="K699" s="65"/>
      <c r="L699" s="65"/>
    </row>
    <row r="700" spans="1:12" hidden="1">
      <c r="A700" s="92" t="s">
        <v>162</v>
      </c>
      <c r="B700" s="93">
        <v>46259</v>
      </c>
      <c r="C700" s="92" t="s">
        <v>1999</v>
      </c>
      <c r="D700" s="92" t="s">
        <v>2000</v>
      </c>
      <c r="E700" s="92" t="s">
        <v>3678</v>
      </c>
      <c r="F700" s="88">
        <v>2800</v>
      </c>
      <c r="H700" s="88">
        <v>2800</v>
      </c>
      <c r="I700"/>
      <c r="J700" s="162">
        <v>1786597060835</v>
      </c>
      <c r="K700" s="65"/>
      <c r="L700" s="65"/>
    </row>
    <row r="701" spans="1:12" hidden="1">
      <c r="A701" s="92" t="s">
        <v>162</v>
      </c>
      <c r="B701" s="93">
        <v>46259</v>
      </c>
      <c r="C701" s="92" t="s">
        <v>1999</v>
      </c>
      <c r="D701" s="92" t="s">
        <v>2000</v>
      </c>
      <c r="E701" s="92" t="s">
        <v>3678</v>
      </c>
      <c r="F701" s="88">
        <v>653</v>
      </c>
      <c r="H701" s="88">
        <v>653</v>
      </c>
      <c r="I701"/>
      <c r="J701" s="162">
        <v>1786597060835</v>
      </c>
      <c r="K701" s="65"/>
      <c r="L701" s="65"/>
    </row>
    <row r="702" spans="1:12" hidden="1">
      <c r="A702" s="92" t="s">
        <v>162</v>
      </c>
      <c r="B702" s="93">
        <v>46259</v>
      </c>
      <c r="C702" s="92" t="s">
        <v>3626</v>
      </c>
      <c r="D702" s="92" t="s">
        <v>3627</v>
      </c>
      <c r="E702" s="92" t="s">
        <v>3678</v>
      </c>
      <c r="F702" s="88">
        <v>1077</v>
      </c>
      <c r="H702" s="88">
        <v>1077</v>
      </c>
      <c r="I702"/>
      <c r="J702" s="162">
        <v>1786597009377</v>
      </c>
      <c r="K702" s="65"/>
      <c r="L702" s="65"/>
    </row>
    <row r="703" spans="1:12" hidden="1">
      <c r="A703" s="92" t="s">
        <v>162</v>
      </c>
      <c r="B703" s="93">
        <v>46259</v>
      </c>
      <c r="C703" s="92" t="s">
        <v>3626</v>
      </c>
      <c r="D703" s="92" t="s">
        <v>3627</v>
      </c>
      <c r="E703" s="92" t="s">
        <v>3678</v>
      </c>
      <c r="F703" s="88">
        <v>3850</v>
      </c>
      <c r="H703" s="88">
        <v>3850</v>
      </c>
      <c r="I703"/>
      <c r="J703" s="162">
        <v>1786597009377</v>
      </c>
      <c r="K703" s="65"/>
      <c r="L703" s="65"/>
    </row>
    <row r="704" spans="1:12" hidden="1">
      <c r="A704" s="92" t="s">
        <v>162</v>
      </c>
      <c r="B704" s="93">
        <v>46259</v>
      </c>
      <c r="C704" s="92" t="s">
        <v>1601</v>
      </c>
      <c r="D704" s="92" t="s">
        <v>1602</v>
      </c>
      <c r="E704" s="92" t="s">
        <v>3678</v>
      </c>
      <c r="F704" s="88">
        <v>4200</v>
      </c>
      <c r="H704" s="88">
        <v>4200</v>
      </c>
      <c r="I704"/>
      <c r="J704" s="162">
        <v>1786596440608</v>
      </c>
      <c r="K704" s="65"/>
      <c r="L704" s="65"/>
    </row>
    <row r="705" spans="1:12" hidden="1">
      <c r="A705" s="92" t="s">
        <v>162</v>
      </c>
      <c r="B705" s="93">
        <v>46259</v>
      </c>
      <c r="C705" s="92" t="s">
        <v>1812</v>
      </c>
      <c r="D705" s="92" t="s">
        <v>1813</v>
      </c>
      <c r="E705" s="92" t="s">
        <v>3678</v>
      </c>
      <c r="F705" s="88">
        <v>2433</v>
      </c>
      <c r="H705" s="88">
        <v>2433</v>
      </c>
      <c r="I705"/>
      <c r="J705" s="162">
        <v>1786597824702</v>
      </c>
      <c r="K705" s="65"/>
      <c r="L705" s="65"/>
    </row>
    <row r="706" spans="1:12" hidden="1">
      <c r="A706" s="92" t="s">
        <v>162</v>
      </c>
      <c r="B706" s="93">
        <v>46259</v>
      </c>
      <c r="C706" s="92" t="s">
        <v>1814</v>
      </c>
      <c r="D706" s="92" t="s">
        <v>1815</v>
      </c>
      <c r="E706" s="92" t="s">
        <v>3678</v>
      </c>
      <c r="F706" s="88">
        <v>1513</v>
      </c>
      <c r="H706" s="88">
        <v>1513</v>
      </c>
      <c r="I706"/>
      <c r="J706" s="162">
        <v>1786597972991</v>
      </c>
      <c r="K706" s="65"/>
      <c r="L706" s="65"/>
    </row>
    <row r="707" spans="1:12" hidden="1">
      <c r="A707" s="92" t="s">
        <v>162</v>
      </c>
      <c r="B707" s="93">
        <v>46259</v>
      </c>
      <c r="C707" s="92" t="s">
        <v>3628</v>
      </c>
      <c r="D707" s="92" t="s">
        <v>3629</v>
      </c>
      <c r="E707" s="92" t="s">
        <v>3678</v>
      </c>
      <c r="F707" s="88">
        <v>3850</v>
      </c>
      <c r="H707" s="88">
        <v>3850</v>
      </c>
      <c r="I707"/>
      <c r="J707" s="162">
        <v>1786597643897</v>
      </c>
      <c r="K707" s="65"/>
      <c r="L707" s="65"/>
    </row>
    <row r="708" spans="1:12" hidden="1">
      <c r="A708" s="92" t="s">
        <v>180</v>
      </c>
      <c r="B708" s="93">
        <v>46259</v>
      </c>
      <c r="C708" s="92" t="s">
        <v>2908</v>
      </c>
      <c r="D708" s="92" t="s">
        <v>2909</v>
      </c>
      <c r="E708" s="92" t="s">
        <v>3678</v>
      </c>
      <c r="F708" s="88">
        <v>4000</v>
      </c>
      <c r="H708" s="88">
        <v>4000</v>
      </c>
      <c r="I708"/>
      <c r="J708" s="162">
        <v>1786597452899</v>
      </c>
      <c r="K708" s="65"/>
      <c r="L708" s="65"/>
    </row>
    <row r="709" spans="1:12" hidden="1">
      <c r="A709" s="92" t="s">
        <v>162</v>
      </c>
      <c r="B709" s="93">
        <v>46259</v>
      </c>
      <c r="C709" s="92" t="s">
        <v>1949</v>
      </c>
      <c r="D709" s="92" t="s">
        <v>1950</v>
      </c>
      <c r="E709" s="92" t="s">
        <v>3678</v>
      </c>
      <c r="F709" s="88">
        <v>2800</v>
      </c>
      <c r="H709" s="88">
        <v>2800</v>
      </c>
      <c r="I709"/>
      <c r="J709" s="162">
        <v>1786596728871</v>
      </c>
      <c r="K709" s="65"/>
      <c r="L709" s="65"/>
    </row>
    <row r="710" spans="1:12" hidden="1">
      <c r="A710" s="92" t="s">
        <v>162</v>
      </c>
      <c r="B710" s="93">
        <v>46259</v>
      </c>
      <c r="C710" s="92" t="s">
        <v>1358</v>
      </c>
      <c r="D710" s="92" t="s">
        <v>1359</v>
      </c>
      <c r="E710" s="92" t="s">
        <v>3678</v>
      </c>
      <c r="F710" s="88">
        <v>3850</v>
      </c>
      <c r="H710" s="88">
        <v>3850</v>
      </c>
      <c r="I710"/>
      <c r="J710" s="162">
        <v>1787622651997</v>
      </c>
      <c r="K710" s="65"/>
      <c r="L710" s="65"/>
    </row>
    <row r="711" spans="1:12" hidden="1">
      <c r="A711" s="92" t="s">
        <v>162</v>
      </c>
      <c r="B711" s="93">
        <v>46259</v>
      </c>
      <c r="C711" s="92" t="s">
        <v>1750</v>
      </c>
      <c r="D711" s="92" t="s">
        <v>1751</v>
      </c>
      <c r="E711" s="92" t="s">
        <v>3678</v>
      </c>
      <c r="F711" s="88">
        <v>3850</v>
      </c>
      <c r="H711" s="88">
        <v>3850</v>
      </c>
      <c r="I711"/>
      <c r="J711" s="162">
        <v>1787282935424</v>
      </c>
      <c r="K711" s="65"/>
      <c r="L711" s="65"/>
    </row>
    <row r="712" spans="1:12" hidden="1">
      <c r="A712" s="92" t="s">
        <v>162</v>
      </c>
      <c r="B712" s="93">
        <v>46259</v>
      </c>
      <c r="C712" s="92" t="s">
        <v>1857</v>
      </c>
      <c r="D712" s="92" t="s">
        <v>1858</v>
      </c>
      <c r="E712" s="92" t="s">
        <v>3678</v>
      </c>
      <c r="F712" s="88">
        <v>920</v>
      </c>
      <c r="H712" s="88">
        <v>920</v>
      </c>
      <c r="I712"/>
      <c r="J712" s="162">
        <v>1786597357334</v>
      </c>
      <c r="K712" s="65"/>
      <c r="L712" s="65"/>
    </row>
    <row r="713" spans="1:12" hidden="1">
      <c r="A713" s="92" t="s">
        <v>162</v>
      </c>
      <c r="B713" s="93">
        <v>46259</v>
      </c>
      <c r="C713" s="92" t="s">
        <v>1857</v>
      </c>
      <c r="D713" s="92" t="s">
        <v>1858</v>
      </c>
      <c r="E713" s="92" t="s">
        <v>3678</v>
      </c>
      <c r="F713" s="88">
        <v>3850</v>
      </c>
      <c r="H713" s="88">
        <v>3850</v>
      </c>
      <c r="I713"/>
      <c r="J713" s="162">
        <v>1786597357334</v>
      </c>
      <c r="K713" s="65"/>
      <c r="L713" s="65"/>
    </row>
    <row r="714" spans="1:12" hidden="1">
      <c r="A714" s="92" t="s">
        <v>172</v>
      </c>
      <c r="B714" s="93">
        <v>46259</v>
      </c>
      <c r="C714" s="92" t="s">
        <v>647</v>
      </c>
      <c r="D714" s="92" t="s">
        <v>648</v>
      </c>
      <c r="E714" s="92" t="s">
        <v>3678</v>
      </c>
      <c r="F714" s="88">
        <v>3850</v>
      </c>
      <c r="H714" s="88">
        <v>3850</v>
      </c>
      <c r="I714"/>
      <c r="J714" s="162">
        <v>1787630127684</v>
      </c>
      <c r="K714" s="65"/>
      <c r="L714" s="65"/>
    </row>
    <row r="715" spans="1:12" hidden="1">
      <c r="A715" s="92" t="s">
        <v>172</v>
      </c>
      <c r="B715" s="93">
        <v>46259</v>
      </c>
      <c r="C715" s="92" t="s">
        <v>1393</v>
      </c>
      <c r="D715" s="92" t="s">
        <v>1394</v>
      </c>
      <c r="E715" s="92" t="s">
        <v>3678</v>
      </c>
      <c r="F715" s="88">
        <v>12000</v>
      </c>
      <c r="H715" s="88">
        <v>12000</v>
      </c>
      <c r="I715"/>
      <c r="J715" s="162">
        <v>1787629613821</v>
      </c>
      <c r="K715" s="65"/>
      <c r="L715" s="65"/>
    </row>
    <row r="716" spans="1:12" hidden="1">
      <c r="A716" s="92" t="s">
        <v>162</v>
      </c>
      <c r="B716" s="93">
        <v>46259</v>
      </c>
      <c r="C716" s="92" t="s">
        <v>1842</v>
      </c>
      <c r="D716" s="92" t="s">
        <v>1843</v>
      </c>
      <c r="E716" s="92" t="s">
        <v>3678</v>
      </c>
      <c r="F716" s="88">
        <v>3850</v>
      </c>
      <c r="H716" s="88">
        <v>3850</v>
      </c>
      <c r="I716"/>
      <c r="J716" s="162">
        <v>1786765542353</v>
      </c>
      <c r="K716" s="65"/>
      <c r="L716" s="65"/>
    </row>
    <row r="717" spans="1:12" hidden="1">
      <c r="A717" s="92" t="s">
        <v>162</v>
      </c>
      <c r="B717" s="93">
        <v>46259</v>
      </c>
      <c r="C717" s="92" t="s">
        <v>1854</v>
      </c>
      <c r="D717" s="92" t="s">
        <v>1855</v>
      </c>
      <c r="E717" s="92" t="s">
        <v>3678</v>
      </c>
      <c r="F717" s="88">
        <v>3850</v>
      </c>
      <c r="H717" s="88">
        <v>3850</v>
      </c>
      <c r="I717"/>
      <c r="J717" s="162">
        <v>1786597855187</v>
      </c>
      <c r="K717" s="65"/>
      <c r="L717" s="65"/>
    </row>
    <row r="718" spans="1:12">
      <c r="A718" s="92" t="s">
        <v>180</v>
      </c>
      <c r="B718" s="93">
        <v>46259</v>
      </c>
      <c r="C718" s="92" t="s">
        <v>3630</v>
      </c>
      <c r="D718" s="92" t="s">
        <v>3631</v>
      </c>
      <c r="E718" s="92" t="s">
        <v>3677</v>
      </c>
      <c r="F718" s="88">
        <v>4000</v>
      </c>
      <c r="H718" s="88">
        <v>4000</v>
      </c>
      <c r="I718" s="65" t="s">
        <v>4031</v>
      </c>
      <c r="J718" s="162">
        <v>1786598677560</v>
      </c>
      <c r="K718" s="65"/>
      <c r="L718" s="65"/>
    </row>
    <row r="719" spans="1:12" hidden="1">
      <c r="A719" s="92" t="s">
        <v>180</v>
      </c>
      <c r="B719" s="93">
        <v>46259</v>
      </c>
      <c r="C719" s="92" t="s">
        <v>3281</v>
      </c>
      <c r="D719" s="92" t="s">
        <v>3282</v>
      </c>
      <c r="E719" s="92" t="s">
        <v>3678</v>
      </c>
      <c r="F719" s="88">
        <v>493</v>
      </c>
      <c r="G719" s="88">
        <v>493</v>
      </c>
      <c r="I719"/>
      <c r="J719" s="162">
        <v>1787632381069</v>
      </c>
      <c r="K719" s="65"/>
      <c r="L719" s="65"/>
    </row>
    <row r="720" spans="1:12" hidden="1">
      <c r="A720" s="92" t="s">
        <v>162</v>
      </c>
      <c r="B720" s="93">
        <v>46259</v>
      </c>
      <c r="C720" s="92" t="s">
        <v>1899</v>
      </c>
      <c r="D720" s="92" t="s">
        <v>1900</v>
      </c>
      <c r="E720" s="92" t="s">
        <v>3678</v>
      </c>
      <c r="F720" s="88">
        <v>2800</v>
      </c>
      <c r="H720" s="88">
        <v>2800</v>
      </c>
      <c r="I720"/>
      <c r="J720" s="162">
        <v>1787634038061</v>
      </c>
      <c r="K720" s="65"/>
      <c r="L720" s="65"/>
    </row>
    <row r="721" spans="1:12" hidden="1">
      <c r="A721" s="92" t="s">
        <v>162</v>
      </c>
      <c r="B721" s="93">
        <v>46259</v>
      </c>
      <c r="C721" s="92" t="s">
        <v>1522</v>
      </c>
      <c r="D721" s="92" t="s">
        <v>1523</v>
      </c>
      <c r="E721" s="92" t="s">
        <v>3678</v>
      </c>
      <c r="F721" s="88">
        <v>2800</v>
      </c>
      <c r="H721" s="88">
        <v>2800</v>
      </c>
      <c r="I721"/>
      <c r="J721" s="162">
        <v>1786597853650</v>
      </c>
      <c r="K721" s="65"/>
      <c r="L721" s="65"/>
    </row>
    <row r="722" spans="1:12" hidden="1">
      <c r="A722" s="92" t="s">
        <v>162</v>
      </c>
      <c r="B722" s="93">
        <v>46259</v>
      </c>
      <c r="C722" s="92" t="s">
        <v>1522</v>
      </c>
      <c r="D722" s="92" t="s">
        <v>1523</v>
      </c>
      <c r="E722" s="92" t="s">
        <v>3678</v>
      </c>
      <c r="F722" s="88">
        <v>2800</v>
      </c>
      <c r="H722" s="88">
        <v>2800</v>
      </c>
      <c r="I722"/>
      <c r="J722" s="162">
        <v>1786597853650</v>
      </c>
      <c r="K722" s="65"/>
      <c r="L722" s="65"/>
    </row>
    <row r="723" spans="1:12" hidden="1">
      <c r="A723" s="92" t="s">
        <v>180</v>
      </c>
      <c r="B723" s="93">
        <v>46259</v>
      </c>
      <c r="C723" s="92" t="s">
        <v>379</v>
      </c>
      <c r="D723" s="92" t="s">
        <v>380</v>
      </c>
      <c r="E723" s="92" t="s">
        <v>3678</v>
      </c>
      <c r="F723" s="88">
        <v>2800</v>
      </c>
      <c r="H723" s="88">
        <v>2800</v>
      </c>
      <c r="I723"/>
      <c r="J723" s="162">
        <v>1786598024183</v>
      </c>
      <c r="K723" s="65"/>
      <c r="L723" s="65"/>
    </row>
    <row r="724" spans="1:12" hidden="1">
      <c r="A724" s="92" t="s">
        <v>172</v>
      </c>
      <c r="B724" s="93">
        <v>46259</v>
      </c>
      <c r="C724" s="92" t="s">
        <v>3632</v>
      </c>
      <c r="D724" s="92" t="s">
        <v>3633</v>
      </c>
      <c r="E724" s="92" t="s">
        <v>3678</v>
      </c>
      <c r="F724" s="88">
        <v>3850</v>
      </c>
      <c r="H724" s="88">
        <v>3850</v>
      </c>
      <c r="I724"/>
      <c r="J724" s="162">
        <v>1786597254807</v>
      </c>
      <c r="K724" s="65"/>
      <c r="L724" s="65"/>
    </row>
    <row r="725" spans="1:12" hidden="1">
      <c r="A725" s="92" t="s">
        <v>172</v>
      </c>
      <c r="B725" s="93">
        <v>46259</v>
      </c>
      <c r="C725" s="92" t="s">
        <v>1609</v>
      </c>
      <c r="D725" s="92" t="s">
        <v>1610</v>
      </c>
      <c r="E725" s="92" t="s">
        <v>3678</v>
      </c>
      <c r="F725" s="88">
        <v>3850</v>
      </c>
      <c r="H725" s="88">
        <v>3850</v>
      </c>
      <c r="I725"/>
      <c r="J725" s="162">
        <v>1786597400523</v>
      </c>
      <c r="K725" s="65"/>
      <c r="L725" s="65"/>
    </row>
    <row r="726" spans="1:12" hidden="1">
      <c r="A726" s="92" t="s">
        <v>172</v>
      </c>
      <c r="B726" s="93">
        <v>46259</v>
      </c>
      <c r="C726" s="92" t="s">
        <v>3380</v>
      </c>
      <c r="D726" s="92" t="s">
        <v>3381</v>
      </c>
      <c r="E726" s="92" t="s">
        <v>3678</v>
      </c>
      <c r="F726" s="88">
        <v>2800</v>
      </c>
      <c r="H726" s="88">
        <v>2800</v>
      </c>
      <c r="I726"/>
      <c r="J726" s="162">
        <v>1786597776056</v>
      </c>
      <c r="K726" s="65"/>
      <c r="L726" s="65"/>
    </row>
    <row r="727" spans="1:12" hidden="1">
      <c r="A727" s="92" t="s">
        <v>162</v>
      </c>
      <c r="B727" s="93">
        <v>46259</v>
      </c>
      <c r="C727" s="92" t="s">
        <v>1951</v>
      </c>
      <c r="D727" s="92" t="s">
        <v>1952</v>
      </c>
      <c r="E727" s="92" t="s">
        <v>3678</v>
      </c>
      <c r="F727" s="88">
        <v>2695</v>
      </c>
      <c r="H727" s="88">
        <v>2695</v>
      </c>
      <c r="I727"/>
      <c r="J727" s="162">
        <v>1786597401976</v>
      </c>
      <c r="K727" s="65"/>
      <c r="L727" s="65"/>
    </row>
    <row r="728" spans="1:12" hidden="1">
      <c r="A728" s="92" t="s">
        <v>172</v>
      </c>
      <c r="B728" s="93">
        <v>46259</v>
      </c>
      <c r="C728" s="92" t="s">
        <v>1609</v>
      </c>
      <c r="D728" s="92" t="s">
        <v>1610</v>
      </c>
      <c r="E728" s="92" t="s">
        <v>3678</v>
      </c>
      <c r="F728" s="88">
        <v>3850</v>
      </c>
      <c r="H728" s="88">
        <v>3850</v>
      </c>
      <c r="I728"/>
      <c r="J728" s="162">
        <v>1786598203034</v>
      </c>
      <c r="K728" s="65"/>
      <c r="L728" s="65"/>
    </row>
    <row r="729" spans="1:12" hidden="1">
      <c r="A729" s="92" t="s">
        <v>162</v>
      </c>
      <c r="B729" s="93">
        <v>46259</v>
      </c>
      <c r="C729" s="92" t="s">
        <v>1609</v>
      </c>
      <c r="D729" s="92" t="s">
        <v>1610</v>
      </c>
      <c r="E729" s="92" t="s">
        <v>3678</v>
      </c>
      <c r="F729" s="88">
        <v>3850</v>
      </c>
      <c r="H729" s="88">
        <v>3850</v>
      </c>
      <c r="J729" s="162">
        <v>1786597242546</v>
      </c>
      <c r="K729" s="65"/>
      <c r="L729" s="65"/>
    </row>
    <row r="730" spans="1:12" hidden="1">
      <c r="A730" s="92" t="s">
        <v>162</v>
      </c>
      <c r="B730" s="93">
        <v>46259</v>
      </c>
      <c r="C730" s="92" t="s">
        <v>1609</v>
      </c>
      <c r="D730" s="92" t="s">
        <v>1610</v>
      </c>
      <c r="E730" s="92" t="s">
        <v>3678</v>
      </c>
      <c r="F730" s="88">
        <v>3850</v>
      </c>
      <c r="H730" s="88">
        <v>3850</v>
      </c>
      <c r="J730" s="162">
        <v>1786598317725</v>
      </c>
      <c r="K730" s="65"/>
      <c r="L730" s="65"/>
    </row>
    <row r="731" spans="1:12" hidden="1">
      <c r="A731" s="92" t="s">
        <v>176</v>
      </c>
      <c r="B731" s="93">
        <v>46259</v>
      </c>
      <c r="C731" s="92" t="s">
        <v>3634</v>
      </c>
      <c r="D731" s="92" t="s">
        <v>3635</v>
      </c>
      <c r="E731" s="92" t="s">
        <v>3678</v>
      </c>
      <c r="F731" s="88">
        <v>3850</v>
      </c>
      <c r="H731" s="88">
        <v>3850</v>
      </c>
      <c r="I731"/>
      <c r="J731" s="162">
        <v>1786597530429</v>
      </c>
      <c r="K731" s="65"/>
      <c r="L731" s="65"/>
    </row>
    <row r="732" spans="1:12" hidden="1">
      <c r="A732" s="92" t="s">
        <v>162</v>
      </c>
      <c r="B732" s="93">
        <v>46259</v>
      </c>
      <c r="C732" s="92" t="s">
        <v>1915</v>
      </c>
      <c r="D732" s="92" t="s">
        <v>1916</v>
      </c>
      <c r="E732" s="92" t="s">
        <v>3678</v>
      </c>
      <c r="F732" s="88">
        <v>2800</v>
      </c>
      <c r="H732" s="88">
        <v>2800</v>
      </c>
      <c r="I732"/>
      <c r="J732" s="162">
        <v>1787111701453</v>
      </c>
      <c r="K732" s="65"/>
      <c r="L732" s="65"/>
    </row>
    <row r="733" spans="1:12" hidden="1">
      <c r="A733" s="92" t="s">
        <v>172</v>
      </c>
      <c r="B733" s="93">
        <v>46259</v>
      </c>
      <c r="C733" s="92" t="s">
        <v>1554</v>
      </c>
      <c r="D733" s="92" t="s">
        <v>1555</v>
      </c>
      <c r="E733" s="92" t="s">
        <v>3678</v>
      </c>
      <c r="F733" s="88">
        <v>2800</v>
      </c>
      <c r="H733" s="88">
        <v>2800</v>
      </c>
      <c r="I733"/>
      <c r="J733" s="162">
        <v>1786597482652</v>
      </c>
      <c r="K733" s="65"/>
      <c r="L733" s="65"/>
    </row>
    <row r="734" spans="1:12" hidden="1">
      <c r="A734" s="92" t="s">
        <v>180</v>
      </c>
      <c r="B734" s="93">
        <v>46260</v>
      </c>
      <c r="C734" s="92" t="s">
        <v>3285</v>
      </c>
      <c r="D734" s="92" t="s">
        <v>3286</v>
      </c>
      <c r="E734" s="92" t="s">
        <v>3678</v>
      </c>
      <c r="F734" s="88">
        <v>493</v>
      </c>
      <c r="G734" s="88">
        <v>493</v>
      </c>
      <c r="I734"/>
      <c r="J734" s="162">
        <v>1787712635678</v>
      </c>
    </row>
    <row r="735" spans="1:12" hidden="1">
      <c r="A735" s="92" t="s">
        <v>162</v>
      </c>
      <c r="B735" s="93">
        <v>46260</v>
      </c>
      <c r="C735" s="92" t="s">
        <v>1945</v>
      </c>
      <c r="D735" s="92" t="s">
        <v>1946</v>
      </c>
      <c r="E735" s="92" t="s">
        <v>3678</v>
      </c>
      <c r="F735" s="88">
        <v>3850</v>
      </c>
      <c r="H735" s="88">
        <v>3850</v>
      </c>
      <c r="I735"/>
      <c r="J735" s="162">
        <v>1786597836525</v>
      </c>
      <c r="K735" s="65"/>
      <c r="L735" s="65"/>
    </row>
    <row r="736" spans="1:12" hidden="1">
      <c r="A736" s="92" t="s">
        <v>172</v>
      </c>
      <c r="B736" s="93">
        <v>46260</v>
      </c>
      <c r="C736" s="92" t="s">
        <v>3482</v>
      </c>
      <c r="D736" s="92" t="s">
        <v>3483</v>
      </c>
      <c r="E736" s="92" t="s">
        <v>3678</v>
      </c>
      <c r="F736" s="88">
        <v>1050</v>
      </c>
      <c r="H736" s="88">
        <v>1050</v>
      </c>
      <c r="I736"/>
      <c r="J736" s="162">
        <v>1787648744270</v>
      </c>
      <c r="K736" s="65"/>
      <c r="L736" s="65"/>
    </row>
    <row r="737" spans="1:12" hidden="1">
      <c r="A737" s="92" t="s">
        <v>3293</v>
      </c>
      <c r="B737" s="93">
        <v>46260</v>
      </c>
      <c r="C737" s="92" t="s">
        <v>1986</v>
      </c>
      <c r="D737" s="92" t="s">
        <v>1987</v>
      </c>
      <c r="E737" s="92" t="s">
        <v>3678</v>
      </c>
      <c r="F737" s="88">
        <v>3850</v>
      </c>
      <c r="H737" s="88">
        <v>3850</v>
      </c>
      <c r="I737"/>
      <c r="J737" s="162">
        <v>1787046689412</v>
      </c>
      <c r="K737" s="65"/>
      <c r="L737" s="65"/>
    </row>
    <row r="738" spans="1:12" hidden="1">
      <c r="A738" s="92" t="s">
        <v>3293</v>
      </c>
      <c r="B738" s="93">
        <v>46260</v>
      </c>
      <c r="C738" s="92" t="s">
        <v>1986</v>
      </c>
      <c r="D738" s="92" t="s">
        <v>1987</v>
      </c>
      <c r="E738" s="92" t="s">
        <v>3678</v>
      </c>
      <c r="F738" s="88">
        <v>653</v>
      </c>
      <c r="H738" s="88">
        <v>653</v>
      </c>
      <c r="I738"/>
      <c r="J738" s="162">
        <v>1787046689412</v>
      </c>
      <c r="K738" s="65"/>
      <c r="L738" s="65"/>
    </row>
    <row r="739" spans="1:12" hidden="1">
      <c r="A739" s="92" t="s">
        <v>162</v>
      </c>
      <c r="B739" s="93">
        <v>46260</v>
      </c>
      <c r="C739" s="92" t="s">
        <v>2017</v>
      </c>
      <c r="D739" s="92" t="s">
        <v>2018</v>
      </c>
      <c r="E739" s="92" t="s">
        <v>3678</v>
      </c>
      <c r="F739" s="88">
        <v>4200</v>
      </c>
      <c r="H739" s="88">
        <v>4200</v>
      </c>
      <c r="I739"/>
      <c r="J739" s="162">
        <v>1786597072003</v>
      </c>
      <c r="K739" s="65"/>
      <c r="L739" s="65"/>
    </row>
    <row r="740" spans="1:12" hidden="1">
      <c r="A740" s="92" t="s">
        <v>172</v>
      </c>
      <c r="B740" s="93">
        <v>46260</v>
      </c>
      <c r="C740" s="92" t="s">
        <v>2971</v>
      </c>
      <c r="D740" s="92" t="s">
        <v>2972</v>
      </c>
      <c r="E740" s="92" t="s">
        <v>3678</v>
      </c>
      <c r="F740" s="88">
        <v>3850</v>
      </c>
      <c r="H740" s="88">
        <v>3850</v>
      </c>
      <c r="I740"/>
      <c r="J740" s="162">
        <v>1786598587382</v>
      </c>
      <c r="K740" s="65"/>
      <c r="L740" s="65"/>
    </row>
    <row r="741" spans="1:12" hidden="1">
      <c r="A741" s="92" t="s">
        <v>162</v>
      </c>
      <c r="B741" s="93">
        <v>46260</v>
      </c>
      <c r="C741" s="92" t="s">
        <v>3636</v>
      </c>
      <c r="D741" s="92" t="s">
        <v>3637</v>
      </c>
      <c r="E741" s="92" t="s">
        <v>3678</v>
      </c>
      <c r="F741" s="88">
        <v>3850</v>
      </c>
      <c r="H741" s="88">
        <v>3850</v>
      </c>
      <c r="I741"/>
      <c r="J741" s="162">
        <v>1786598220789</v>
      </c>
      <c r="K741" s="65"/>
      <c r="L741" s="65"/>
    </row>
    <row r="742" spans="1:12" hidden="1">
      <c r="A742" s="92" t="s">
        <v>162</v>
      </c>
      <c r="B742" s="93">
        <v>46260</v>
      </c>
      <c r="C742" s="92" t="s">
        <v>2101</v>
      </c>
      <c r="D742" s="92" t="s">
        <v>2102</v>
      </c>
      <c r="E742" s="92" t="s">
        <v>3678</v>
      </c>
      <c r="F742" s="88">
        <v>3850</v>
      </c>
      <c r="H742" s="88">
        <v>3850</v>
      </c>
      <c r="I742"/>
      <c r="J742" s="162">
        <v>1787640771432</v>
      </c>
      <c r="K742" s="65"/>
      <c r="L742" s="65"/>
    </row>
    <row r="743" spans="1:12" hidden="1">
      <c r="A743" s="92" t="s">
        <v>162</v>
      </c>
      <c r="B743" s="93">
        <v>46260</v>
      </c>
      <c r="C743" s="92" t="s">
        <v>1232</v>
      </c>
      <c r="D743" s="92" t="s">
        <v>1233</v>
      </c>
      <c r="E743" s="92" t="s">
        <v>3678</v>
      </c>
      <c r="F743" s="88">
        <v>3850</v>
      </c>
      <c r="H743" s="88">
        <v>3850</v>
      </c>
      <c r="I743"/>
      <c r="J743" s="162">
        <v>1786765617242</v>
      </c>
      <c r="K743" s="65"/>
      <c r="L743" s="65"/>
    </row>
    <row r="744" spans="1:12" hidden="1">
      <c r="A744" s="92" t="s">
        <v>162</v>
      </c>
      <c r="B744" s="93">
        <v>46260</v>
      </c>
      <c r="C744" s="92" t="s">
        <v>1957</v>
      </c>
      <c r="D744" s="92" t="s">
        <v>1958</v>
      </c>
      <c r="E744" s="92" t="s">
        <v>3678</v>
      </c>
      <c r="F744" s="88">
        <v>3850</v>
      </c>
      <c r="H744" s="88">
        <v>3850</v>
      </c>
      <c r="I744"/>
      <c r="J744" s="162">
        <v>1786596600771</v>
      </c>
      <c r="K744" s="65"/>
      <c r="L744" s="65"/>
    </row>
    <row r="745" spans="1:12" hidden="1">
      <c r="A745" s="92" t="s">
        <v>162</v>
      </c>
      <c r="B745" s="93">
        <v>46260</v>
      </c>
      <c r="C745" s="92" t="s">
        <v>1291</v>
      </c>
      <c r="D745" s="92" t="s">
        <v>1292</v>
      </c>
      <c r="E745" s="92" t="s">
        <v>3678</v>
      </c>
      <c r="F745" s="88">
        <v>653</v>
      </c>
      <c r="H745" s="88">
        <v>653</v>
      </c>
      <c r="I745"/>
      <c r="J745" s="162">
        <v>1786598032023</v>
      </c>
      <c r="K745" s="65"/>
      <c r="L745" s="65"/>
    </row>
    <row r="746" spans="1:12" hidden="1">
      <c r="A746" s="92" t="s">
        <v>162</v>
      </c>
      <c r="B746" s="93">
        <v>46260</v>
      </c>
      <c r="C746" s="92" t="s">
        <v>1421</v>
      </c>
      <c r="D746" s="92" t="s">
        <v>1422</v>
      </c>
      <c r="E746" s="92" t="s">
        <v>3678</v>
      </c>
      <c r="F746" s="88">
        <v>3850</v>
      </c>
      <c r="H746" s="88">
        <v>3850</v>
      </c>
      <c r="I746"/>
      <c r="J746" s="162">
        <v>1786597721475</v>
      </c>
      <c r="K746" s="65"/>
      <c r="L746" s="65"/>
    </row>
    <row r="747" spans="1:12" hidden="1">
      <c r="A747" s="92" t="s">
        <v>172</v>
      </c>
      <c r="B747" s="93">
        <v>46260</v>
      </c>
      <c r="C747" s="92" t="s">
        <v>3638</v>
      </c>
      <c r="D747" s="92" t="s">
        <v>3639</v>
      </c>
      <c r="E747" s="92" t="s">
        <v>3678</v>
      </c>
      <c r="F747" s="88">
        <v>6850</v>
      </c>
      <c r="G747" s="88">
        <v>3000</v>
      </c>
      <c r="H747" s="88">
        <v>3850</v>
      </c>
      <c r="I747"/>
      <c r="J747" s="162">
        <v>1787726876797</v>
      </c>
      <c r="K747" s="65"/>
      <c r="L747" s="65"/>
    </row>
    <row r="748" spans="1:12" hidden="1">
      <c r="A748" s="92" t="s">
        <v>162</v>
      </c>
      <c r="B748" s="93">
        <v>46260</v>
      </c>
      <c r="C748" s="92" t="s">
        <v>1965</v>
      </c>
      <c r="D748" s="92" t="s">
        <v>1966</v>
      </c>
      <c r="E748" s="92" t="s">
        <v>3678</v>
      </c>
      <c r="F748" s="88">
        <v>3850</v>
      </c>
      <c r="H748" s="88">
        <v>3850</v>
      </c>
      <c r="I748"/>
      <c r="J748" s="162">
        <v>1786597595384</v>
      </c>
      <c r="K748" s="65"/>
      <c r="L748" s="65"/>
    </row>
    <row r="749" spans="1:12" hidden="1">
      <c r="A749" s="92" t="s">
        <v>180</v>
      </c>
      <c r="B749" s="93">
        <v>46260</v>
      </c>
      <c r="C749" s="92" t="s">
        <v>199</v>
      </c>
      <c r="D749" s="92" t="s">
        <v>200</v>
      </c>
      <c r="E749" s="92" t="s">
        <v>3678</v>
      </c>
      <c r="F749" s="88">
        <v>4200</v>
      </c>
      <c r="H749" s="88">
        <v>4200</v>
      </c>
      <c r="I749"/>
      <c r="J749" s="162">
        <v>1787716902797</v>
      </c>
      <c r="K749" s="65"/>
      <c r="L749" s="65"/>
    </row>
    <row r="750" spans="1:12" hidden="1">
      <c r="A750" s="92" t="s">
        <v>162</v>
      </c>
      <c r="B750" s="93">
        <v>46260</v>
      </c>
      <c r="C750" s="92" t="s">
        <v>1694</v>
      </c>
      <c r="D750" s="92" t="s">
        <v>1695</v>
      </c>
      <c r="E750" s="92" t="s">
        <v>3678</v>
      </c>
      <c r="F750" s="88">
        <v>3850</v>
      </c>
      <c r="H750" s="88">
        <v>3850</v>
      </c>
      <c r="I750"/>
      <c r="J750" s="162">
        <v>1787735327798</v>
      </c>
      <c r="K750" s="65"/>
      <c r="L750" s="65"/>
    </row>
    <row r="751" spans="1:12" hidden="1">
      <c r="A751" s="92" t="s">
        <v>162</v>
      </c>
      <c r="B751" s="93">
        <v>46260</v>
      </c>
      <c r="C751" s="92" t="s">
        <v>1976</v>
      </c>
      <c r="D751" s="92" t="s">
        <v>1977</v>
      </c>
      <c r="E751" s="92" t="s">
        <v>3678</v>
      </c>
      <c r="F751" s="88">
        <v>3850</v>
      </c>
      <c r="H751" s="88">
        <v>3850</v>
      </c>
      <c r="I751"/>
      <c r="J751" s="162">
        <v>1786939178255</v>
      </c>
      <c r="K751" s="65"/>
      <c r="L751" s="65"/>
    </row>
    <row r="752" spans="1:12" hidden="1">
      <c r="A752" s="92" t="s">
        <v>162</v>
      </c>
      <c r="B752" s="93">
        <v>46260</v>
      </c>
      <c r="C752" s="92" t="s">
        <v>1991</v>
      </c>
      <c r="D752" s="92" t="s">
        <v>1992</v>
      </c>
      <c r="E752" s="92" t="s">
        <v>3678</v>
      </c>
      <c r="F752" s="88">
        <v>2800</v>
      </c>
      <c r="H752" s="88">
        <v>2800</v>
      </c>
      <c r="I752"/>
      <c r="J752" s="162">
        <v>1787727457323</v>
      </c>
      <c r="K752" s="65"/>
      <c r="L752" s="65"/>
    </row>
    <row r="753" spans="1:12" hidden="1">
      <c r="A753" s="92" t="s">
        <v>172</v>
      </c>
      <c r="B753" s="93">
        <v>46260</v>
      </c>
      <c r="C753" s="92" t="s">
        <v>3640</v>
      </c>
      <c r="D753" s="92" t="s">
        <v>3641</v>
      </c>
      <c r="E753" s="92" t="s">
        <v>3678</v>
      </c>
      <c r="F753" s="88">
        <v>2800</v>
      </c>
      <c r="H753" s="88">
        <v>2800</v>
      </c>
      <c r="I753"/>
      <c r="J753" s="162">
        <v>1786596835629</v>
      </c>
      <c r="K753" s="65"/>
      <c r="L753" s="65"/>
    </row>
    <row r="754" spans="1:12" hidden="1">
      <c r="A754" s="92" t="s">
        <v>162</v>
      </c>
      <c r="B754" s="93">
        <v>46260</v>
      </c>
      <c r="C754" s="92" t="s">
        <v>3396</v>
      </c>
      <c r="D754" s="92" t="s">
        <v>3397</v>
      </c>
      <c r="E754" s="92" t="s">
        <v>3678</v>
      </c>
      <c r="F754" s="88">
        <v>3850</v>
      </c>
      <c r="H754" s="88">
        <v>3850</v>
      </c>
      <c r="I754"/>
      <c r="J754" s="162">
        <v>1786598752933</v>
      </c>
      <c r="K754" s="65"/>
      <c r="L754" s="65"/>
    </row>
    <row r="755" spans="1:12" hidden="1">
      <c r="A755" s="92" t="s">
        <v>172</v>
      </c>
      <c r="B755" s="93">
        <v>46260</v>
      </c>
      <c r="C755" s="92" t="s">
        <v>2849</v>
      </c>
      <c r="D755" s="92" t="s">
        <v>2850</v>
      </c>
      <c r="E755" s="92" t="s">
        <v>3678</v>
      </c>
      <c r="F755" s="88">
        <v>3850</v>
      </c>
      <c r="H755" s="88">
        <v>3850</v>
      </c>
      <c r="I755"/>
      <c r="J755" s="162">
        <v>1786597711802</v>
      </c>
      <c r="K755" s="65"/>
      <c r="L755" s="65"/>
    </row>
    <row r="756" spans="1:12" hidden="1">
      <c r="A756" s="92" t="s">
        <v>172</v>
      </c>
      <c r="B756" s="93">
        <v>46260</v>
      </c>
      <c r="C756" s="92" t="s">
        <v>3642</v>
      </c>
      <c r="D756" s="92" t="s">
        <v>370</v>
      </c>
      <c r="E756" s="92" t="s">
        <v>3678</v>
      </c>
      <c r="F756" s="88">
        <v>4000</v>
      </c>
      <c r="H756" s="88">
        <v>4000</v>
      </c>
      <c r="I756"/>
      <c r="J756" s="162">
        <v>1787193952135</v>
      </c>
      <c r="K756" s="65"/>
      <c r="L756" s="65"/>
    </row>
    <row r="757" spans="1:12" hidden="1">
      <c r="A757" s="92" t="s">
        <v>180</v>
      </c>
      <c r="B757" s="93">
        <v>46260</v>
      </c>
      <c r="C757" s="92" t="s">
        <v>3643</v>
      </c>
      <c r="D757" s="92" t="s">
        <v>3644</v>
      </c>
      <c r="E757" s="92" t="s">
        <v>3678</v>
      </c>
      <c r="F757" s="88">
        <v>4200</v>
      </c>
      <c r="H757" s="88">
        <v>4200</v>
      </c>
      <c r="I757"/>
      <c r="J757" s="162">
        <v>1787630327911</v>
      </c>
      <c r="K757" s="65"/>
      <c r="L757" s="65"/>
    </row>
    <row r="758" spans="1:12">
      <c r="A758" s="92" t="s">
        <v>162</v>
      </c>
      <c r="B758" s="93">
        <v>46260</v>
      </c>
      <c r="C758" s="92" t="s">
        <v>3643</v>
      </c>
      <c r="D758" s="92" t="s">
        <v>3644</v>
      </c>
      <c r="E758" s="92" t="s">
        <v>3677</v>
      </c>
      <c r="F758" s="88">
        <v>2000</v>
      </c>
      <c r="H758" s="88">
        <v>2000</v>
      </c>
      <c r="I758" s="65" t="s">
        <v>2159</v>
      </c>
      <c r="J758" s="162">
        <v>1787131963501</v>
      </c>
      <c r="K758" s="65"/>
      <c r="L758" s="65"/>
    </row>
    <row r="759" spans="1:12" hidden="1">
      <c r="A759" s="92" t="s">
        <v>172</v>
      </c>
      <c r="B759" s="93">
        <v>46260</v>
      </c>
      <c r="C759" s="92" t="s">
        <v>3119</v>
      </c>
      <c r="D759" s="92" t="s">
        <v>3120</v>
      </c>
      <c r="E759" s="92" t="s">
        <v>3678</v>
      </c>
      <c r="F759" s="88">
        <v>2800</v>
      </c>
      <c r="H759" s="88">
        <v>2800</v>
      </c>
      <c r="I759"/>
      <c r="J759" s="162">
        <v>1787296912516</v>
      </c>
      <c r="K759" s="65"/>
      <c r="L759" s="65"/>
    </row>
    <row r="760" spans="1:12" hidden="1">
      <c r="A760" s="92" t="s">
        <v>180</v>
      </c>
      <c r="B760" s="93">
        <v>46260</v>
      </c>
      <c r="C760" s="92" t="s">
        <v>3645</v>
      </c>
      <c r="D760" s="92" t="s">
        <v>3646</v>
      </c>
      <c r="E760" s="92" t="s">
        <v>3678</v>
      </c>
      <c r="F760" s="88">
        <v>4000</v>
      </c>
      <c r="H760" s="88">
        <v>4000</v>
      </c>
      <c r="I760"/>
      <c r="J760" s="162">
        <v>1786598125121</v>
      </c>
      <c r="K760" s="65"/>
      <c r="L760" s="65"/>
    </row>
    <row r="761" spans="1:12" hidden="1">
      <c r="A761" s="92" t="s">
        <v>162</v>
      </c>
      <c r="B761" s="93">
        <v>46260</v>
      </c>
      <c r="C761" s="92" t="s">
        <v>1978</v>
      </c>
      <c r="D761" s="92" t="s">
        <v>1979</v>
      </c>
      <c r="E761" s="92" t="s">
        <v>3678</v>
      </c>
      <c r="F761" s="88">
        <v>3850</v>
      </c>
      <c r="H761" s="88">
        <v>3850</v>
      </c>
      <c r="I761"/>
      <c r="J761" s="162">
        <v>1787639760270</v>
      </c>
      <c r="K761" s="65"/>
      <c r="L761" s="65"/>
    </row>
    <row r="762" spans="1:12" hidden="1">
      <c r="A762" s="92" t="s">
        <v>180</v>
      </c>
      <c r="B762" s="93">
        <v>46260</v>
      </c>
      <c r="C762" s="92" t="s">
        <v>3257</v>
      </c>
      <c r="D762" s="92" t="s">
        <v>3258</v>
      </c>
      <c r="E762" s="92" t="s">
        <v>3678</v>
      </c>
      <c r="F762" s="88">
        <v>493</v>
      </c>
      <c r="G762" s="88">
        <v>493</v>
      </c>
      <c r="I762"/>
      <c r="J762" s="162">
        <v>1787734381784</v>
      </c>
      <c r="K762" s="65"/>
      <c r="L762" s="65"/>
    </row>
    <row r="763" spans="1:12" hidden="1">
      <c r="A763" s="92" t="s">
        <v>162</v>
      </c>
      <c r="B763" s="93">
        <v>46260</v>
      </c>
      <c r="C763" s="92" t="s">
        <v>2032</v>
      </c>
      <c r="D763" s="92" t="s">
        <v>2033</v>
      </c>
      <c r="E763" s="92" t="s">
        <v>3678</v>
      </c>
      <c r="F763" s="88">
        <v>2800</v>
      </c>
      <c r="H763" s="88">
        <v>2800</v>
      </c>
      <c r="I763"/>
      <c r="J763" s="162">
        <v>1787727948899</v>
      </c>
      <c r="K763" s="65"/>
      <c r="L763" s="65"/>
    </row>
    <row r="764" spans="1:12" hidden="1">
      <c r="A764" s="92" t="s">
        <v>162</v>
      </c>
      <c r="B764" s="93">
        <v>46260</v>
      </c>
      <c r="C764" s="92" t="s">
        <v>1574</v>
      </c>
      <c r="D764" s="92" t="s">
        <v>1575</v>
      </c>
      <c r="E764" s="92" t="s">
        <v>3678</v>
      </c>
      <c r="F764" s="88">
        <v>2800</v>
      </c>
      <c r="H764" s="88">
        <v>2800</v>
      </c>
      <c r="I764"/>
      <c r="J764" s="162">
        <v>1786598363017</v>
      </c>
      <c r="K764" s="65"/>
      <c r="L764" s="65"/>
    </row>
    <row r="765" spans="1:12" hidden="1">
      <c r="A765" s="92" t="s">
        <v>176</v>
      </c>
      <c r="B765" s="93">
        <v>46260</v>
      </c>
      <c r="C765" s="92" t="s">
        <v>398</v>
      </c>
      <c r="D765" s="92" t="s">
        <v>399</v>
      </c>
      <c r="E765" s="92" t="s">
        <v>3678</v>
      </c>
      <c r="F765" s="88">
        <v>4200</v>
      </c>
      <c r="H765" s="88">
        <v>4200</v>
      </c>
      <c r="I765"/>
      <c r="J765" s="162">
        <v>1787734218344</v>
      </c>
      <c r="K765" s="65"/>
      <c r="L765" s="65"/>
    </row>
    <row r="766" spans="1:12" hidden="1">
      <c r="A766" s="92" t="s">
        <v>162</v>
      </c>
      <c r="B766" s="93">
        <v>46260</v>
      </c>
      <c r="C766" s="92" t="s">
        <v>1238</v>
      </c>
      <c r="D766" s="92" t="s">
        <v>1239</v>
      </c>
      <c r="E766" s="92" t="s">
        <v>3678</v>
      </c>
      <c r="F766" s="88">
        <v>3850</v>
      </c>
      <c r="H766" s="88">
        <v>3850</v>
      </c>
      <c r="I766"/>
      <c r="J766" s="162">
        <v>1786597730231</v>
      </c>
      <c r="K766" s="65"/>
      <c r="L766" s="65"/>
    </row>
    <row r="767" spans="1:12" hidden="1">
      <c r="A767" s="92" t="s">
        <v>162</v>
      </c>
      <c r="B767" s="93">
        <v>46260</v>
      </c>
      <c r="C767" s="92" t="s">
        <v>1647</v>
      </c>
      <c r="D767" s="92" t="s">
        <v>1648</v>
      </c>
      <c r="E767" s="92" t="s">
        <v>3678</v>
      </c>
      <c r="F767" s="88">
        <v>3850</v>
      </c>
      <c r="H767" s="88">
        <v>3850</v>
      </c>
      <c r="I767"/>
      <c r="J767" s="162">
        <v>1786596358319</v>
      </c>
      <c r="K767" s="65"/>
      <c r="L767" s="65"/>
    </row>
    <row r="768" spans="1:12" hidden="1">
      <c r="A768" s="92" t="s">
        <v>162</v>
      </c>
      <c r="B768" s="93">
        <v>46260</v>
      </c>
      <c r="C768" s="92" t="s">
        <v>1613</v>
      </c>
      <c r="D768" s="92" t="s">
        <v>1614</v>
      </c>
      <c r="E768" s="92" t="s">
        <v>3678</v>
      </c>
      <c r="F768" s="88">
        <v>4200</v>
      </c>
      <c r="H768" s="88">
        <v>4200</v>
      </c>
      <c r="I768"/>
      <c r="J768" s="162">
        <v>1786596868767</v>
      </c>
      <c r="K768" s="65"/>
      <c r="L768" s="65"/>
    </row>
    <row r="769" spans="1:12" hidden="1">
      <c r="A769" s="92" t="s">
        <v>172</v>
      </c>
      <c r="B769" s="93">
        <v>46260</v>
      </c>
      <c r="C769" s="92" t="s">
        <v>3647</v>
      </c>
      <c r="D769" s="92" t="s">
        <v>3648</v>
      </c>
      <c r="E769" s="92" t="s">
        <v>3678</v>
      </c>
      <c r="F769" s="88">
        <v>4000</v>
      </c>
      <c r="H769" s="88">
        <v>4000</v>
      </c>
      <c r="I769"/>
      <c r="J769" s="162">
        <v>1787667589006</v>
      </c>
      <c r="K769" s="65"/>
      <c r="L769" s="65"/>
    </row>
    <row r="770" spans="1:12" hidden="1">
      <c r="A770" s="92" t="s">
        <v>180</v>
      </c>
      <c r="B770" s="93">
        <v>46260</v>
      </c>
      <c r="C770" s="92" t="s">
        <v>653</v>
      </c>
      <c r="D770" s="92" t="s">
        <v>654</v>
      </c>
      <c r="E770" s="92" t="s">
        <v>3678</v>
      </c>
      <c r="F770" s="88">
        <v>4000</v>
      </c>
      <c r="H770" s="88">
        <v>4000</v>
      </c>
      <c r="I770"/>
      <c r="J770" s="162">
        <v>1786598294042</v>
      </c>
      <c r="K770" s="65"/>
      <c r="L770" s="65"/>
    </row>
    <row r="771" spans="1:12" hidden="1">
      <c r="A771" s="92" t="s">
        <v>162</v>
      </c>
      <c r="B771" s="93">
        <v>46260</v>
      </c>
      <c r="C771" s="92" t="s">
        <v>3528</v>
      </c>
      <c r="D771" s="92" t="s">
        <v>3529</v>
      </c>
      <c r="E771" s="92" t="s">
        <v>3678</v>
      </c>
      <c r="F771" s="88">
        <v>1050</v>
      </c>
      <c r="H771" s="88">
        <v>1050</v>
      </c>
      <c r="I771"/>
      <c r="J771" s="162">
        <v>1787726499274</v>
      </c>
      <c r="K771" s="65"/>
      <c r="L771" s="65"/>
    </row>
    <row r="772" spans="1:12" hidden="1">
      <c r="A772" s="92" t="s">
        <v>172</v>
      </c>
      <c r="B772" s="93">
        <v>46260</v>
      </c>
      <c r="C772" s="92" t="s">
        <v>3649</v>
      </c>
      <c r="D772" s="92" t="s">
        <v>3650</v>
      </c>
      <c r="E772" s="92" t="s">
        <v>3678</v>
      </c>
      <c r="F772" s="88">
        <v>5800</v>
      </c>
      <c r="G772" s="88">
        <v>3000</v>
      </c>
      <c r="H772" s="88">
        <v>2800</v>
      </c>
      <c r="I772"/>
      <c r="J772" s="162">
        <v>1787628710674</v>
      </c>
      <c r="K772" s="65"/>
      <c r="L772" s="65"/>
    </row>
    <row r="773" spans="1:12" hidden="1">
      <c r="A773" s="92" t="s">
        <v>180</v>
      </c>
      <c r="B773" s="93">
        <v>46261</v>
      </c>
      <c r="C773" s="92" t="s">
        <v>3651</v>
      </c>
      <c r="D773" s="92" t="s">
        <v>3652</v>
      </c>
      <c r="E773" s="92" t="s">
        <v>3678</v>
      </c>
      <c r="F773" s="88">
        <v>493</v>
      </c>
      <c r="G773" s="88">
        <v>493</v>
      </c>
      <c r="I773"/>
      <c r="J773" s="162">
        <v>1787628890828</v>
      </c>
      <c r="K773" s="65"/>
      <c r="L773" s="65"/>
    </row>
    <row r="774" spans="1:12" hidden="1">
      <c r="A774" s="92" t="s">
        <v>162</v>
      </c>
      <c r="B774" s="93">
        <v>46261</v>
      </c>
      <c r="C774" s="92" t="s">
        <v>1822</v>
      </c>
      <c r="D774" s="92" t="s">
        <v>1823</v>
      </c>
      <c r="E774" s="92" t="s">
        <v>3678</v>
      </c>
      <c r="F774" s="88">
        <v>3850</v>
      </c>
      <c r="H774" s="88">
        <v>3850</v>
      </c>
      <c r="I774"/>
      <c r="J774" s="162">
        <v>1786597281283</v>
      </c>
      <c r="K774" s="65"/>
      <c r="L774" s="65"/>
    </row>
    <row r="775" spans="1:12" ht="43.5">
      <c r="A775" s="92" t="s">
        <v>162</v>
      </c>
      <c r="B775" s="93">
        <v>46261</v>
      </c>
      <c r="C775" s="92" t="e">
        <v>#N/A</v>
      </c>
      <c r="E775" s="92" t="s">
        <v>3677</v>
      </c>
      <c r="F775" s="88">
        <v>3000</v>
      </c>
      <c r="H775" s="88">
        <v>3000</v>
      </c>
      <c r="I775" s="65" t="s">
        <v>4087</v>
      </c>
      <c r="J775" s="164" t="s">
        <v>3885</v>
      </c>
      <c r="K775" s="65"/>
      <c r="L775" s="65"/>
    </row>
    <row r="776" spans="1:12">
      <c r="A776" s="92" t="s">
        <v>162</v>
      </c>
      <c r="B776" s="93">
        <v>46261</v>
      </c>
      <c r="C776" s="92" t="e">
        <v>#N/A</v>
      </c>
      <c r="E776" s="92" t="s">
        <v>3677</v>
      </c>
      <c r="F776" s="88">
        <v>2000</v>
      </c>
      <c r="H776" s="88">
        <v>2000</v>
      </c>
      <c r="I776" s="65" t="s">
        <v>115</v>
      </c>
      <c r="J776" s="162" t="s">
        <v>3886</v>
      </c>
      <c r="K776" s="65"/>
      <c r="L776" s="65"/>
    </row>
    <row r="777" spans="1:12">
      <c r="A777" s="92" t="s">
        <v>162</v>
      </c>
      <c r="B777" s="93">
        <v>46261</v>
      </c>
      <c r="C777" s="92" t="e">
        <v>#N/A</v>
      </c>
      <c r="E777" s="92" t="s">
        <v>3677</v>
      </c>
      <c r="F777" s="88">
        <v>2000</v>
      </c>
      <c r="H777" s="88">
        <v>2000</v>
      </c>
      <c r="I777" s="65" t="s">
        <v>1792</v>
      </c>
      <c r="J777" s="162" t="s">
        <v>3887</v>
      </c>
      <c r="K777" s="65"/>
      <c r="L777" s="65"/>
    </row>
    <row r="778" spans="1:12">
      <c r="A778" s="92" t="s">
        <v>162</v>
      </c>
      <c r="B778" s="93">
        <v>46261</v>
      </c>
      <c r="C778" s="92" t="e">
        <v>#N/A</v>
      </c>
      <c r="E778" s="92" t="s">
        <v>3677</v>
      </c>
      <c r="F778" s="88">
        <v>2000</v>
      </c>
      <c r="H778" s="88">
        <v>2000</v>
      </c>
      <c r="I778" t="s">
        <v>79</v>
      </c>
      <c r="J778" s="162" t="s">
        <v>3888</v>
      </c>
      <c r="K778" s="65"/>
      <c r="L778" s="65"/>
    </row>
    <row r="779" spans="1:12" hidden="1">
      <c r="A779" s="92" t="s">
        <v>162</v>
      </c>
      <c r="B779" s="93">
        <v>46261</v>
      </c>
      <c r="C779" s="92" t="s">
        <v>1836</v>
      </c>
      <c r="D779" s="92" t="s">
        <v>1837</v>
      </c>
      <c r="E779" s="92" t="s">
        <v>3678</v>
      </c>
      <c r="F779" s="88">
        <v>2800</v>
      </c>
      <c r="H779" s="88">
        <v>2800</v>
      </c>
      <c r="I779"/>
      <c r="J779" s="162">
        <v>1787725434014</v>
      </c>
      <c r="K779" s="65"/>
      <c r="L779" s="65"/>
    </row>
    <row r="780" spans="1:12" hidden="1">
      <c r="A780" s="92" t="s">
        <v>180</v>
      </c>
      <c r="B780" s="93">
        <v>46261</v>
      </c>
      <c r="C780" s="92" t="s">
        <v>3653</v>
      </c>
      <c r="D780" s="92" t="s">
        <v>3654</v>
      </c>
      <c r="E780" s="92" t="s">
        <v>3678</v>
      </c>
      <c r="F780" s="88">
        <v>500</v>
      </c>
      <c r="G780" s="88">
        <v>500</v>
      </c>
      <c r="I780"/>
      <c r="J780" s="162">
        <v>1787470479486</v>
      </c>
      <c r="K780" s="65"/>
      <c r="L780" s="65"/>
    </row>
    <row r="781" spans="1:12">
      <c r="A781" s="92" t="s">
        <v>162</v>
      </c>
      <c r="B781" s="93">
        <v>46261</v>
      </c>
      <c r="C781" s="92" t="e">
        <v>#N/A</v>
      </c>
      <c r="E781" s="92" t="s">
        <v>3677</v>
      </c>
      <c r="F781" s="88">
        <v>2000</v>
      </c>
      <c r="H781" s="88">
        <v>2000</v>
      </c>
      <c r="I781" t="s">
        <v>83</v>
      </c>
      <c r="J781" s="162" t="s">
        <v>3889</v>
      </c>
      <c r="K781" s="65"/>
      <c r="L781" s="65"/>
    </row>
    <row r="782" spans="1:12" hidden="1">
      <c r="A782" s="92" t="s">
        <v>162</v>
      </c>
      <c r="B782" s="93">
        <v>46261</v>
      </c>
      <c r="C782" s="92" t="s">
        <v>1270</v>
      </c>
      <c r="D782" s="92" t="s">
        <v>1271</v>
      </c>
      <c r="E782" s="92" t="s">
        <v>3678</v>
      </c>
      <c r="F782" s="88">
        <v>3850</v>
      </c>
      <c r="H782" s="88">
        <v>3850</v>
      </c>
      <c r="I782"/>
      <c r="J782" s="162">
        <v>1787800462192</v>
      </c>
      <c r="K782" s="65"/>
      <c r="L782" s="65"/>
    </row>
    <row r="783" spans="1:12" hidden="1">
      <c r="A783" s="92" t="s">
        <v>162</v>
      </c>
      <c r="B783" s="93">
        <v>46261</v>
      </c>
      <c r="C783" s="92" t="s">
        <v>3655</v>
      </c>
      <c r="D783" s="92" t="s">
        <v>3656</v>
      </c>
      <c r="E783" s="92" t="s">
        <v>3678</v>
      </c>
      <c r="F783" s="88">
        <v>7700</v>
      </c>
      <c r="H783" s="88">
        <v>7700</v>
      </c>
      <c r="I783"/>
      <c r="J783" s="162">
        <v>1787118634005</v>
      </c>
      <c r="K783" s="65"/>
      <c r="L783" s="65"/>
    </row>
    <row r="784" spans="1:12" ht="43.5">
      <c r="A784" s="92" t="s">
        <v>162</v>
      </c>
      <c r="B784" s="93">
        <v>46261</v>
      </c>
      <c r="C784" s="92" t="e">
        <v>#N/A</v>
      </c>
      <c r="E784" s="92" t="s">
        <v>3677</v>
      </c>
      <c r="F784" s="88">
        <v>4000</v>
      </c>
      <c r="H784" s="88">
        <v>4000</v>
      </c>
      <c r="I784" s="65" t="s">
        <v>99</v>
      </c>
      <c r="J784" s="164" t="s">
        <v>3890</v>
      </c>
      <c r="K784" s="65"/>
      <c r="L784" s="65"/>
    </row>
    <row r="785" spans="1:12" hidden="1">
      <c r="A785" s="92" t="s">
        <v>162</v>
      </c>
      <c r="B785" s="93">
        <v>46261</v>
      </c>
      <c r="C785" s="92" t="s">
        <v>1729</v>
      </c>
      <c r="D785" s="92" t="s">
        <v>1730</v>
      </c>
      <c r="E785" s="92" t="s">
        <v>3678</v>
      </c>
      <c r="F785" s="88">
        <v>5600</v>
      </c>
      <c r="H785" s="88">
        <v>5600</v>
      </c>
      <c r="I785"/>
      <c r="J785" s="162">
        <v>1786596448244</v>
      </c>
      <c r="K785" s="65"/>
      <c r="L785" s="65"/>
    </row>
    <row r="786" spans="1:12" hidden="1">
      <c r="A786" s="92" t="s">
        <v>180</v>
      </c>
      <c r="B786" s="93">
        <v>46261</v>
      </c>
      <c r="C786" s="92" t="s">
        <v>340</v>
      </c>
      <c r="D786" s="92" t="s">
        <v>341</v>
      </c>
      <c r="E786" s="92" t="s">
        <v>3678</v>
      </c>
      <c r="F786" s="88">
        <v>2800</v>
      </c>
      <c r="H786" s="88">
        <v>2800</v>
      </c>
      <c r="I786"/>
      <c r="J786" s="162">
        <v>1787736607561</v>
      </c>
      <c r="K786" s="65"/>
      <c r="L786" s="65"/>
    </row>
    <row r="787" spans="1:12" hidden="1">
      <c r="A787" s="92" t="s">
        <v>172</v>
      </c>
      <c r="B787" s="93">
        <v>46261</v>
      </c>
      <c r="C787" s="92" t="s">
        <v>3657</v>
      </c>
      <c r="D787" s="92" t="s">
        <v>3658</v>
      </c>
      <c r="E787" s="92" t="s">
        <v>3678</v>
      </c>
      <c r="F787" s="88">
        <v>2800</v>
      </c>
      <c r="H787" s="88">
        <v>2800</v>
      </c>
      <c r="I787"/>
      <c r="J787" s="162">
        <v>1786598426659</v>
      </c>
      <c r="K787" s="65"/>
      <c r="L787" s="65"/>
    </row>
    <row r="788" spans="1:12" hidden="1">
      <c r="A788" s="92" t="s">
        <v>162</v>
      </c>
      <c r="B788" s="93">
        <v>46261</v>
      </c>
      <c r="C788" s="92" t="s">
        <v>1763</v>
      </c>
      <c r="D788" s="92" t="s">
        <v>1764</v>
      </c>
      <c r="E788" s="92" t="s">
        <v>3678</v>
      </c>
      <c r="F788" s="88">
        <v>7850</v>
      </c>
      <c r="H788" s="88">
        <v>7850</v>
      </c>
      <c r="I788"/>
      <c r="J788" s="162">
        <v>1786596600615</v>
      </c>
      <c r="K788" s="65"/>
      <c r="L788" s="65"/>
    </row>
    <row r="789" spans="1:12" hidden="1">
      <c r="A789" s="92" t="s">
        <v>172</v>
      </c>
      <c r="B789" s="93">
        <v>46261</v>
      </c>
      <c r="C789" s="92" t="s">
        <v>3309</v>
      </c>
      <c r="D789" s="92" t="s">
        <v>3310</v>
      </c>
      <c r="E789" s="92" t="s">
        <v>3678</v>
      </c>
      <c r="F789" s="88">
        <v>3850</v>
      </c>
      <c r="H789" s="88">
        <v>3850</v>
      </c>
      <c r="I789"/>
      <c r="J789" s="162">
        <v>1787820316867</v>
      </c>
      <c r="K789" s="65"/>
      <c r="L789" s="65"/>
    </row>
    <row r="790" spans="1:12" hidden="1">
      <c r="A790" s="92" t="s">
        <v>162</v>
      </c>
      <c r="B790" s="93">
        <v>46261</v>
      </c>
      <c r="C790" s="92" t="s">
        <v>1376</v>
      </c>
      <c r="D790" s="92" t="s">
        <v>1377</v>
      </c>
      <c r="E790" s="92" t="s">
        <v>3678</v>
      </c>
      <c r="F790" s="88">
        <v>3850</v>
      </c>
      <c r="H790" s="88">
        <v>3850</v>
      </c>
      <c r="I790"/>
      <c r="J790" s="162">
        <v>1786597131660</v>
      </c>
      <c r="K790" s="65"/>
      <c r="L790" s="65"/>
    </row>
    <row r="791" spans="1:12">
      <c r="A791" s="92" t="s">
        <v>162</v>
      </c>
      <c r="B791" s="93">
        <v>46261</v>
      </c>
      <c r="C791" s="92" t="e">
        <v>#N/A</v>
      </c>
      <c r="E791" s="92" t="s">
        <v>3677</v>
      </c>
      <c r="F791" s="88">
        <v>2000</v>
      </c>
      <c r="H791" s="88">
        <v>2000</v>
      </c>
      <c r="I791" s="65" t="s">
        <v>82</v>
      </c>
      <c r="J791" s="162" t="s">
        <v>3891</v>
      </c>
      <c r="K791" s="65"/>
      <c r="L791" s="65"/>
    </row>
    <row r="792" spans="1:12">
      <c r="A792" s="92" t="s">
        <v>162</v>
      </c>
      <c r="B792" s="93">
        <v>46261</v>
      </c>
      <c r="C792" s="92" t="e">
        <v>#N/A</v>
      </c>
      <c r="E792" s="92" t="s">
        <v>3677</v>
      </c>
      <c r="F792" s="88">
        <v>2000</v>
      </c>
      <c r="H792" s="88">
        <v>2000</v>
      </c>
      <c r="I792" s="65" t="s">
        <v>121</v>
      </c>
      <c r="J792" s="162" t="s">
        <v>3892</v>
      </c>
      <c r="K792" s="65"/>
      <c r="L792" s="65"/>
    </row>
    <row r="793" spans="1:12">
      <c r="A793" s="92" t="s">
        <v>162</v>
      </c>
      <c r="B793" s="93">
        <v>46261</v>
      </c>
      <c r="C793" s="92" t="e">
        <v>#N/A</v>
      </c>
      <c r="E793" s="92" t="s">
        <v>3677</v>
      </c>
      <c r="F793" s="88">
        <v>2000</v>
      </c>
      <c r="H793" s="88">
        <v>2000</v>
      </c>
      <c r="I793" s="65" t="s">
        <v>128</v>
      </c>
      <c r="J793" s="162" t="s">
        <v>3893</v>
      </c>
      <c r="K793" s="65"/>
      <c r="L793" s="65"/>
    </row>
    <row r="794" spans="1:12" hidden="1">
      <c r="A794" s="92" t="s">
        <v>162</v>
      </c>
      <c r="B794" s="93">
        <v>46261</v>
      </c>
      <c r="C794" s="92" t="s">
        <v>194</v>
      </c>
      <c r="D794" s="92" t="s">
        <v>195</v>
      </c>
      <c r="E794" s="92" t="s">
        <v>3678</v>
      </c>
      <c r="F794" s="88">
        <v>3850</v>
      </c>
      <c r="H794" s="88">
        <v>3850</v>
      </c>
      <c r="I794"/>
      <c r="J794" s="162">
        <v>1786597362026</v>
      </c>
      <c r="K794" s="65"/>
      <c r="L794" s="65"/>
    </row>
    <row r="795" spans="1:12">
      <c r="A795" s="92" t="s">
        <v>162</v>
      </c>
      <c r="B795" s="93">
        <v>46261</v>
      </c>
      <c r="C795" s="92" t="e">
        <v>#N/A</v>
      </c>
      <c r="E795" s="92" t="s">
        <v>3677</v>
      </c>
      <c r="F795" s="88">
        <v>2000</v>
      </c>
      <c r="H795" s="88">
        <v>2000</v>
      </c>
      <c r="I795" s="65" t="s">
        <v>78</v>
      </c>
      <c r="J795" s="162" t="s">
        <v>3894</v>
      </c>
      <c r="K795" s="65"/>
      <c r="L795" s="65"/>
    </row>
    <row r="796" spans="1:12" hidden="1">
      <c r="A796" s="92" t="s">
        <v>162</v>
      </c>
      <c r="B796" s="93">
        <v>46261</v>
      </c>
      <c r="C796" s="92" t="s">
        <v>1455</v>
      </c>
      <c r="D796" s="92" t="s">
        <v>1456</v>
      </c>
      <c r="E796" s="92" t="s">
        <v>3678</v>
      </c>
      <c r="F796" s="88">
        <v>3850</v>
      </c>
      <c r="H796" s="88">
        <v>3850</v>
      </c>
      <c r="I796"/>
      <c r="J796" s="162">
        <v>1786598642613</v>
      </c>
      <c r="K796" s="65"/>
      <c r="L796" s="65"/>
    </row>
    <row r="797" spans="1:12">
      <c r="A797" s="92" t="s">
        <v>162</v>
      </c>
      <c r="B797" s="93">
        <v>46261</v>
      </c>
      <c r="C797" s="92" t="e">
        <v>#N/A</v>
      </c>
      <c r="E797" s="92" t="s">
        <v>3677</v>
      </c>
      <c r="F797" s="88">
        <v>2000</v>
      </c>
      <c r="H797" s="88">
        <v>2000</v>
      </c>
      <c r="I797" s="65" t="s">
        <v>66</v>
      </c>
      <c r="J797" s="162" t="s">
        <v>3895</v>
      </c>
      <c r="K797" s="65"/>
      <c r="L797" s="65"/>
    </row>
    <row r="798" spans="1:12">
      <c r="A798" s="92" t="s">
        <v>162</v>
      </c>
      <c r="B798" s="93">
        <v>46261</v>
      </c>
      <c r="C798" s="92" t="e">
        <v>#N/A</v>
      </c>
      <c r="E798" s="92" t="s">
        <v>3677</v>
      </c>
      <c r="F798" s="88">
        <v>2000</v>
      </c>
      <c r="H798" s="88">
        <v>2000</v>
      </c>
      <c r="I798" s="65" t="s">
        <v>1973</v>
      </c>
      <c r="J798" s="162" t="s">
        <v>3896</v>
      </c>
      <c r="K798" s="65"/>
      <c r="L798" s="65"/>
    </row>
    <row r="799" spans="1:12" hidden="1">
      <c r="A799" s="92" t="s">
        <v>162</v>
      </c>
      <c r="B799" s="93">
        <v>46261</v>
      </c>
      <c r="C799" s="92" t="s">
        <v>2019</v>
      </c>
      <c r="D799" s="92" t="s">
        <v>2020</v>
      </c>
      <c r="E799" s="92" t="s">
        <v>3678</v>
      </c>
      <c r="F799" s="88">
        <v>3850</v>
      </c>
      <c r="H799" s="88">
        <v>3850</v>
      </c>
      <c r="I799"/>
      <c r="J799" s="162">
        <v>1786598345765</v>
      </c>
      <c r="K799" s="65"/>
      <c r="L799" s="65"/>
    </row>
    <row r="800" spans="1:12">
      <c r="A800" s="92" t="s">
        <v>162</v>
      </c>
      <c r="B800" s="93">
        <v>46261</v>
      </c>
      <c r="C800" s="92" t="e">
        <v>#N/A</v>
      </c>
      <c r="E800" s="92" t="s">
        <v>3677</v>
      </c>
      <c r="F800" s="88">
        <v>2000</v>
      </c>
      <c r="H800" s="88">
        <v>2000</v>
      </c>
      <c r="I800" s="65" t="s">
        <v>4037</v>
      </c>
      <c r="J800" s="162" t="s">
        <v>3897</v>
      </c>
      <c r="K800" s="65"/>
      <c r="L800" s="65"/>
    </row>
    <row r="801" spans="1:12" hidden="1">
      <c r="A801" s="92" t="s">
        <v>162</v>
      </c>
      <c r="B801" s="93">
        <v>46261</v>
      </c>
      <c r="C801" s="92" t="s">
        <v>2043</v>
      </c>
      <c r="D801" s="92" t="s">
        <v>2044</v>
      </c>
      <c r="E801" s="92" t="s">
        <v>3678</v>
      </c>
      <c r="F801" s="88">
        <v>2800</v>
      </c>
      <c r="H801" s="88">
        <v>2800</v>
      </c>
      <c r="I801"/>
      <c r="J801" s="162">
        <v>1786596673841</v>
      </c>
      <c r="K801" s="65"/>
      <c r="L801" s="65"/>
    </row>
    <row r="802" spans="1:12">
      <c r="A802" s="92" t="s">
        <v>162</v>
      </c>
      <c r="B802" s="93">
        <v>46261</v>
      </c>
      <c r="C802" s="92" t="e">
        <v>#N/A</v>
      </c>
      <c r="E802" s="92" t="s">
        <v>3677</v>
      </c>
      <c r="F802" s="88">
        <v>2000</v>
      </c>
      <c r="H802" s="88">
        <v>2000</v>
      </c>
      <c r="I802" s="65" t="s">
        <v>120</v>
      </c>
      <c r="J802" s="162" t="s">
        <v>3898</v>
      </c>
      <c r="K802" s="65"/>
      <c r="L802" s="65"/>
    </row>
    <row r="803" spans="1:12">
      <c r="A803" s="92" t="s">
        <v>162</v>
      </c>
      <c r="B803" s="93">
        <v>46261</v>
      </c>
      <c r="C803" s="92" t="e">
        <v>#N/A</v>
      </c>
      <c r="E803" s="92" t="s">
        <v>3677</v>
      </c>
      <c r="F803" s="88">
        <v>1800</v>
      </c>
      <c r="H803" s="88">
        <v>1800</v>
      </c>
      <c r="I803" s="65" t="s">
        <v>124</v>
      </c>
      <c r="J803" s="162" t="s">
        <v>3899</v>
      </c>
      <c r="K803" s="65"/>
      <c r="L803" s="65"/>
    </row>
    <row r="804" spans="1:12" hidden="1">
      <c r="A804" s="92" t="s">
        <v>3293</v>
      </c>
      <c r="B804" s="93">
        <v>46262</v>
      </c>
      <c r="C804" s="92" t="s">
        <v>1588</v>
      </c>
      <c r="D804" s="92" t="s">
        <v>1589</v>
      </c>
      <c r="E804" s="92" t="s">
        <v>3678</v>
      </c>
      <c r="F804" s="88">
        <v>3000</v>
      </c>
      <c r="G804" s="88">
        <v>3000</v>
      </c>
      <c r="I804"/>
      <c r="J804" s="162">
        <v>1787622754970</v>
      </c>
      <c r="K804" s="65"/>
      <c r="L804" s="65"/>
    </row>
    <row r="805" spans="1:12" hidden="1">
      <c r="A805" s="92" t="s">
        <v>162</v>
      </c>
      <c r="B805" s="93">
        <v>46262</v>
      </c>
      <c r="C805" s="92" t="s">
        <v>3476</v>
      </c>
      <c r="D805" s="92" t="s">
        <v>3477</v>
      </c>
      <c r="E805" s="92" t="s">
        <v>3678</v>
      </c>
      <c r="F805" s="88">
        <v>2800</v>
      </c>
      <c r="H805" s="88">
        <v>2800</v>
      </c>
      <c r="I805"/>
      <c r="J805" s="162">
        <v>1787368544642</v>
      </c>
      <c r="K805" s="65"/>
      <c r="L805" s="65"/>
    </row>
    <row r="806" spans="1:12">
      <c r="A806" s="92" t="s">
        <v>162</v>
      </c>
      <c r="B806" s="93">
        <v>46262</v>
      </c>
      <c r="C806" s="92" t="e">
        <v>#N/A</v>
      </c>
      <c r="E806" s="92" t="s">
        <v>3677</v>
      </c>
      <c r="F806" s="88">
        <v>2000</v>
      </c>
      <c r="H806" s="88">
        <v>2000</v>
      </c>
      <c r="I806" s="65" t="s">
        <v>1283</v>
      </c>
      <c r="J806" s="162" t="s">
        <v>3900</v>
      </c>
      <c r="K806" s="65"/>
    </row>
    <row r="807" spans="1:12" hidden="1">
      <c r="A807" s="92" t="s">
        <v>162</v>
      </c>
      <c r="B807" s="93">
        <v>46262</v>
      </c>
      <c r="C807" s="92" t="s">
        <v>1848</v>
      </c>
      <c r="D807" s="92" t="s">
        <v>1849</v>
      </c>
      <c r="E807" s="92" t="s">
        <v>3678</v>
      </c>
      <c r="F807" s="88">
        <v>4000</v>
      </c>
      <c r="H807" s="88">
        <v>4000</v>
      </c>
      <c r="I807"/>
      <c r="J807" s="162">
        <v>1786596919182</v>
      </c>
    </row>
    <row r="808" spans="1:12" hidden="1">
      <c r="A808" s="92" t="s">
        <v>180</v>
      </c>
      <c r="B808" s="93">
        <v>46262</v>
      </c>
      <c r="C808" s="92" t="s">
        <v>2056</v>
      </c>
      <c r="D808" s="92" t="s">
        <v>2057</v>
      </c>
      <c r="E808" s="92" t="s">
        <v>3678</v>
      </c>
      <c r="F808" s="88">
        <v>2800</v>
      </c>
      <c r="H808" s="88">
        <v>2800</v>
      </c>
      <c r="I808"/>
      <c r="J808" s="162">
        <v>1786597929322</v>
      </c>
    </row>
    <row r="809" spans="1:12">
      <c r="A809" s="92" t="s">
        <v>162</v>
      </c>
      <c r="B809" s="93">
        <v>46262</v>
      </c>
      <c r="C809" s="92" t="e">
        <v>#N/A</v>
      </c>
      <c r="E809" s="92" t="s">
        <v>3677</v>
      </c>
      <c r="F809" s="88">
        <v>2000</v>
      </c>
      <c r="H809" s="88">
        <v>2000</v>
      </c>
      <c r="I809" s="65" t="s">
        <v>1319</v>
      </c>
      <c r="J809" s="162" t="s">
        <v>3901</v>
      </c>
      <c r="K809" s="65"/>
      <c r="L809" s="65"/>
    </row>
    <row r="810" spans="1:12">
      <c r="A810" s="92" t="s">
        <v>180</v>
      </c>
      <c r="B810" s="93">
        <v>46262</v>
      </c>
      <c r="C810" s="92" t="s">
        <v>3659</v>
      </c>
      <c r="D810" s="92" t="s">
        <v>3660</v>
      </c>
      <c r="E810" s="92" t="s">
        <v>3677</v>
      </c>
      <c r="F810" s="88">
        <v>4000</v>
      </c>
      <c r="G810" s="88">
        <v>4000</v>
      </c>
      <c r="I810" t="s">
        <v>1060</v>
      </c>
      <c r="J810" s="162">
        <v>1787628082888</v>
      </c>
      <c r="K810" s="65"/>
      <c r="L810" s="65"/>
    </row>
    <row r="811" spans="1:12">
      <c r="A811" s="92" t="s">
        <v>162</v>
      </c>
      <c r="B811" s="93">
        <v>46262</v>
      </c>
      <c r="C811" s="92" t="e">
        <v>#N/A</v>
      </c>
      <c r="E811" s="92" t="s">
        <v>3677</v>
      </c>
      <c r="F811" s="88">
        <v>2000</v>
      </c>
      <c r="H811" s="88">
        <v>2000</v>
      </c>
      <c r="I811" s="65" t="s">
        <v>108</v>
      </c>
      <c r="J811" s="162" t="s">
        <v>3902</v>
      </c>
      <c r="K811" s="65"/>
      <c r="L811" s="65"/>
    </row>
    <row r="812" spans="1:12">
      <c r="A812" s="92" t="s">
        <v>162</v>
      </c>
      <c r="B812" s="93">
        <v>46262</v>
      </c>
      <c r="C812" s="92" t="e">
        <v>#N/A</v>
      </c>
      <c r="E812" s="92" t="s">
        <v>3677</v>
      </c>
      <c r="F812" s="88">
        <v>2000</v>
      </c>
      <c r="H812" s="88">
        <v>2000</v>
      </c>
      <c r="I812" s="65" t="s">
        <v>4082</v>
      </c>
      <c r="J812" s="162" t="s">
        <v>3903</v>
      </c>
      <c r="K812" s="65"/>
      <c r="L812" s="65"/>
    </row>
    <row r="813" spans="1:12">
      <c r="A813" s="92" t="s">
        <v>162</v>
      </c>
      <c r="B813" s="93">
        <v>46262</v>
      </c>
      <c r="C813" s="92" t="e">
        <v>#N/A</v>
      </c>
      <c r="E813" s="92" t="s">
        <v>3677</v>
      </c>
      <c r="F813" s="88">
        <v>2000</v>
      </c>
      <c r="H813" s="88">
        <v>2000</v>
      </c>
      <c r="I813" s="65" t="s">
        <v>113</v>
      </c>
      <c r="J813" s="162" t="s">
        <v>3904</v>
      </c>
      <c r="K813" s="65"/>
    </row>
    <row r="814" spans="1:12">
      <c r="A814" s="92" t="s">
        <v>162</v>
      </c>
      <c r="B814" s="93">
        <v>46262</v>
      </c>
      <c r="C814" s="92" t="e">
        <v>#N/A</v>
      </c>
      <c r="E814" s="92" t="s">
        <v>3677</v>
      </c>
      <c r="F814" s="88">
        <v>2000</v>
      </c>
      <c r="H814" s="88">
        <v>2000</v>
      </c>
      <c r="I814" s="65" t="s">
        <v>2051</v>
      </c>
      <c r="J814" s="162" t="s">
        <v>3905</v>
      </c>
      <c r="K814" s="65"/>
      <c r="L814" s="65"/>
    </row>
    <row r="815" spans="1:12" hidden="1">
      <c r="A815" s="92" t="s">
        <v>162</v>
      </c>
      <c r="B815" s="93">
        <v>46262</v>
      </c>
      <c r="C815" s="92" t="s">
        <v>3661</v>
      </c>
      <c r="D815" s="92" t="s">
        <v>1799</v>
      </c>
      <c r="E815" s="92" t="s">
        <v>3678</v>
      </c>
      <c r="F815" s="88">
        <v>3850</v>
      </c>
      <c r="H815" s="88">
        <v>3850</v>
      </c>
      <c r="I815"/>
      <c r="J815" s="162">
        <v>1786597789592</v>
      </c>
      <c r="K815" s="65"/>
      <c r="L815" s="65"/>
    </row>
    <row r="816" spans="1:12" hidden="1">
      <c r="A816" s="92" t="s">
        <v>176</v>
      </c>
      <c r="B816" s="93">
        <v>46262</v>
      </c>
      <c r="C816" s="92" t="s">
        <v>3662</v>
      </c>
      <c r="D816" s="92" t="s">
        <v>3663</v>
      </c>
      <c r="E816" s="92" t="s">
        <v>3678</v>
      </c>
      <c r="F816" s="88">
        <v>5695</v>
      </c>
      <c r="G816" s="88">
        <v>3000</v>
      </c>
      <c r="H816" s="88">
        <v>2695</v>
      </c>
      <c r="I816"/>
      <c r="J816" s="162">
        <v>1787885682615</v>
      </c>
    </row>
    <row r="817" spans="1:12" hidden="1">
      <c r="A817" s="92" t="s">
        <v>162</v>
      </c>
      <c r="B817" s="93">
        <v>46262</v>
      </c>
      <c r="C817" s="92" t="s">
        <v>1797</v>
      </c>
      <c r="D817" s="92" t="s">
        <v>1798</v>
      </c>
      <c r="E817" s="92" t="s">
        <v>3678</v>
      </c>
      <c r="F817" s="88">
        <v>3850</v>
      </c>
      <c r="H817" s="88">
        <v>3850</v>
      </c>
      <c r="I817"/>
      <c r="J817" s="162">
        <v>1787566500474</v>
      </c>
      <c r="K817" s="65"/>
      <c r="L817" s="65"/>
    </row>
    <row r="818" spans="1:12">
      <c r="A818" s="92" t="s">
        <v>180</v>
      </c>
      <c r="B818" s="93">
        <v>46262</v>
      </c>
      <c r="C818" s="92" t="s">
        <v>3664</v>
      </c>
      <c r="D818" s="92" t="s">
        <v>3665</v>
      </c>
      <c r="E818" s="92" t="s">
        <v>3677</v>
      </c>
      <c r="F818" s="88">
        <v>4000</v>
      </c>
      <c r="G818" s="88">
        <v>4000</v>
      </c>
      <c r="I818" t="s">
        <v>4127</v>
      </c>
      <c r="J818" s="162">
        <v>1787813041440</v>
      </c>
      <c r="K818" s="65"/>
      <c r="L818" s="65"/>
    </row>
    <row r="819" spans="1:12">
      <c r="A819" s="92" t="s">
        <v>162</v>
      </c>
      <c r="B819" s="93">
        <v>46262</v>
      </c>
      <c r="C819" s="92" t="e">
        <v>#N/A</v>
      </c>
      <c r="E819" s="92" t="s">
        <v>3677</v>
      </c>
      <c r="F819" s="88">
        <v>2000</v>
      </c>
      <c r="H819" s="88">
        <v>2000</v>
      </c>
      <c r="I819" s="65" t="s">
        <v>2058</v>
      </c>
      <c r="J819" s="162" t="s">
        <v>3906</v>
      </c>
      <c r="K819" s="65"/>
      <c r="L819" s="65"/>
    </row>
    <row r="820" spans="1:12">
      <c r="A820" s="92" t="s">
        <v>162</v>
      </c>
      <c r="B820" s="93">
        <v>46262</v>
      </c>
      <c r="C820" s="92" t="e">
        <v>#N/A</v>
      </c>
      <c r="E820" s="92" t="s">
        <v>3677</v>
      </c>
      <c r="F820" s="88">
        <v>2000</v>
      </c>
      <c r="H820" s="88">
        <v>2000</v>
      </c>
      <c r="I820" s="65" t="s">
        <v>112</v>
      </c>
      <c r="J820" s="162" t="s">
        <v>3907</v>
      </c>
      <c r="K820" s="65"/>
      <c r="L820" s="65"/>
    </row>
    <row r="821" spans="1:12">
      <c r="A821" s="92" t="s">
        <v>162</v>
      </c>
      <c r="B821" s="93">
        <v>46262</v>
      </c>
      <c r="C821" s="92" t="e">
        <v>#N/A</v>
      </c>
      <c r="E821" s="92" t="s">
        <v>3677</v>
      </c>
      <c r="F821" s="88">
        <v>2000</v>
      </c>
      <c r="H821" s="88">
        <v>2000</v>
      </c>
      <c r="I821" s="65" t="s">
        <v>97</v>
      </c>
      <c r="J821" s="162" t="s">
        <v>3908</v>
      </c>
      <c r="K821" s="65"/>
      <c r="L821" s="65"/>
    </row>
    <row r="822" spans="1:12">
      <c r="A822" s="92" t="s">
        <v>180</v>
      </c>
      <c r="B822" s="93">
        <v>46262</v>
      </c>
      <c r="C822" s="92" t="s">
        <v>3666</v>
      </c>
      <c r="D822" s="92" t="s">
        <v>3667</v>
      </c>
      <c r="E822" s="92" t="s">
        <v>3677</v>
      </c>
      <c r="F822" s="88">
        <v>493</v>
      </c>
      <c r="G822" s="88">
        <v>493</v>
      </c>
      <c r="I822" t="s">
        <v>4128</v>
      </c>
      <c r="J822" s="162">
        <v>1787812442480</v>
      </c>
      <c r="K822" s="65"/>
      <c r="L822" s="65"/>
    </row>
    <row r="823" spans="1:12" hidden="1">
      <c r="A823" s="92" t="s">
        <v>180</v>
      </c>
      <c r="B823" s="93">
        <v>46262</v>
      </c>
      <c r="C823" s="92" t="s">
        <v>3668</v>
      </c>
      <c r="D823" s="92" t="s">
        <v>3669</v>
      </c>
      <c r="E823" s="92" t="s">
        <v>3678</v>
      </c>
      <c r="F823" s="88">
        <v>500</v>
      </c>
      <c r="H823" s="88">
        <v>500</v>
      </c>
      <c r="I823"/>
      <c r="J823" s="162">
        <v>1787889925682</v>
      </c>
      <c r="K823" s="65"/>
      <c r="L823" s="65"/>
    </row>
    <row r="824" spans="1:12">
      <c r="A824" s="92" t="s">
        <v>162</v>
      </c>
      <c r="B824" s="93">
        <v>46262</v>
      </c>
      <c r="C824" s="92" t="e">
        <v>#N/A</v>
      </c>
      <c r="E824" s="92" t="s">
        <v>3677</v>
      </c>
      <c r="F824" s="88">
        <v>2000</v>
      </c>
      <c r="H824" s="88">
        <v>2000</v>
      </c>
      <c r="I824" s="65" t="s">
        <v>2151</v>
      </c>
      <c r="J824" s="162" t="s">
        <v>3909</v>
      </c>
      <c r="K824" s="65"/>
      <c r="L824" s="65"/>
    </row>
    <row r="825" spans="1:12">
      <c r="A825" s="92" t="s">
        <v>162</v>
      </c>
      <c r="B825" s="93">
        <v>46262</v>
      </c>
      <c r="C825" s="92" t="e">
        <v>#N/A</v>
      </c>
      <c r="E825" s="92" t="s">
        <v>3677</v>
      </c>
      <c r="F825" s="88">
        <v>2000</v>
      </c>
      <c r="H825" s="88">
        <v>2000</v>
      </c>
      <c r="I825" s="65" t="s">
        <v>4046</v>
      </c>
      <c r="J825" s="162" t="s">
        <v>3910</v>
      </c>
      <c r="K825" s="65"/>
      <c r="L825" s="65"/>
    </row>
    <row r="826" spans="1:12">
      <c r="A826" s="92" t="s">
        <v>162</v>
      </c>
      <c r="B826" s="93">
        <v>46262</v>
      </c>
      <c r="C826" s="92" t="e">
        <v>#N/A</v>
      </c>
      <c r="E826" s="92" t="s">
        <v>3677</v>
      </c>
      <c r="F826" s="88">
        <v>2000</v>
      </c>
      <c r="H826" s="88">
        <v>2000</v>
      </c>
      <c r="I826" s="65" t="s">
        <v>1901</v>
      </c>
      <c r="J826" s="162" t="s">
        <v>3911</v>
      </c>
      <c r="K826" s="65"/>
      <c r="L826" s="65"/>
    </row>
    <row r="827" spans="1:12">
      <c r="A827" s="92" t="s">
        <v>162</v>
      </c>
      <c r="B827" s="93">
        <v>46262</v>
      </c>
      <c r="C827" s="92" t="e">
        <v>#N/A</v>
      </c>
      <c r="E827" s="92" t="s">
        <v>3677</v>
      </c>
      <c r="F827" s="88">
        <v>2000</v>
      </c>
      <c r="H827" s="88">
        <v>2000</v>
      </c>
      <c r="I827" s="65" t="s">
        <v>4030</v>
      </c>
      <c r="J827" s="162" t="s">
        <v>3912</v>
      </c>
      <c r="K827" s="65"/>
      <c r="L827" s="65"/>
    </row>
    <row r="828" spans="1:12">
      <c r="A828" s="92" t="s">
        <v>162</v>
      </c>
      <c r="B828" s="93">
        <v>46262</v>
      </c>
      <c r="C828" s="92" t="e">
        <v>#N/A</v>
      </c>
      <c r="E828" s="92" t="s">
        <v>3677</v>
      </c>
      <c r="F828" s="88">
        <v>2000</v>
      </c>
      <c r="H828" s="88">
        <v>2000</v>
      </c>
      <c r="I828" s="65" t="s">
        <v>2045</v>
      </c>
      <c r="J828" s="162" t="s">
        <v>3913</v>
      </c>
      <c r="K828" s="65"/>
      <c r="L828" s="65"/>
    </row>
    <row r="829" spans="1:12">
      <c r="A829" s="92" t="s">
        <v>162</v>
      </c>
      <c r="B829" s="93">
        <v>46262</v>
      </c>
      <c r="C829" s="92" t="e">
        <v>#N/A</v>
      </c>
      <c r="E829" s="92" t="s">
        <v>3677</v>
      </c>
      <c r="F829" s="88">
        <v>2000</v>
      </c>
      <c r="H829" s="88">
        <v>2000</v>
      </c>
      <c r="I829" s="65" t="s">
        <v>1908</v>
      </c>
      <c r="J829" s="162" t="s">
        <v>3914</v>
      </c>
      <c r="K829" s="65"/>
      <c r="L829" s="65"/>
    </row>
    <row r="830" spans="1:12">
      <c r="A830" s="92" t="s">
        <v>162</v>
      </c>
      <c r="B830" s="93">
        <v>46262</v>
      </c>
      <c r="C830" s="92" t="e">
        <v>#N/A</v>
      </c>
      <c r="E830" s="92" t="s">
        <v>3677</v>
      </c>
      <c r="F830" s="88">
        <v>4000</v>
      </c>
      <c r="H830" s="88">
        <v>4000</v>
      </c>
      <c r="I830" s="65" t="s">
        <v>4018</v>
      </c>
      <c r="J830" s="162" t="s">
        <v>3915</v>
      </c>
      <c r="K830" s="65"/>
      <c r="L830" s="65"/>
    </row>
    <row r="831" spans="1:12">
      <c r="A831" s="92" t="s">
        <v>162</v>
      </c>
      <c r="B831" s="93">
        <v>46262</v>
      </c>
      <c r="C831" s="92" t="e">
        <v>#N/A</v>
      </c>
      <c r="E831" s="92" t="s">
        <v>3677</v>
      </c>
      <c r="F831" s="88">
        <v>2000</v>
      </c>
      <c r="H831" s="88">
        <v>2000</v>
      </c>
      <c r="I831" s="65" t="s">
        <v>4042</v>
      </c>
      <c r="J831" s="162" t="s">
        <v>3916</v>
      </c>
      <c r="K831" s="65"/>
      <c r="L831" s="65"/>
    </row>
    <row r="832" spans="1:12" hidden="1">
      <c r="A832" s="92" t="s">
        <v>172</v>
      </c>
      <c r="B832" s="93">
        <v>46262</v>
      </c>
      <c r="C832" s="92" t="s">
        <v>1185</v>
      </c>
      <c r="D832" s="92" t="s">
        <v>3670</v>
      </c>
      <c r="E832" s="92" t="s">
        <v>3678</v>
      </c>
      <c r="F832" s="88">
        <v>5800</v>
      </c>
      <c r="G832" s="88">
        <v>3000</v>
      </c>
      <c r="H832" s="88">
        <v>2800</v>
      </c>
      <c r="I832"/>
      <c r="J832" s="162">
        <v>1787799679078</v>
      </c>
      <c r="K832" s="65"/>
      <c r="L832" s="65"/>
    </row>
    <row r="833" spans="1:12">
      <c r="A833" s="92" t="s">
        <v>162</v>
      </c>
      <c r="B833" s="93">
        <v>46262</v>
      </c>
      <c r="C833" s="92" t="e">
        <v>#N/A</v>
      </c>
      <c r="E833" s="92" t="s">
        <v>3677</v>
      </c>
      <c r="F833" s="88">
        <v>2000</v>
      </c>
      <c r="H833" s="88">
        <v>2000</v>
      </c>
      <c r="I833" s="65" t="s">
        <v>4065</v>
      </c>
      <c r="J833" s="162" t="s">
        <v>3917</v>
      </c>
      <c r="K833" s="65"/>
      <c r="L833" s="65"/>
    </row>
    <row r="834" spans="1:12">
      <c r="A834" s="92" t="s">
        <v>162</v>
      </c>
      <c r="B834" s="93">
        <v>46262</v>
      </c>
      <c r="C834" s="92" t="e">
        <v>#N/A</v>
      </c>
      <c r="E834" s="92" t="s">
        <v>3677</v>
      </c>
      <c r="F834" s="88">
        <v>2000</v>
      </c>
      <c r="G834" s="88">
        <v>2000</v>
      </c>
      <c r="I834" t="s">
        <v>4221</v>
      </c>
      <c r="J834" s="162" t="s">
        <v>3918</v>
      </c>
      <c r="K834" s="65"/>
      <c r="L834" s="65"/>
    </row>
    <row r="835" spans="1:12">
      <c r="A835" s="92" t="s">
        <v>162</v>
      </c>
      <c r="B835" s="93">
        <v>46262</v>
      </c>
      <c r="C835" s="92" t="e">
        <v>#N/A</v>
      </c>
      <c r="E835" s="92" t="s">
        <v>3677</v>
      </c>
      <c r="F835" s="88">
        <v>2000</v>
      </c>
      <c r="H835" s="88">
        <v>2000</v>
      </c>
      <c r="I835" t="s">
        <v>86</v>
      </c>
      <c r="J835" s="162" t="s">
        <v>3919</v>
      </c>
      <c r="K835" s="65"/>
      <c r="L835" s="65"/>
    </row>
    <row r="836" spans="1:12">
      <c r="A836" s="92" t="s">
        <v>176</v>
      </c>
      <c r="B836" s="93">
        <v>46262</v>
      </c>
      <c r="C836" s="92" t="s">
        <v>3566</v>
      </c>
      <c r="D836" s="92" t="s">
        <v>3567</v>
      </c>
      <c r="E836" s="92" t="s">
        <v>3677</v>
      </c>
      <c r="F836" s="88">
        <v>2000</v>
      </c>
      <c r="H836" s="88">
        <v>2000</v>
      </c>
      <c r="I836" t="s">
        <v>4019</v>
      </c>
      <c r="J836" s="162">
        <v>1787304430149</v>
      </c>
      <c r="K836" s="65"/>
      <c r="L836" s="65"/>
    </row>
    <row r="837" spans="1:12">
      <c r="A837" s="92" t="s">
        <v>162</v>
      </c>
      <c r="B837" s="93">
        <v>46263</v>
      </c>
      <c r="C837" s="92" t="e">
        <v>#N/A</v>
      </c>
      <c r="E837" s="92" t="s">
        <v>3677</v>
      </c>
      <c r="F837" s="88">
        <v>2000</v>
      </c>
      <c r="H837" s="88">
        <v>2000</v>
      </c>
      <c r="I837" s="65" t="s">
        <v>80</v>
      </c>
      <c r="J837" s="162" t="s">
        <v>3920</v>
      </c>
      <c r="K837" s="65"/>
      <c r="L837" s="65"/>
    </row>
    <row r="838" spans="1:12">
      <c r="A838" s="92" t="s">
        <v>162</v>
      </c>
      <c r="B838" s="93">
        <v>46263</v>
      </c>
      <c r="C838" s="92" t="e">
        <v>#N/A</v>
      </c>
      <c r="E838" s="92" t="s">
        <v>3677</v>
      </c>
      <c r="F838" s="88">
        <v>2000</v>
      </c>
      <c r="H838" s="88">
        <v>2000</v>
      </c>
      <c r="I838" s="65" t="s">
        <v>76</v>
      </c>
      <c r="J838" s="162" t="s">
        <v>3921</v>
      </c>
      <c r="K838" s="65"/>
      <c r="L838" s="65"/>
    </row>
    <row r="839" spans="1:12">
      <c r="A839" s="92" t="s">
        <v>162</v>
      </c>
      <c r="B839" s="93">
        <v>46263</v>
      </c>
      <c r="C839" s="92" t="e">
        <v>#N/A</v>
      </c>
      <c r="E839" s="92" t="s">
        <v>3677</v>
      </c>
      <c r="F839" s="88">
        <v>2000</v>
      </c>
      <c r="H839" s="88">
        <v>2000</v>
      </c>
      <c r="I839" s="65" t="s">
        <v>118</v>
      </c>
      <c r="J839" s="162" t="s">
        <v>3922</v>
      </c>
      <c r="K839" s="65"/>
      <c r="L839" s="65"/>
    </row>
    <row r="840" spans="1:12">
      <c r="A840" s="92" t="s">
        <v>162</v>
      </c>
      <c r="B840" s="93">
        <v>46263</v>
      </c>
      <c r="C840" s="92" t="e">
        <v>#N/A</v>
      </c>
      <c r="E840" s="92" t="s">
        <v>3677</v>
      </c>
      <c r="F840" s="88">
        <v>2000</v>
      </c>
      <c r="H840" s="88">
        <v>2000</v>
      </c>
      <c r="I840" s="65" t="s">
        <v>1205</v>
      </c>
      <c r="J840" s="162" t="s">
        <v>3923</v>
      </c>
      <c r="K840" s="65"/>
      <c r="L840" s="65"/>
    </row>
    <row r="841" spans="1:12">
      <c r="A841" s="92" t="s">
        <v>162</v>
      </c>
      <c r="B841" s="93">
        <v>46263</v>
      </c>
      <c r="C841" s="92" t="e">
        <v>#N/A</v>
      </c>
      <c r="E841" s="92" t="s">
        <v>3677</v>
      </c>
      <c r="F841" s="88">
        <v>2000</v>
      </c>
      <c r="H841" s="88">
        <v>2000</v>
      </c>
      <c r="I841" s="65" t="s">
        <v>1710</v>
      </c>
      <c r="J841" s="162" t="s">
        <v>3924</v>
      </c>
      <c r="K841" s="65"/>
      <c r="L841" s="65"/>
    </row>
    <row r="842" spans="1:12">
      <c r="A842" s="92" t="s">
        <v>162</v>
      </c>
      <c r="B842" s="93">
        <v>46263</v>
      </c>
      <c r="C842" s="92" t="e">
        <v>#N/A</v>
      </c>
      <c r="E842" s="92" t="s">
        <v>3677</v>
      </c>
      <c r="F842" s="88">
        <v>2000</v>
      </c>
      <c r="H842" s="88">
        <v>2000</v>
      </c>
      <c r="I842" s="65" t="s">
        <v>4109</v>
      </c>
      <c r="J842" s="162" t="s">
        <v>3925</v>
      </c>
      <c r="K842" s="65"/>
      <c r="L842" s="65"/>
    </row>
    <row r="843" spans="1:12">
      <c r="A843" s="92" t="s">
        <v>162</v>
      </c>
      <c r="B843" s="93">
        <v>46263</v>
      </c>
      <c r="C843" s="92" t="e">
        <v>#N/A</v>
      </c>
      <c r="E843" s="92" t="s">
        <v>3677</v>
      </c>
      <c r="F843" s="88">
        <v>2000</v>
      </c>
      <c r="H843" s="88">
        <v>2000</v>
      </c>
      <c r="I843" s="65" t="s">
        <v>1787</v>
      </c>
      <c r="J843" s="162" t="s">
        <v>3926</v>
      </c>
      <c r="K843" s="65"/>
      <c r="L843" s="65"/>
    </row>
    <row r="844" spans="1:12">
      <c r="A844" s="92" t="s">
        <v>162</v>
      </c>
      <c r="B844" s="93">
        <v>46263</v>
      </c>
      <c r="C844" s="92" t="e">
        <v>#N/A</v>
      </c>
      <c r="E844" s="92" t="s">
        <v>3677</v>
      </c>
      <c r="F844" s="88">
        <v>2000</v>
      </c>
      <c r="H844" s="88">
        <v>2000</v>
      </c>
      <c r="I844" s="65" t="s">
        <v>1328</v>
      </c>
      <c r="J844" s="162" t="s">
        <v>3927</v>
      </c>
      <c r="K844" s="65"/>
      <c r="L844" s="65"/>
    </row>
    <row r="845" spans="1:12">
      <c r="A845" s="92" t="s">
        <v>162</v>
      </c>
      <c r="B845" s="93">
        <v>46263</v>
      </c>
      <c r="C845" s="92" t="e">
        <v>#N/A</v>
      </c>
      <c r="E845" s="92" t="s">
        <v>3677</v>
      </c>
      <c r="F845" s="88">
        <v>2000</v>
      </c>
      <c r="H845" s="88">
        <v>2000</v>
      </c>
      <c r="I845" s="65" t="s">
        <v>1194</v>
      </c>
      <c r="J845" s="162" t="s">
        <v>3928</v>
      </c>
      <c r="K845" s="65"/>
      <c r="L845" s="65"/>
    </row>
    <row r="846" spans="1:12" ht="16.5" customHeight="1">
      <c r="A846" s="92" t="s">
        <v>162</v>
      </c>
      <c r="B846" s="93">
        <v>46263</v>
      </c>
      <c r="C846" s="92" t="e">
        <v>#N/A</v>
      </c>
      <c r="E846" s="92" t="s">
        <v>3677</v>
      </c>
      <c r="F846" s="88">
        <v>3000</v>
      </c>
      <c r="H846" s="88">
        <v>3000</v>
      </c>
      <c r="I846" s="65" t="s">
        <v>4034</v>
      </c>
      <c r="J846" s="162" t="s">
        <v>3929</v>
      </c>
      <c r="K846" s="65"/>
      <c r="L846" s="65"/>
    </row>
    <row r="847" spans="1:12">
      <c r="A847" s="92" t="s">
        <v>162</v>
      </c>
      <c r="B847" s="93">
        <v>46263</v>
      </c>
      <c r="C847" s="92" t="e">
        <v>#N/A</v>
      </c>
      <c r="E847" s="92" t="s">
        <v>3677</v>
      </c>
      <c r="F847" s="88">
        <v>2000</v>
      </c>
      <c r="H847" s="88">
        <v>2000</v>
      </c>
      <c r="I847" s="65" t="s">
        <v>2050</v>
      </c>
      <c r="J847" s="162" t="s">
        <v>3930</v>
      </c>
      <c r="K847" s="65"/>
      <c r="L847" s="65"/>
    </row>
    <row r="848" spans="1:12">
      <c r="A848" s="92" t="s">
        <v>162</v>
      </c>
      <c r="B848" s="93">
        <v>46263</v>
      </c>
      <c r="C848" s="92" t="e">
        <v>#N/A</v>
      </c>
      <c r="E848" s="92" t="s">
        <v>3677</v>
      </c>
      <c r="F848" s="88">
        <v>2000</v>
      </c>
      <c r="H848" s="88">
        <v>2000</v>
      </c>
      <c r="I848" s="65" t="s">
        <v>84</v>
      </c>
      <c r="J848" s="162" t="s">
        <v>3931</v>
      </c>
      <c r="K848" s="65"/>
      <c r="L848" s="65"/>
    </row>
    <row r="849" spans="1:12">
      <c r="A849" s="92" t="s">
        <v>162</v>
      </c>
      <c r="B849" s="93">
        <v>46263</v>
      </c>
      <c r="C849" s="92" t="e">
        <v>#N/A</v>
      </c>
      <c r="E849" s="92" t="s">
        <v>3677</v>
      </c>
      <c r="F849" s="88">
        <v>2000</v>
      </c>
      <c r="H849" s="88">
        <v>2000</v>
      </c>
      <c r="I849" s="65" t="s">
        <v>1384</v>
      </c>
      <c r="J849" s="162" t="s">
        <v>3932</v>
      </c>
      <c r="K849" s="65"/>
      <c r="L849" s="65"/>
    </row>
    <row r="850" spans="1:12">
      <c r="A850" s="92" t="s">
        <v>162</v>
      </c>
      <c r="B850" s="93">
        <v>46263</v>
      </c>
      <c r="C850" s="92" t="e">
        <v>#N/A</v>
      </c>
      <c r="E850" s="92" t="s">
        <v>3677</v>
      </c>
      <c r="F850" s="88">
        <v>4000</v>
      </c>
      <c r="H850" s="88">
        <v>4000</v>
      </c>
      <c r="I850" s="65" t="s">
        <v>4021</v>
      </c>
      <c r="J850" s="162" t="s">
        <v>3933</v>
      </c>
      <c r="K850" s="65"/>
      <c r="L850" s="65"/>
    </row>
    <row r="851" spans="1:12">
      <c r="A851" s="92" t="s">
        <v>162</v>
      </c>
      <c r="B851" s="93">
        <v>46263</v>
      </c>
      <c r="C851" s="92" t="e">
        <v>#N/A</v>
      </c>
      <c r="E851" s="92" t="s">
        <v>3677</v>
      </c>
      <c r="F851" s="88">
        <v>2000</v>
      </c>
      <c r="H851" s="88">
        <v>2000</v>
      </c>
      <c r="I851" s="65" t="s">
        <v>4068</v>
      </c>
      <c r="J851" s="162" t="s">
        <v>3934</v>
      </c>
      <c r="K851" s="65"/>
      <c r="L851" s="65"/>
    </row>
    <row r="852" spans="1:12">
      <c r="A852" s="92" t="s">
        <v>162</v>
      </c>
      <c r="B852" s="93">
        <v>46263</v>
      </c>
      <c r="C852" s="92" t="e">
        <v>#N/A</v>
      </c>
      <c r="E852" s="92" t="s">
        <v>3677</v>
      </c>
      <c r="F852" s="88">
        <v>2000</v>
      </c>
      <c r="H852" s="88">
        <v>2000</v>
      </c>
      <c r="I852" s="65" t="s">
        <v>74</v>
      </c>
      <c r="J852" s="162" t="s">
        <v>3935</v>
      </c>
      <c r="K852" s="65"/>
      <c r="L852" s="65"/>
    </row>
    <row r="853" spans="1:12" hidden="1">
      <c r="A853" s="92" t="s">
        <v>180</v>
      </c>
      <c r="B853" s="93">
        <v>46263</v>
      </c>
      <c r="C853" s="92" t="s">
        <v>3671</v>
      </c>
      <c r="D853" s="92" t="s">
        <v>3672</v>
      </c>
      <c r="E853" s="92" t="s">
        <v>3678</v>
      </c>
      <c r="F853" s="88">
        <v>3850</v>
      </c>
      <c r="H853" s="88">
        <v>3850</v>
      </c>
      <c r="I853"/>
      <c r="J853" s="162">
        <v>1787731272875</v>
      </c>
      <c r="K853" s="65"/>
      <c r="L853" s="65"/>
    </row>
    <row r="854" spans="1:12" hidden="1">
      <c r="A854" s="92" t="s">
        <v>162</v>
      </c>
      <c r="B854" s="93">
        <v>46263</v>
      </c>
      <c r="C854" s="92" t="s">
        <v>3671</v>
      </c>
      <c r="D854" s="92" t="s">
        <v>3672</v>
      </c>
      <c r="E854" s="92" t="s">
        <v>3678</v>
      </c>
      <c r="F854" s="88">
        <v>3850</v>
      </c>
      <c r="H854" s="88">
        <v>3850</v>
      </c>
      <c r="I854"/>
      <c r="J854" s="162">
        <v>1787731272875</v>
      </c>
      <c r="K854" s="65"/>
      <c r="L854" s="65"/>
    </row>
    <row r="855" spans="1:12" hidden="1">
      <c r="A855" s="92" t="s">
        <v>162</v>
      </c>
      <c r="B855" s="93">
        <v>46263</v>
      </c>
      <c r="C855" s="92" t="s">
        <v>3003</v>
      </c>
      <c r="D855" s="92" t="s">
        <v>3004</v>
      </c>
      <c r="E855" s="92" t="s">
        <v>3678</v>
      </c>
      <c r="F855" s="88">
        <v>3850</v>
      </c>
      <c r="H855" s="88">
        <v>3850</v>
      </c>
      <c r="I855"/>
      <c r="J855" s="162">
        <v>1787969411946</v>
      </c>
      <c r="K855" s="65"/>
      <c r="L855" s="65"/>
    </row>
    <row r="856" spans="1:12">
      <c r="A856" s="92" t="s">
        <v>162</v>
      </c>
      <c r="B856" s="93">
        <v>46263</v>
      </c>
      <c r="C856" s="92" t="e">
        <v>#N/A</v>
      </c>
      <c r="E856" s="92" t="s">
        <v>3677</v>
      </c>
      <c r="F856" s="88">
        <v>2000</v>
      </c>
      <c r="H856" s="88">
        <v>2000</v>
      </c>
      <c r="I856" s="65" t="s">
        <v>111</v>
      </c>
      <c r="J856" s="162" t="s">
        <v>3936</v>
      </c>
      <c r="K856" s="65"/>
      <c r="L856" s="65"/>
    </row>
    <row r="857" spans="1:12">
      <c r="A857" s="92" t="s">
        <v>162</v>
      </c>
      <c r="B857" s="93">
        <v>46263</v>
      </c>
      <c r="C857" s="92" t="e">
        <v>#N/A</v>
      </c>
      <c r="E857" s="92" t="s">
        <v>3677</v>
      </c>
      <c r="F857" s="88">
        <v>2000</v>
      </c>
      <c r="H857" s="88">
        <v>2000</v>
      </c>
      <c r="I857" s="65" t="s">
        <v>59</v>
      </c>
      <c r="J857" s="162" t="s">
        <v>3937</v>
      </c>
      <c r="K857" s="65"/>
      <c r="L857" s="65"/>
    </row>
    <row r="858" spans="1:12">
      <c r="A858" s="92" t="s">
        <v>162</v>
      </c>
      <c r="B858" s="93">
        <v>46263</v>
      </c>
      <c r="C858" s="92" t="e">
        <v>#N/A</v>
      </c>
      <c r="E858" s="92" t="s">
        <v>3677</v>
      </c>
      <c r="F858" s="88">
        <v>2000</v>
      </c>
      <c r="H858" s="88">
        <v>2000</v>
      </c>
      <c r="I858" s="65" t="s">
        <v>4043</v>
      </c>
      <c r="J858" s="162" t="s">
        <v>3938</v>
      </c>
      <c r="K858" s="65"/>
      <c r="L858" s="65"/>
    </row>
    <row r="859" spans="1:12">
      <c r="A859" s="92" t="s">
        <v>162</v>
      </c>
      <c r="B859" s="93">
        <v>46263</v>
      </c>
      <c r="C859" s="92" t="e">
        <v>#N/A</v>
      </c>
      <c r="E859" s="92" t="s">
        <v>3677</v>
      </c>
      <c r="F859" s="88">
        <v>2000</v>
      </c>
      <c r="H859" s="88">
        <v>2000</v>
      </c>
      <c r="I859" s="65" t="s">
        <v>2067</v>
      </c>
      <c r="J859" s="162" t="s">
        <v>3939</v>
      </c>
      <c r="K859" s="65"/>
      <c r="L859" s="65"/>
    </row>
    <row r="860" spans="1:12">
      <c r="A860" s="92" t="s">
        <v>162</v>
      </c>
      <c r="B860" s="93">
        <v>46263</v>
      </c>
      <c r="C860" s="92" t="e">
        <v>#N/A</v>
      </c>
      <c r="E860" s="92" t="s">
        <v>3677</v>
      </c>
      <c r="F860" s="88">
        <v>2000</v>
      </c>
      <c r="H860" s="88">
        <v>2000</v>
      </c>
      <c r="I860" s="65" t="s">
        <v>1715</v>
      </c>
      <c r="J860" s="162" t="s">
        <v>3940</v>
      </c>
      <c r="K860" s="65"/>
      <c r="L860" s="65"/>
    </row>
    <row r="861" spans="1:12">
      <c r="A861" s="92" t="s">
        <v>162</v>
      </c>
      <c r="B861" s="93">
        <v>46263</v>
      </c>
      <c r="C861" s="92" t="e">
        <v>#N/A</v>
      </c>
      <c r="E861" s="92" t="s">
        <v>3677</v>
      </c>
      <c r="F861" s="88">
        <v>2000</v>
      </c>
      <c r="H861" s="88">
        <v>2000</v>
      </c>
      <c r="I861" s="65" t="s">
        <v>126</v>
      </c>
      <c r="J861" s="162" t="s">
        <v>3941</v>
      </c>
      <c r="K861" s="65"/>
      <c r="L861" s="65"/>
    </row>
    <row r="862" spans="1:12" hidden="1">
      <c r="A862" s="92" t="s">
        <v>172</v>
      </c>
      <c r="B862" s="93">
        <v>46263</v>
      </c>
      <c r="C862" s="92" t="s">
        <v>3121</v>
      </c>
      <c r="D862" s="92" t="s">
        <v>3122</v>
      </c>
      <c r="E862" s="92" t="s">
        <v>3678</v>
      </c>
      <c r="F862" s="88">
        <v>4000</v>
      </c>
      <c r="H862" s="88">
        <v>4000</v>
      </c>
      <c r="I862"/>
      <c r="J862" s="162">
        <v>1787559331857</v>
      </c>
      <c r="K862" s="66"/>
      <c r="L862" s="65"/>
    </row>
    <row r="863" spans="1:12">
      <c r="A863" s="92" t="s">
        <v>162</v>
      </c>
      <c r="B863" s="93">
        <v>46264</v>
      </c>
      <c r="C863" s="92" t="e">
        <v>#N/A</v>
      </c>
      <c r="E863" s="92" t="s">
        <v>3677</v>
      </c>
      <c r="F863" s="88">
        <v>2000</v>
      </c>
      <c r="H863" s="88">
        <v>2000</v>
      </c>
      <c r="I863" s="65" t="s">
        <v>72</v>
      </c>
      <c r="J863" s="162" t="s">
        <v>3942</v>
      </c>
      <c r="K863" s="65"/>
      <c r="L863" s="65"/>
    </row>
    <row r="864" spans="1:12">
      <c r="A864" s="92" t="s">
        <v>162</v>
      </c>
      <c r="B864" s="93">
        <v>46264</v>
      </c>
      <c r="C864" s="92" t="e">
        <v>#N/A</v>
      </c>
      <c r="E864" s="92" t="s">
        <v>3677</v>
      </c>
      <c r="F864" s="88">
        <v>2000</v>
      </c>
      <c r="H864" s="88">
        <v>2000</v>
      </c>
      <c r="I864" s="65" t="s">
        <v>1193</v>
      </c>
      <c r="J864" s="162" t="s">
        <v>3943</v>
      </c>
      <c r="K864" s="65"/>
      <c r="L864" s="65"/>
    </row>
    <row r="865" spans="1:12">
      <c r="A865" s="92" t="s">
        <v>162</v>
      </c>
      <c r="B865" s="93">
        <v>46264</v>
      </c>
      <c r="C865" s="92" t="e">
        <v>#N/A</v>
      </c>
      <c r="E865" s="92" t="s">
        <v>3677</v>
      </c>
      <c r="F865" s="88">
        <v>2000</v>
      </c>
      <c r="H865" s="88">
        <v>2000</v>
      </c>
      <c r="I865" s="65" t="s">
        <v>2021</v>
      </c>
      <c r="J865" s="162" t="s">
        <v>3944</v>
      </c>
      <c r="K865" s="65"/>
      <c r="L865" s="65"/>
    </row>
    <row r="866" spans="1:12">
      <c r="A866" s="92" t="s">
        <v>162</v>
      </c>
      <c r="B866" s="93">
        <v>46264</v>
      </c>
      <c r="C866" s="92" t="e">
        <v>#N/A</v>
      </c>
      <c r="E866" s="92" t="s">
        <v>3677</v>
      </c>
      <c r="F866" s="92">
        <v>2000</v>
      </c>
      <c r="H866" s="88">
        <v>2000</v>
      </c>
      <c r="I866" s="65" t="s">
        <v>4092</v>
      </c>
      <c r="J866" s="162" t="s">
        <v>3945</v>
      </c>
      <c r="K866" s="65"/>
      <c r="L866" s="65"/>
    </row>
    <row r="867" spans="1:12">
      <c r="A867" s="92" t="s">
        <v>162</v>
      </c>
      <c r="B867" s="93">
        <v>46264</v>
      </c>
      <c r="C867" s="92" t="e">
        <v>#N/A</v>
      </c>
      <c r="E867" s="92" t="s">
        <v>3677</v>
      </c>
      <c r="F867" s="92">
        <v>2000</v>
      </c>
      <c r="H867" s="88">
        <v>2000</v>
      </c>
      <c r="I867" s="65" t="s">
        <v>2055</v>
      </c>
      <c r="J867" s="162" t="s">
        <v>3946</v>
      </c>
      <c r="K867" s="65"/>
      <c r="L867" s="65"/>
    </row>
    <row r="868" spans="1:12" hidden="1">
      <c r="A868" s="92" t="s">
        <v>162</v>
      </c>
      <c r="B868" s="93">
        <v>46264</v>
      </c>
      <c r="C868" s="92" t="s">
        <v>2074</v>
      </c>
      <c r="D868" s="92" t="s">
        <v>2075</v>
      </c>
      <c r="E868" s="92" t="s">
        <v>3678</v>
      </c>
      <c r="F868" s="92">
        <v>3850</v>
      </c>
      <c r="H868" s="88">
        <v>3850</v>
      </c>
      <c r="I868"/>
      <c r="J868" s="162">
        <v>1788074706631</v>
      </c>
      <c r="K868" s="65"/>
      <c r="L868" s="65"/>
    </row>
    <row r="869" spans="1:12">
      <c r="A869" s="92" t="s">
        <v>162</v>
      </c>
      <c r="B869" s="93">
        <v>46264</v>
      </c>
      <c r="C869" s="92" t="e">
        <v>#N/A</v>
      </c>
      <c r="E869" s="92" t="s">
        <v>3677</v>
      </c>
      <c r="F869" s="92">
        <v>2000</v>
      </c>
      <c r="H869" s="88">
        <v>2000</v>
      </c>
      <c r="I869" s="65" t="s">
        <v>1865</v>
      </c>
      <c r="J869" s="162" t="s">
        <v>3947</v>
      </c>
      <c r="K869" s="65"/>
      <c r="L869" s="65"/>
    </row>
    <row r="870" spans="1:12">
      <c r="A870" s="92" t="s">
        <v>162</v>
      </c>
      <c r="B870" s="93">
        <v>46264</v>
      </c>
      <c r="C870" s="92" t="e">
        <v>#N/A</v>
      </c>
      <c r="E870" s="92" t="s">
        <v>3677</v>
      </c>
      <c r="F870" s="92">
        <v>2000</v>
      </c>
      <c r="H870" s="88">
        <v>2000</v>
      </c>
      <c r="I870" s="65" t="s">
        <v>123</v>
      </c>
      <c r="J870" s="162" t="s">
        <v>3948</v>
      </c>
      <c r="K870" s="65"/>
      <c r="L870" s="65"/>
    </row>
    <row r="871" spans="1:12">
      <c r="A871" s="92" t="s">
        <v>162</v>
      </c>
      <c r="B871" s="93">
        <v>46264</v>
      </c>
      <c r="C871" s="92" t="e">
        <v>#N/A</v>
      </c>
      <c r="E871" s="92" t="s">
        <v>3677</v>
      </c>
      <c r="F871" s="92">
        <v>2000</v>
      </c>
      <c r="H871" s="88">
        <v>2000</v>
      </c>
      <c r="I871" s="65" t="s">
        <v>4076</v>
      </c>
      <c r="J871" s="162" t="s">
        <v>3949</v>
      </c>
      <c r="K871" s="65"/>
      <c r="L871" s="65"/>
    </row>
    <row r="872" spans="1:12" hidden="1">
      <c r="A872" s="92" t="s">
        <v>162</v>
      </c>
      <c r="B872" s="93">
        <v>46264</v>
      </c>
      <c r="C872" s="92" t="s">
        <v>1674</v>
      </c>
      <c r="D872" s="92" t="s">
        <v>1675</v>
      </c>
      <c r="E872" s="92" t="s">
        <v>3678</v>
      </c>
      <c r="F872" s="92">
        <v>2800</v>
      </c>
      <c r="H872" s="88">
        <v>2800</v>
      </c>
      <c r="I872"/>
      <c r="J872" s="162">
        <v>1788058531074</v>
      </c>
      <c r="K872" s="65"/>
      <c r="L872" s="65"/>
    </row>
    <row r="873" spans="1:12">
      <c r="A873" s="92" t="s">
        <v>162</v>
      </c>
      <c r="B873" s="93">
        <v>46264</v>
      </c>
      <c r="C873" s="92" t="e">
        <v>#N/A</v>
      </c>
      <c r="E873" s="92" t="s">
        <v>3677</v>
      </c>
      <c r="F873" s="92">
        <v>3000</v>
      </c>
      <c r="H873" s="88">
        <v>3000</v>
      </c>
      <c r="I873" s="65" t="s">
        <v>4049</v>
      </c>
      <c r="J873" s="162" t="s">
        <v>3950</v>
      </c>
      <c r="K873" s="65"/>
      <c r="L873" s="65"/>
    </row>
    <row r="874" spans="1:12">
      <c r="A874" s="92" t="s">
        <v>162</v>
      </c>
      <c r="B874" s="93">
        <v>46264</v>
      </c>
      <c r="C874" s="92" t="e">
        <v>#N/A</v>
      </c>
      <c r="E874" s="92" t="s">
        <v>3677</v>
      </c>
      <c r="F874" s="92">
        <v>2000</v>
      </c>
      <c r="H874" s="88">
        <v>2000</v>
      </c>
      <c r="I874" s="65" t="s">
        <v>58</v>
      </c>
      <c r="J874" s="162" t="s">
        <v>3951</v>
      </c>
      <c r="K874" s="65"/>
      <c r="L874" s="65"/>
    </row>
    <row r="875" spans="1:12">
      <c r="A875" s="92" t="s">
        <v>162</v>
      </c>
      <c r="B875" s="93">
        <v>46264</v>
      </c>
      <c r="C875" s="92" t="e">
        <v>#N/A</v>
      </c>
      <c r="E875" s="92" t="s">
        <v>3677</v>
      </c>
      <c r="F875" s="92">
        <v>2000</v>
      </c>
      <c r="H875" s="88">
        <v>2000</v>
      </c>
      <c r="I875" s="65" t="s">
        <v>1880</v>
      </c>
      <c r="J875" s="162" t="s">
        <v>3952</v>
      </c>
      <c r="K875" s="65"/>
      <c r="L875" s="65"/>
    </row>
    <row r="876" spans="1:12">
      <c r="A876" s="92" t="s">
        <v>162</v>
      </c>
      <c r="B876" s="93">
        <v>46264</v>
      </c>
      <c r="C876" s="92" t="e">
        <v>#N/A</v>
      </c>
      <c r="E876" s="92" t="s">
        <v>3677</v>
      </c>
      <c r="F876" s="92">
        <v>2000</v>
      </c>
      <c r="H876" s="88">
        <v>2000</v>
      </c>
      <c r="I876" s="65" t="s">
        <v>1990</v>
      </c>
      <c r="J876" s="162" t="s">
        <v>3953</v>
      </c>
      <c r="K876" s="65"/>
      <c r="L876" s="65"/>
    </row>
    <row r="877" spans="1:12">
      <c r="A877" s="92" t="s">
        <v>162</v>
      </c>
      <c r="B877" s="93">
        <v>46264</v>
      </c>
      <c r="C877" s="92" t="e">
        <v>#N/A</v>
      </c>
      <c r="E877" s="92" t="s">
        <v>3677</v>
      </c>
      <c r="F877" s="92">
        <v>2000</v>
      </c>
      <c r="H877" s="88">
        <v>2000</v>
      </c>
      <c r="I877" s="65" t="s">
        <v>62</v>
      </c>
      <c r="J877" s="162" t="s">
        <v>3954</v>
      </c>
      <c r="K877" s="65"/>
      <c r="L877" s="65"/>
    </row>
    <row r="878" spans="1:12">
      <c r="A878" s="92" t="s">
        <v>162</v>
      </c>
      <c r="B878" s="93">
        <v>46264</v>
      </c>
      <c r="C878" s="92" t="e">
        <v>#N/A</v>
      </c>
      <c r="E878" s="92" t="s">
        <v>3677</v>
      </c>
      <c r="F878" s="92">
        <v>2000</v>
      </c>
      <c r="H878" s="88">
        <v>2000</v>
      </c>
      <c r="I878" s="65" t="s">
        <v>73</v>
      </c>
      <c r="J878" s="162" t="s">
        <v>3955</v>
      </c>
      <c r="K878" s="65"/>
      <c r="L878" s="65"/>
    </row>
    <row r="879" spans="1:12" hidden="1">
      <c r="A879" s="92" t="s">
        <v>162</v>
      </c>
      <c r="B879" s="93">
        <v>46264</v>
      </c>
      <c r="C879" s="92" t="s">
        <v>3462</v>
      </c>
      <c r="D879" s="92" t="s">
        <v>3463</v>
      </c>
      <c r="E879" s="92" t="s">
        <v>3678</v>
      </c>
      <c r="F879" s="92">
        <v>3850</v>
      </c>
      <c r="H879" s="88">
        <v>3850</v>
      </c>
      <c r="I879"/>
      <c r="J879" s="162">
        <v>1787730969779</v>
      </c>
      <c r="K879" s="65"/>
      <c r="L879" s="65"/>
    </row>
    <row r="880" spans="1:12" hidden="1">
      <c r="A880" s="92" t="s">
        <v>162</v>
      </c>
      <c r="B880" s="93">
        <v>46264</v>
      </c>
      <c r="C880" s="92" t="s">
        <v>1997</v>
      </c>
      <c r="D880" s="92" t="s">
        <v>1998</v>
      </c>
      <c r="E880" s="92" t="s">
        <v>3678</v>
      </c>
      <c r="F880" s="92">
        <v>3850</v>
      </c>
      <c r="H880" s="88">
        <v>3850</v>
      </c>
      <c r="I880"/>
      <c r="J880" s="162">
        <v>1788063663668</v>
      </c>
      <c r="K880" s="65"/>
      <c r="L880" s="65"/>
    </row>
    <row r="881" spans="1:12">
      <c r="A881" s="92" t="s">
        <v>162</v>
      </c>
      <c r="B881" s="93">
        <v>46264</v>
      </c>
      <c r="C881" s="92" t="e">
        <v>#N/A</v>
      </c>
      <c r="E881" s="92" t="s">
        <v>3677</v>
      </c>
      <c r="F881" s="92">
        <v>4000</v>
      </c>
      <c r="H881" s="88">
        <v>4000</v>
      </c>
      <c r="I881" s="65" t="s">
        <v>4047</v>
      </c>
      <c r="J881" s="162" t="s">
        <v>3956</v>
      </c>
      <c r="K881" s="65"/>
      <c r="L881" s="65"/>
    </row>
    <row r="882" spans="1:12">
      <c r="A882" s="92" t="s">
        <v>162</v>
      </c>
      <c r="B882" s="93">
        <v>46264</v>
      </c>
      <c r="C882" s="92" t="e">
        <v>#N/A</v>
      </c>
      <c r="E882" s="92" t="s">
        <v>3677</v>
      </c>
      <c r="F882" s="92">
        <v>1000</v>
      </c>
      <c r="H882" s="88">
        <v>1000</v>
      </c>
      <c r="I882" s="65" t="s">
        <v>93</v>
      </c>
      <c r="J882" s="162" t="s">
        <v>3957</v>
      </c>
      <c r="K882" s="65"/>
      <c r="L882" s="65"/>
    </row>
    <row r="883" spans="1:12">
      <c r="A883" s="92" t="s">
        <v>162</v>
      </c>
      <c r="B883" s="93">
        <v>46264</v>
      </c>
      <c r="C883" s="92" t="e">
        <v>#N/A</v>
      </c>
      <c r="E883" s="92" t="s">
        <v>3677</v>
      </c>
      <c r="F883" s="92">
        <v>2000</v>
      </c>
      <c r="H883" s="88">
        <v>2000</v>
      </c>
      <c r="I883" s="65" t="s">
        <v>4061</v>
      </c>
      <c r="J883" s="162" t="s">
        <v>3958</v>
      </c>
      <c r="K883" s="65"/>
      <c r="L883" s="65"/>
    </row>
    <row r="884" spans="1:12">
      <c r="A884" s="92" t="s">
        <v>162</v>
      </c>
      <c r="B884" s="93">
        <v>46264</v>
      </c>
      <c r="C884" s="92" t="e">
        <v>#N/A</v>
      </c>
      <c r="E884" s="92" t="s">
        <v>3677</v>
      </c>
      <c r="F884" s="92">
        <v>2000</v>
      </c>
      <c r="H884" s="88">
        <v>2000</v>
      </c>
      <c r="I884" s="65" t="s">
        <v>117</v>
      </c>
      <c r="J884" s="162" t="s">
        <v>3959</v>
      </c>
      <c r="K884" s="65"/>
      <c r="L884" s="65"/>
    </row>
    <row r="885" spans="1:12">
      <c r="A885" s="92" t="s">
        <v>162</v>
      </c>
      <c r="B885" s="93">
        <v>46264</v>
      </c>
      <c r="C885" s="92" t="e">
        <v>#N/A</v>
      </c>
      <c r="E885" s="92" t="s">
        <v>3677</v>
      </c>
      <c r="F885" s="92">
        <v>2000</v>
      </c>
      <c r="H885" s="88">
        <v>2000</v>
      </c>
      <c r="I885" s="65" t="s">
        <v>127</v>
      </c>
      <c r="J885" s="162" t="s">
        <v>3960</v>
      </c>
      <c r="K885" s="65"/>
      <c r="L885" s="65"/>
    </row>
    <row r="886" spans="1:12" hidden="1">
      <c r="A886" s="92" t="s">
        <v>162</v>
      </c>
      <c r="B886" s="93">
        <v>46264</v>
      </c>
      <c r="C886" s="92" t="s">
        <v>235</v>
      </c>
      <c r="D886" s="92" t="s">
        <v>236</v>
      </c>
      <c r="E886" s="92" t="s">
        <v>3678</v>
      </c>
      <c r="F886" s="92">
        <v>2800</v>
      </c>
      <c r="H886" s="88">
        <v>2800</v>
      </c>
      <c r="I886"/>
      <c r="J886" s="162">
        <v>1788074057164</v>
      </c>
      <c r="K886" s="65"/>
      <c r="L886" s="65"/>
    </row>
    <row r="887" spans="1:12">
      <c r="A887" s="92" t="s">
        <v>162</v>
      </c>
      <c r="B887" s="93">
        <v>46264</v>
      </c>
      <c r="C887" s="92" t="s">
        <v>3673</v>
      </c>
      <c r="D887" s="92" t="s">
        <v>3674</v>
      </c>
      <c r="E887" s="92" t="s">
        <v>3677</v>
      </c>
      <c r="F887" s="92">
        <v>5000</v>
      </c>
      <c r="H887" s="88">
        <v>5000</v>
      </c>
      <c r="I887" t="s">
        <v>4098</v>
      </c>
      <c r="J887" s="162">
        <v>1787367385847</v>
      </c>
      <c r="K887" s="65"/>
      <c r="L887" s="65"/>
    </row>
    <row r="888" spans="1:12">
      <c r="A888" s="92" t="s">
        <v>162</v>
      </c>
      <c r="B888" s="93">
        <v>46264</v>
      </c>
      <c r="C888" s="92" t="e">
        <v>#N/A</v>
      </c>
      <c r="E888" s="92" t="s">
        <v>3677</v>
      </c>
      <c r="F888" s="92">
        <v>2000</v>
      </c>
      <c r="H888" s="88">
        <v>2000</v>
      </c>
      <c r="I888" s="65" t="s">
        <v>89</v>
      </c>
      <c r="J888" s="162" t="s">
        <v>3961</v>
      </c>
      <c r="K888" s="65"/>
      <c r="L888" s="65"/>
    </row>
    <row r="889" spans="1:12" hidden="1">
      <c r="A889" s="92" t="s">
        <v>162</v>
      </c>
      <c r="B889" s="93">
        <v>46264</v>
      </c>
      <c r="C889" s="92" t="s">
        <v>1522</v>
      </c>
      <c r="D889" s="92" t="s">
        <v>1523</v>
      </c>
      <c r="E889" s="92" t="s">
        <v>3678</v>
      </c>
      <c r="F889" s="92">
        <v>1050</v>
      </c>
      <c r="H889" s="88">
        <v>1050</v>
      </c>
      <c r="I889"/>
      <c r="J889" s="162">
        <v>1787974347581</v>
      </c>
      <c r="K889" s="65"/>
      <c r="L889" s="65"/>
    </row>
    <row r="890" spans="1:12">
      <c r="A890" s="92" t="s">
        <v>162</v>
      </c>
      <c r="B890" s="93">
        <v>46264</v>
      </c>
      <c r="C890" s="92" t="e">
        <v>#N/A</v>
      </c>
      <c r="E890" s="92" t="s">
        <v>3677</v>
      </c>
      <c r="F890" s="92">
        <v>2000</v>
      </c>
      <c r="H890" s="88">
        <v>2000</v>
      </c>
      <c r="I890" s="65" t="s">
        <v>4015</v>
      </c>
      <c r="J890" s="162" t="s">
        <v>3962</v>
      </c>
      <c r="K890" s="65"/>
      <c r="L890" s="65"/>
    </row>
    <row r="891" spans="1:12">
      <c r="A891" s="92" t="s">
        <v>162</v>
      </c>
      <c r="B891" s="93">
        <v>46264</v>
      </c>
      <c r="C891" s="92" t="e">
        <v>#N/A</v>
      </c>
      <c r="E891" s="92" t="s">
        <v>3677</v>
      </c>
      <c r="F891" s="92">
        <v>2000</v>
      </c>
      <c r="H891" s="88">
        <v>2000</v>
      </c>
      <c r="I891" s="65" t="s">
        <v>64</v>
      </c>
      <c r="J891" s="162" t="s">
        <v>3963</v>
      </c>
      <c r="K891" s="65"/>
      <c r="L891" s="65"/>
    </row>
    <row r="892" spans="1:12">
      <c r="A892" s="92" t="s">
        <v>162</v>
      </c>
      <c r="B892" s="93">
        <v>46264</v>
      </c>
      <c r="C892" s="92" t="e">
        <v>#N/A</v>
      </c>
      <c r="E892" s="92" t="s">
        <v>3677</v>
      </c>
      <c r="F892" s="92">
        <v>1000</v>
      </c>
      <c r="H892" s="88">
        <v>1000</v>
      </c>
      <c r="I892" s="65" t="s">
        <v>102</v>
      </c>
      <c r="J892" s="162" t="s">
        <v>3964</v>
      </c>
      <c r="K892" s="65"/>
      <c r="L892" s="65"/>
    </row>
    <row r="893" spans="1:12">
      <c r="A893" s="92" t="s">
        <v>162</v>
      </c>
      <c r="B893" s="93">
        <v>46264</v>
      </c>
      <c r="C893" s="92" t="e">
        <v>#N/A</v>
      </c>
      <c r="E893" s="92" t="s">
        <v>3677</v>
      </c>
      <c r="F893" s="92">
        <v>2000</v>
      </c>
      <c r="H893" s="88">
        <v>2000</v>
      </c>
      <c r="I893" s="65" t="s">
        <v>2081</v>
      </c>
      <c r="J893" s="162" t="s">
        <v>3965</v>
      </c>
      <c r="K893" s="65"/>
      <c r="L893" s="65"/>
    </row>
    <row r="894" spans="1:12">
      <c r="A894" s="92" t="s">
        <v>162</v>
      </c>
      <c r="B894" s="93">
        <v>46264</v>
      </c>
      <c r="C894" s="92" t="e">
        <v>#N/A</v>
      </c>
      <c r="E894" s="92" t="s">
        <v>3677</v>
      </c>
      <c r="F894" s="92">
        <v>2000</v>
      </c>
      <c r="H894" s="88">
        <v>2000</v>
      </c>
      <c r="I894" s="65" t="s">
        <v>105</v>
      </c>
      <c r="J894" s="162" t="s">
        <v>3966</v>
      </c>
      <c r="K894" s="65"/>
      <c r="L894" s="65"/>
    </row>
    <row r="895" spans="1:12">
      <c r="A895" s="92" t="s">
        <v>162</v>
      </c>
      <c r="B895" s="93">
        <v>46264</v>
      </c>
      <c r="C895" s="92" t="e">
        <v>#N/A</v>
      </c>
      <c r="E895" s="92" t="s">
        <v>3677</v>
      </c>
      <c r="F895" s="92">
        <v>2000</v>
      </c>
      <c r="G895" s="88">
        <v>2000</v>
      </c>
      <c r="I895" t="s">
        <v>4129</v>
      </c>
      <c r="J895" s="162" t="s">
        <v>3967</v>
      </c>
      <c r="K895" s="65"/>
      <c r="L895" s="65"/>
    </row>
    <row r="896" spans="1:12">
      <c r="A896" s="92" t="s">
        <v>162</v>
      </c>
      <c r="B896" s="93">
        <v>46265</v>
      </c>
      <c r="C896" s="92" t="e">
        <v>#N/A</v>
      </c>
      <c r="E896" s="92" t="s">
        <v>3677</v>
      </c>
      <c r="F896" s="92">
        <v>2000</v>
      </c>
      <c r="H896" s="88">
        <v>2000</v>
      </c>
      <c r="I896" s="65" t="s">
        <v>2107</v>
      </c>
      <c r="J896" s="162" t="s">
        <v>3968</v>
      </c>
      <c r="K896" s="65"/>
      <c r="L896" s="65"/>
    </row>
    <row r="897" spans="1:12">
      <c r="A897" s="92" t="s">
        <v>162</v>
      </c>
      <c r="B897" s="93">
        <v>46265</v>
      </c>
      <c r="C897" s="92" t="e">
        <v>#N/A</v>
      </c>
      <c r="E897" s="92" t="s">
        <v>3677</v>
      </c>
      <c r="F897" s="92">
        <v>2000</v>
      </c>
      <c r="H897" s="88">
        <v>2000</v>
      </c>
      <c r="I897" s="65" t="s">
        <v>2158</v>
      </c>
      <c r="J897" s="162" t="s">
        <v>3969</v>
      </c>
      <c r="K897" s="65"/>
      <c r="L897" s="65"/>
    </row>
    <row r="898" spans="1:12">
      <c r="A898" s="92" t="s">
        <v>162</v>
      </c>
      <c r="B898" s="93">
        <v>46265</v>
      </c>
      <c r="C898" s="92" t="e">
        <v>#N/A</v>
      </c>
      <c r="E898" s="92" t="s">
        <v>3677</v>
      </c>
      <c r="F898" s="92">
        <v>2000</v>
      </c>
      <c r="H898" s="88">
        <v>2000</v>
      </c>
      <c r="I898" s="65" t="s">
        <v>4059</v>
      </c>
      <c r="J898" s="162" t="s">
        <v>3970</v>
      </c>
      <c r="K898" s="65"/>
      <c r="L898" s="65"/>
    </row>
    <row r="899" spans="1:12" hidden="1">
      <c r="A899" s="92" t="s">
        <v>172</v>
      </c>
      <c r="B899" s="93">
        <v>46265</v>
      </c>
      <c r="C899" s="92" t="s">
        <v>2885</v>
      </c>
      <c r="D899" s="92" t="s">
        <v>2886</v>
      </c>
      <c r="E899" s="92" t="s">
        <v>3678</v>
      </c>
      <c r="F899" s="92">
        <v>4000</v>
      </c>
      <c r="H899" s="88">
        <v>4000</v>
      </c>
      <c r="I899"/>
      <c r="J899" s="162">
        <v>1788165454435</v>
      </c>
      <c r="K899" s="65"/>
      <c r="L899" s="65"/>
    </row>
    <row r="900" spans="1:12" hidden="1">
      <c r="A900" s="92" t="s">
        <v>162</v>
      </c>
      <c r="B900" s="93">
        <v>46265</v>
      </c>
      <c r="C900" s="92" t="s">
        <v>2072</v>
      </c>
      <c r="D900" s="92" t="s">
        <v>2073</v>
      </c>
      <c r="E900" s="92" t="s">
        <v>3678</v>
      </c>
      <c r="F900" s="92">
        <v>3850</v>
      </c>
      <c r="H900" s="88">
        <v>3850</v>
      </c>
      <c r="I900"/>
      <c r="J900" s="162">
        <v>1788139237767</v>
      </c>
      <c r="K900" s="65"/>
      <c r="L900" s="65"/>
    </row>
    <row r="901" spans="1:12" hidden="1">
      <c r="A901" s="92" t="s">
        <v>172</v>
      </c>
      <c r="B901" s="93">
        <v>46265</v>
      </c>
      <c r="C901" s="92" t="s">
        <v>3027</v>
      </c>
      <c r="D901" s="92" t="s">
        <v>3028</v>
      </c>
      <c r="E901" s="92" t="s">
        <v>3678</v>
      </c>
      <c r="F901" s="92">
        <v>4000</v>
      </c>
      <c r="H901" s="88">
        <v>4000</v>
      </c>
      <c r="I901"/>
      <c r="J901" s="162">
        <v>1788159021403</v>
      </c>
      <c r="K901" s="65"/>
      <c r="L901" s="65"/>
    </row>
    <row r="902" spans="1:12" ht="43.5">
      <c r="A902" s="92" t="s">
        <v>162</v>
      </c>
      <c r="B902" s="93">
        <v>46265</v>
      </c>
      <c r="C902" s="92" t="e">
        <v>#N/A</v>
      </c>
      <c r="E902" s="92" t="s">
        <v>3677</v>
      </c>
      <c r="F902" s="92">
        <v>1052</v>
      </c>
      <c r="H902" s="88">
        <v>1052</v>
      </c>
      <c r="I902" s="65" t="s">
        <v>100</v>
      </c>
      <c r="J902" s="164" t="s">
        <v>3971</v>
      </c>
      <c r="K902" s="65"/>
      <c r="L902" s="65"/>
    </row>
    <row r="903" spans="1:12">
      <c r="A903" s="92" t="s">
        <v>162</v>
      </c>
      <c r="B903" s="93">
        <v>46265</v>
      </c>
      <c r="C903" s="92" t="e">
        <v>#N/A</v>
      </c>
      <c r="E903" s="92" t="s">
        <v>3677</v>
      </c>
      <c r="F903" s="92">
        <v>2000</v>
      </c>
      <c r="H903" s="88">
        <v>2000</v>
      </c>
      <c r="I903" s="65" t="s">
        <v>4059</v>
      </c>
      <c r="J903" s="162" t="s">
        <v>3972</v>
      </c>
      <c r="K903" s="65"/>
      <c r="L903" s="65"/>
    </row>
    <row r="904" spans="1:12">
      <c r="A904" s="92" t="s">
        <v>162</v>
      </c>
      <c r="B904" s="93">
        <v>46265</v>
      </c>
      <c r="C904" s="92" t="e">
        <v>#N/A</v>
      </c>
      <c r="E904" s="92" t="s">
        <v>3677</v>
      </c>
      <c r="F904" s="92">
        <v>2000</v>
      </c>
      <c r="H904" s="88">
        <v>2000</v>
      </c>
      <c r="I904" s="65" t="s">
        <v>67</v>
      </c>
      <c r="J904" s="162" t="s">
        <v>3973</v>
      </c>
      <c r="K904" s="65"/>
      <c r="L904" s="65"/>
    </row>
    <row r="905" spans="1:12">
      <c r="A905" s="92" t="s">
        <v>162</v>
      </c>
      <c r="B905" s="93">
        <v>46265</v>
      </c>
      <c r="C905" s="92" t="e">
        <v>#N/A</v>
      </c>
      <c r="E905" s="92" t="s">
        <v>3677</v>
      </c>
      <c r="F905" s="92">
        <v>2000</v>
      </c>
      <c r="H905" s="88">
        <v>2000</v>
      </c>
      <c r="I905" s="65" t="s">
        <v>4071</v>
      </c>
      <c r="J905" s="162" t="s">
        <v>3974</v>
      </c>
      <c r="K905" s="65"/>
      <c r="L905" s="65"/>
    </row>
    <row r="906" spans="1:12">
      <c r="A906" s="92" t="s">
        <v>162</v>
      </c>
      <c r="B906" s="93">
        <v>46265</v>
      </c>
      <c r="C906" s="92" t="e">
        <v>#N/A</v>
      </c>
      <c r="E906" s="92" t="s">
        <v>3677</v>
      </c>
      <c r="F906" s="92">
        <v>2000</v>
      </c>
      <c r="H906" s="88">
        <v>2000</v>
      </c>
      <c r="I906" s="65" t="s">
        <v>4074</v>
      </c>
      <c r="J906" s="162" t="s">
        <v>3975</v>
      </c>
      <c r="K906" s="65"/>
      <c r="L906" s="65"/>
    </row>
    <row r="907" spans="1:12">
      <c r="A907" s="92" t="s">
        <v>162</v>
      </c>
      <c r="B907" s="93">
        <v>46265</v>
      </c>
      <c r="C907" s="92" t="e">
        <v>#N/A</v>
      </c>
      <c r="E907" s="92" t="s">
        <v>3677</v>
      </c>
      <c r="F907" s="92">
        <v>2000</v>
      </c>
      <c r="H907" s="88">
        <v>2000</v>
      </c>
      <c r="I907" s="65" t="s">
        <v>1594</v>
      </c>
      <c r="J907" s="162" t="s">
        <v>3976</v>
      </c>
      <c r="K907" s="65"/>
      <c r="L907" s="65"/>
    </row>
    <row r="908" spans="1:12">
      <c r="A908" s="92" t="s">
        <v>162</v>
      </c>
      <c r="B908" s="93">
        <v>46265</v>
      </c>
      <c r="C908" s="92" t="e">
        <v>#N/A</v>
      </c>
      <c r="E908" s="92" t="s">
        <v>3677</v>
      </c>
      <c r="F908" s="92">
        <v>2000</v>
      </c>
      <c r="H908" s="88">
        <v>2000</v>
      </c>
      <c r="I908" s="65" t="s">
        <v>61</v>
      </c>
      <c r="J908" s="162" t="s">
        <v>3977</v>
      </c>
      <c r="K908" s="65"/>
      <c r="L908" s="65"/>
    </row>
    <row r="909" spans="1:12" hidden="1">
      <c r="A909" s="92" t="s">
        <v>180</v>
      </c>
      <c r="B909" s="93">
        <v>46265</v>
      </c>
      <c r="C909" s="92" t="s">
        <v>3068</v>
      </c>
      <c r="D909" s="92" t="s">
        <v>3069</v>
      </c>
      <c r="E909" s="92" t="s">
        <v>3678</v>
      </c>
      <c r="F909" s="92">
        <v>4000</v>
      </c>
      <c r="H909" s="88">
        <v>4000</v>
      </c>
      <c r="I909"/>
      <c r="J909" s="162">
        <v>1788164967267</v>
      </c>
      <c r="K909" s="65"/>
      <c r="L909" s="65"/>
    </row>
    <row r="910" spans="1:12" hidden="1">
      <c r="A910" s="92" t="s">
        <v>172</v>
      </c>
      <c r="B910" s="93">
        <v>46265</v>
      </c>
      <c r="C910" s="92" t="s">
        <v>222</v>
      </c>
      <c r="D910" s="92" t="s">
        <v>2895</v>
      </c>
      <c r="E910" s="92" t="s">
        <v>3678</v>
      </c>
      <c r="F910" s="92">
        <v>4000</v>
      </c>
      <c r="H910" s="88">
        <v>4000</v>
      </c>
      <c r="I910"/>
      <c r="J910" s="162">
        <v>1788170693963</v>
      </c>
      <c r="K910" s="65"/>
      <c r="L910" s="65"/>
    </row>
    <row r="911" spans="1:12" hidden="1">
      <c r="A911" s="92" t="s">
        <v>162</v>
      </c>
      <c r="B911" s="93">
        <v>46265</v>
      </c>
      <c r="C911" s="92" t="s">
        <v>2095</v>
      </c>
      <c r="D911" s="92" t="s">
        <v>2096</v>
      </c>
      <c r="E911" s="92" t="s">
        <v>3678</v>
      </c>
      <c r="F911" s="92">
        <v>12600</v>
      </c>
      <c r="H911" s="88">
        <v>12600</v>
      </c>
      <c r="I911"/>
      <c r="J911" s="162">
        <v>1788170429681</v>
      </c>
      <c r="K911" s="65"/>
      <c r="L911" s="65"/>
    </row>
    <row r="912" spans="1:12">
      <c r="A912" s="92" t="s">
        <v>162</v>
      </c>
      <c r="B912" s="93">
        <v>46265</v>
      </c>
      <c r="C912" s="92" t="e">
        <v>#N/A</v>
      </c>
      <c r="E912" s="92" t="s">
        <v>3677</v>
      </c>
      <c r="F912" s="92">
        <v>2000</v>
      </c>
      <c r="H912" s="88">
        <v>2000</v>
      </c>
      <c r="I912" s="65" t="s">
        <v>51</v>
      </c>
      <c r="J912" s="162" t="s">
        <v>3978</v>
      </c>
      <c r="K912" s="65"/>
      <c r="L912" s="65"/>
    </row>
    <row r="913" spans="1:12" hidden="1">
      <c r="A913" s="92" t="s">
        <v>172</v>
      </c>
      <c r="B913" s="93">
        <v>46265</v>
      </c>
      <c r="C913" s="92" t="s">
        <v>337</v>
      </c>
      <c r="D913" s="92" t="s">
        <v>338</v>
      </c>
      <c r="E913" s="92" t="s">
        <v>3678</v>
      </c>
      <c r="F913" s="92">
        <v>4000</v>
      </c>
      <c r="H913" s="88">
        <v>4000</v>
      </c>
      <c r="I913"/>
      <c r="J913" s="162">
        <v>1788160721215</v>
      </c>
      <c r="K913" s="65"/>
      <c r="L913" s="65"/>
    </row>
    <row r="914" spans="1:12">
      <c r="A914" s="92" t="s">
        <v>162</v>
      </c>
      <c r="B914" s="93">
        <v>46265</v>
      </c>
      <c r="C914" s="92" t="e">
        <v>#N/A</v>
      </c>
      <c r="E914" s="92" t="s">
        <v>3677</v>
      </c>
      <c r="F914" s="92">
        <v>2000</v>
      </c>
      <c r="H914" s="88">
        <v>2000</v>
      </c>
      <c r="I914" s="65" t="s">
        <v>130</v>
      </c>
      <c r="J914" s="162" t="s">
        <v>3979</v>
      </c>
      <c r="K914" s="65"/>
      <c r="L914" s="65"/>
    </row>
    <row r="915" spans="1:12" hidden="1">
      <c r="A915" s="92" t="s">
        <v>162</v>
      </c>
      <c r="B915" s="93">
        <v>46265</v>
      </c>
      <c r="C915" s="92" t="s">
        <v>3554</v>
      </c>
      <c r="D915" s="92" t="s">
        <v>3555</v>
      </c>
      <c r="E915" s="92" t="s">
        <v>3678</v>
      </c>
      <c r="F915" s="92">
        <v>3850</v>
      </c>
      <c r="H915" s="88">
        <v>3850</v>
      </c>
      <c r="I915"/>
      <c r="J915" s="162">
        <v>1787292802619</v>
      </c>
      <c r="K915" s="65"/>
      <c r="L915" s="65"/>
    </row>
    <row r="916" spans="1:12">
      <c r="A916" s="92" t="s">
        <v>162</v>
      </c>
      <c r="B916" s="93">
        <v>46265</v>
      </c>
      <c r="C916" s="92" t="e">
        <v>#N/A</v>
      </c>
      <c r="E916" s="92" t="s">
        <v>3677</v>
      </c>
      <c r="F916" s="92">
        <v>2000</v>
      </c>
      <c r="H916" s="88">
        <v>2000</v>
      </c>
      <c r="I916" s="65" t="s">
        <v>129</v>
      </c>
      <c r="J916" s="162" t="s">
        <v>3980</v>
      </c>
      <c r="K916" s="65"/>
      <c r="L916" s="65"/>
    </row>
    <row r="917" spans="1:12">
      <c r="A917" s="92" t="s">
        <v>162</v>
      </c>
      <c r="B917" s="93">
        <v>46265</v>
      </c>
      <c r="C917" s="92" t="e">
        <v>#N/A</v>
      </c>
      <c r="E917" s="92" t="s">
        <v>3677</v>
      </c>
      <c r="F917" s="92">
        <v>2000</v>
      </c>
      <c r="H917" s="88">
        <v>2000</v>
      </c>
      <c r="I917" s="65" t="s">
        <v>2038</v>
      </c>
      <c r="J917" s="162" t="s">
        <v>3981</v>
      </c>
      <c r="K917" s="65"/>
      <c r="L917" s="65"/>
    </row>
    <row r="918" spans="1:12" hidden="1">
      <c r="A918" s="92" t="s">
        <v>176</v>
      </c>
      <c r="B918" s="93">
        <v>46265</v>
      </c>
      <c r="C918" s="92" t="s">
        <v>3043</v>
      </c>
      <c r="D918" s="92" t="s">
        <v>3044</v>
      </c>
      <c r="E918" s="92" t="s">
        <v>3678</v>
      </c>
      <c r="F918" s="92">
        <v>3850</v>
      </c>
      <c r="H918" s="88">
        <v>3850</v>
      </c>
      <c r="I918"/>
      <c r="J918" s="162">
        <v>1788145582071</v>
      </c>
      <c r="K918" s="65"/>
      <c r="L918" s="65"/>
    </row>
    <row r="919" spans="1:12" hidden="1">
      <c r="A919" s="92" t="s">
        <v>162</v>
      </c>
      <c r="B919" s="93">
        <v>46265</v>
      </c>
      <c r="C919" s="92" t="s">
        <v>1963</v>
      </c>
      <c r="D919" s="92" t="s">
        <v>1964</v>
      </c>
      <c r="E919" s="92" t="s">
        <v>3678</v>
      </c>
      <c r="F919" s="92">
        <v>4200</v>
      </c>
      <c r="H919" s="88">
        <v>4200</v>
      </c>
      <c r="I919"/>
      <c r="J919" s="162">
        <v>1788153270069</v>
      </c>
      <c r="K919" s="65"/>
      <c r="L919" s="65"/>
    </row>
    <row r="920" spans="1:12" hidden="1">
      <c r="A920" s="92" t="s">
        <v>162</v>
      </c>
      <c r="B920" s="93">
        <v>46265</v>
      </c>
      <c r="C920" s="92" t="s">
        <v>2087</v>
      </c>
      <c r="D920" s="92" t="s">
        <v>2088</v>
      </c>
      <c r="E920" s="92" t="s">
        <v>3678</v>
      </c>
      <c r="F920" s="92">
        <v>4000</v>
      </c>
      <c r="H920" s="88">
        <v>4000</v>
      </c>
      <c r="I920"/>
      <c r="J920" s="162">
        <v>1788179298966</v>
      </c>
      <c r="K920" s="65"/>
      <c r="L920" s="65"/>
    </row>
    <row r="921" spans="1:12">
      <c r="A921" s="92" t="s">
        <v>162</v>
      </c>
      <c r="B921" s="93">
        <v>46265</v>
      </c>
      <c r="C921" s="92" t="e">
        <v>#N/A</v>
      </c>
      <c r="E921" s="92" t="s">
        <v>3677</v>
      </c>
      <c r="F921" s="92">
        <v>2000</v>
      </c>
      <c r="H921" s="88">
        <v>2000</v>
      </c>
      <c r="I921" s="65" t="s">
        <v>68</v>
      </c>
      <c r="J921" s="162" t="s">
        <v>3982</v>
      </c>
      <c r="K921" s="65"/>
      <c r="L921" s="65"/>
    </row>
    <row r="922" spans="1:12">
      <c r="A922" s="92" t="s">
        <v>162</v>
      </c>
      <c r="B922" s="93">
        <v>46265</v>
      </c>
      <c r="C922" s="92" t="e">
        <v>#N/A</v>
      </c>
      <c r="E922" s="92" t="s">
        <v>3677</v>
      </c>
      <c r="F922" s="92">
        <v>2000</v>
      </c>
      <c r="H922" s="88">
        <v>2000</v>
      </c>
      <c r="I922" s="65" t="s">
        <v>71</v>
      </c>
      <c r="J922" s="162" t="s">
        <v>3983</v>
      </c>
      <c r="K922" s="65"/>
      <c r="L922" s="65"/>
    </row>
    <row r="923" spans="1:12">
      <c r="A923" s="92" t="s">
        <v>162</v>
      </c>
      <c r="B923" s="93">
        <v>46265</v>
      </c>
      <c r="C923" s="92" t="e">
        <v>#N/A</v>
      </c>
      <c r="E923" s="92" t="s">
        <v>3677</v>
      </c>
      <c r="F923" s="92">
        <v>2000</v>
      </c>
      <c r="H923" s="88">
        <v>2000</v>
      </c>
      <c r="I923" s="65" t="s">
        <v>131</v>
      </c>
      <c r="J923" s="162" t="s">
        <v>3984</v>
      </c>
      <c r="K923" s="65"/>
      <c r="L923" s="65"/>
    </row>
    <row r="924" spans="1:12">
      <c r="A924" s="92" t="s">
        <v>162</v>
      </c>
      <c r="B924" s="93">
        <v>46265</v>
      </c>
      <c r="C924" s="92" t="e">
        <v>#N/A</v>
      </c>
      <c r="E924" s="92" t="s">
        <v>3677</v>
      </c>
      <c r="F924" s="92">
        <v>2000</v>
      </c>
      <c r="H924" s="88">
        <v>2000</v>
      </c>
      <c r="I924" s="65" t="s">
        <v>1295</v>
      </c>
      <c r="J924" s="162" t="s">
        <v>3985</v>
      </c>
      <c r="K924" s="65"/>
      <c r="L924" s="65"/>
    </row>
    <row r="925" spans="1:12">
      <c r="A925" s="92" t="s">
        <v>162</v>
      </c>
      <c r="B925" s="93">
        <v>46265</v>
      </c>
      <c r="C925" s="92" t="e">
        <v>#N/A</v>
      </c>
      <c r="E925" s="92" t="s">
        <v>3677</v>
      </c>
      <c r="F925" s="92">
        <v>2000</v>
      </c>
      <c r="H925" s="88">
        <v>2000</v>
      </c>
      <c r="I925" s="65" t="s">
        <v>132</v>
      </c>
      <c r="J925" s="162" t="s">
        <v>3986</v>
      </c>
      <c r="K925" s="65"/>
      <c r="L925" s="65"/>
    </row>
    <row r="926" spans="1:12">
      <c r="A926" s="92" t="s">
        <v>162</v>
      </c>
      <c r="B926" s="93">
        <v>46265</v>
      </c>
      <c r="C926" s="92" t="e">
        <v>#N/A</v>
      </c>
      <c r="E926" s="92" t="s">
        <v>3677</v>
      </c>
      <c r="F926" s="92">
        <v>2000</v>
      </c>
      <c r="H926" s="88">
        <v>2000</v>
      </c>
      <c r="I926" s="65" t="s">
        <v>1856</v>
      </c>
      <c r="J926" s="162" t="s">
        <v>3987</v>
      </c>
      <c r="K926" s="65"/>
      <c r="L926" s="65"/>
    </row>
    <row r="927" spans="1:12" hidden="1">
      <c r="A927" s="92" t="s">
        <v>162</v>
      </c>
      <c r="B927" s="93">
        <v>46265</v>
      </c>
      <c r="C927" s="92" t="s">
        <v>2099</v>
      </c>
      <c r="D927" s="92" t="s">
        <v>2100</v>
      </c>
      <c r="E927" s="92" t="s">
        <v>3678</v>
      </c>
      <c r="F927" s="92">
        <v>3850</v>
      </c>
      <c r="H927" s="88">
        <v>3850</v>
      </c>
      <c r="I927"/>
      <c r="J927" s="162">
        <v>1788164216946</v>
      </c>
      <c r="K927" s="65"/>
      <c r="L927" s="65"/>
    </row>
    <row r="928" spans="1:12" hidden="1">
      <c r="A928" s="92" t="s">
        <v>162</v>
      </c>
      <c r="B928" s="93">
        <v>46265</v>
      </c>
      <c r="C928" s="92" t="s">
        <v>2093</v>
      </c>
      <c r="D928" s="92" t="s">
        <v>2094</v>
      </c>
      <c r="E928" s="92" t="s">
        <v>3678</v>
      </c>
      <c r="F928" s="92">
        <v>3850</v>
      </c>
      <c r="H928" s="88">
        <v>3850</v>
      </c>
      <c r="I928"/>
      <c r="J928" s="162">
        <v>1788167147887</v>
      </c>
      <c r="K928" s="65"/>
      <c r="L928" s="65"/>
    </row>
    <row r="929" spans="1:12">
      <c r="A929" s="92" t="s">
        <v>162</v>
      </c>
      <c r="B929" s="93">
        <v>46265</v>
      </c>
      <c r="C929" s="92" t="e">
        <v>#N/A</v>
      </c>
      <c r="E929" s="92" t="s">
        <v>3677</v>
      </c>
      <c r="F929" s="92">
        <v>2000</v>
      </c>
      <c r="H929" s="88">
        <v>2000</v>
      </c>
      <c r="I929" s="65" t="s">
        <v>56</v>
      </c>
      <c r="J929" s="162" t="s">
        <v>3988</v>
      </c>
      <c r="K929" s="65"/>
      <c r="L929" s="65"/>
    </row>
    <row r="930" spans="1:12" hidden="1">
      <c r="A930" s="92" t="s">
        <v>162</v>
      </c>
      <c r="B930" s="93">
        <v>46265</v>
      </c>
      <c r="C930" s="92" t="s">
        <v>3331</v>
      </c>
      <c r="D930" s="92" t="s">
        <v>3332</v>
      </c>
      <c r="E930" s="92" t="s">
        <v>3678</v>
      </c>
      <c r="F930" s="92">
        <v>4200</v>
      </c>
      <c r="H930" s="88">
        <v>4200</v>
      </c>
      <c r="I930"/>
      <c r="J930" s="162">
        <v>1788164489122</v>
      </c>
      <c r="K930" s="65"/>
      <c r="L930" s="65"/>
    </row>
    <row r="931" spans="1:12">
      <c r="A931" s="92" t="s">
        <v>162</v>
      </c>
      <c r="B931" s="93">
        <v>46265</v>
      </c>
      <c r="C931" s="92" t="e">
        <v>#N/A</v>
      </c>
      <c r="E931" s="92" t="s">
        <v>3677</v>
      </c>
      <c r="F931" s="92">
        <v>2000</v>
      </c>
      <c r="H931" s="88">
        <v>2000</v>
      </c>
      <c r="I931" s="65" t="s">
        <v>2029</v>
      </c>
      <c r="J931" s="162" t="s">
        <v>3989</v>
      </c>
      <c r="K931" s="65"/>
      <c r="L931" s="65"/>
    </row>
    <row r="932" spans="1:12">
      <c r="A932" s="92" t="s">
        <v>162</v>
      </c>
      <c r="B932" s="93">
        <v>46265</v>
      </c>
      <c r="C932" s="92" t="e">
        <v>#N/A</v>
      </c>
      <c r="E932" s="92" t="s">
        <v>3677</v>
      </c>
      <c r="F932" s="92">
        <v>2000</v>
      </c>
      <c r="H932" s="88">
        <v>2000</v>
      </c>
      <c r="I932" s="65" t="s">
        <v>2153</v>
      </c>
      <c r="J932" s="162" t="s">
        <v>3990</v>
      </c>
      <c r="K932" s="65"/>
      <c r="L932" s="65"/>
    </row>
    <row r="933" spans="1:12" hidden="1">
      <c r="A933" s="92" t="s">
        <v>162</v>
      </c>
      <c r="B933" s="93">
        <v>46265</v>
      </c>
      <c r="C933" s="92" t="s">
        <v>203</v>
      </c>
      <c r="D933" s="92" t="s">
        <v>204</v>
      </c>
      <c r="E933" s="92" t="s">
        <v>3678</v>
      </c>
      <c r="F933" s="92">
        <v>3850</v>
      </c>
      <c r="H933" s="88">
        <v>3850</v>
      </c>
      <c r="I933"/>
      <c r="J933" s="162">
        <v>1787716076134</v>
      </c>
      <c r="K933" s="65"/>
      <c r="L933" s="65"/>
    </row>
    <row r="934" spans="1:12">
      <c r="A934" s="92" t="s">
        <v>162</v>
      </c>
      <c r="B934" s="93">
        <v>46265</v>
      </c>
      <c r="C934" s="92" t="e">
        <v>#N/A</v>
      </c>
      <c r="E934" s="92" t="s">
        <v>3677</v>
      </c>
      <c r="F934" s="92">
        <v>3000</v>
      </c>
      <c r="H934" s="88">
        <v>3000</v>
      </c>
      <c r="I934" s="65" t="s">
        <v>4100</v>
      </c>
      <c r="J934" s="162" t="s">
        <v>3991</v>
      </c>
      <c r="K934" s="65"/>
      <c r="L934" s="65"/>
    </row>
    <row r="935" spans="1:12" hidden="1">
      <c r="A935" s="92" t="s">
        <v>162</v>
      </c>
      <c r="B935" s="93">
        <v>46265</v>
      </c>
      <c r="C935" s="92" t="s">
        <v>3323</v>
      </c>
      <c r="D935" s="92" t="s">
        <v>3324</v>
      </c>
      <c r="E935" s="92" t="s">
        <v>3678</v>
      </c>
      <c r="F935" s="92">
        <v>3850</v>
      </c>
      <c r="H935" s="88">
        <v>3850</v>
      </c>
      <c r="I935"/>
      <c r="J935" s="162">
        <v>1788179674069</v>
      </c>
      <c r="K935" s="65"/>
      <c r="L935" s="65"/>
    </row>
    <row r="936" spans="1:12" hidden="1">
      <c r="A936" s="92" t="s">
        <v>162</v>
      </c>
      <c r="B936" s="93">
        <v>46265</v>
      </c>
      <c r="C936" s="92" t="s">
        <v>1959</v>
      </c>
      <c r="D936" s="92" t="s">
        <v>1960</v>
      </c>
      <c r="E936" s="92" t="s">
        <v>3678</v>
      </c>
      <c r="F936" s="92">
        <v>2800</v>
      </c>
      <c r="H936" s="88">
        <v>2800</v>
      </c>
      <c r="I936"/>
      <c r="J936" s="162">
        <v>1787541931369</v>
      </c>
      <c r="K936" s="65"/>
      <c r="L936" s="65"/>
    </row>
    <row r="937" spans="1:12">
      <c r="A937" s="92" t="s">
        <v>162</v>
      </c>
      <c r="B937" s="93">
        <v>46265</v>
      </c>
      <c r="C937" s="92" t="s">
        <v>1320</v>
      </c>
      <c r="D937" s="92" t="s">
        <v>1321</v>
      </c>
      <c r="E937" s="92" t="s">
        <v>3677</v>
      </c>
      <c r="F937" s="92">
        <v>2000</v>
      </c>
      <c r="H937" s="88">
        <v>2000</v>
      </c>
      <c r="I937" s="65" t="s">
        <v>125</v>
      </c>
      <c r="J937" s="162">
        <v>1787132814451</v>
      </c>
      <c r="K937" s="65"/>
      <c r="L937" s="65"/>
    </row>
    <row r="938" spans="1:12">
      <c r="A938" s="92" t="s">
        <v>162</v>
      </c>
      <c r="B938" s="93">
        <v>46265</v>
      </c>
      <c r="C938" s="92" t="e">
        <v>#N/A</v>
      </c>
      <c r="E938" s="92" t="s">
        <v>3677</v>
      </c>
      <c r="F938" s="92">
        <v>3000</v>
      </c>
      <c r="H938" s="88">
        <v>3000</v>
      </c>
      <c r="I938" t="s">
        <v>88</v>
      </c>
      <c r="J938" s="162" t="s">
        <v>3992</v>
      </c>
      <c r="K938" s="65"/>
      <c r="L938" s="65"/>
    </row>
    <row r="939" spans="1:12">
      <c r="A939" s="92" t="s">
        <v>162</v>
      </c>
      <c r="B939" s="93">
        <v>46265</v>
      </c>
      <c r="C939" s="92" t="e">
        <v>#N/A</v>
      </c>
      <c r="E939" s="92" t="s">
        <v>3677</v>
      </c>
      <c r="F939" s="92">
        <v>2000</v>
      </c>
      <c r="H939" s="88">
        <v>2000</v>
      </c>
      <c r="I939" s="65" t="s">
        <v>116</v>
      </c>
      <c r="J939" s="162" t="s">
        <v>3993</v>
      </c>
      <c r="K939" s="65"/>
      <c r="L939" s="65"/>
    </row>
    <row r="940" spans="1:12">
      <c r="A940" s="92" t="s">
        <v>162</v>
      </c>
      <c r="B940" s="93">
        <v>46265</v>
      </c>
      <c r="C940" s="92" t="e">
        <v>#N/A</v>
      </c>
      <c r="E940" s="92" t="s">
        <v>3677</v>
      </c>
      <c r="F940" s="92">
        <v>2000</v>
      </c>
      <c r="H940" s="88">
        <v>2000</v>
      </c>
      <c r="I940" t="s">
        <v>91</v>
      </c>
      <c r="J940" s="162" t="s">
        <v>3994</v>
      </c>
      <c r="K940" s="65"/>
      <c r="L940" s="65"/>
    </row>
    <row r="941" spans="1:12">
      <c r="A941" s="92" t="s">
        <v>162</v>
      </c>
      <c r="B941" s="93">
        <v>46265</v>
      </c>
      <c r="C941" s="92" t="e">
        <v>#N/A</v>
      </c>
      <c r="E941" s="92" t="s">
        <v>3677</v>
      </c>
      <c r="F941" s="92">
        <v>2000</v>
      </c>
      <c r="H941" s="88">
        <v>2000</v>
      </c>
      <c r="I941" t="s">
        <v>92</v>
      </c>
      <c r="J941" s="162" t="s">
        <v>3995</v>
      </c>
      <c r="K941" s="65"/>
      <c r="L941" s="65"/>
    </row>
    <row r="942" spans="1:12" hidden="1">
      <c r="A942" s="92" t="s">
        <v>162</v>
      </c>
      <c r="B942" s="93">
        <v>46265</v>
      </c>
      <c r="C942" s="92" t="s">
        <v>1213</v>
      </c>
      <c r="D942" s="92" t="s">
        <v>1214</v>
      </c>
      <c r="E942" s="92" t="s">
        <v>3678</v>
      </c>
      <c r="F942" s="92">
        <v>2800</v>
      </c>
      <c r="H942" s="88">
        <v>2800</v>
      </c>
      <c r="I942"/>
      <c r="J942" s="162">
        <v>1788064240864</v>
      </c>
      <c r="K942" s="65"/>
      <c r="L942" s="65"/>
    </row>
    <row r="943" spans="1:12">
      <c r="K943" s="65"/>
      <c r="L943" s="65"/>
    </row>
    <row r="944" spans="1:12">
      <c r="K944" s="65"/>
      <c r="L944" s="65"/>
    </row>
    <row r="945" spans="11:12">
      <c r="K945" s="65"/>
      <c r="L945" s="65"/>
    </row>
    <row r="946" spans="11:12">
      <c r="K946" s="65"/>
      <c r="L946" s="65"/>
    </row>
    <row r="947" spans="11:12">
      <c r="K947" s="65"/>
      <c r="L947" s="65"/>
    </row>
    <row r="948" spans="11:12">
      <c r="K948" s="65"/>
      <c r="L948" s="65"/>
    </row>
    <row r="949" spans="11:12">
      <c r="K949" s="65"/>
      <c r="L949" s="65"/>
    </row>
    <row r="950" spans="11:12">
      <c r="K950" s="65"/>
      <c r="L950" s="65"/>
    </row>
    <row r="951" spans="11:12">
      <c r="K951" s="65"/>
      <c r="L951" s="65"/>
    </row>
    <row r="952" spans="11:12">
      <c r="K952" s="65"/>
      <c r="L952" s="65"/>
    </row>
    <row r="953" spans="11:12">
      <c r="K953" s="65"/>
      <c r="L953" s="65"/>
    </row>
    <row r="954" spans="11:12">
      <c r="K954" s="65"/>
      <c r="L954" s="65"/>
    </row>
    <row r="955" spans="11:12">
      <c r="K955" s="65"/>
      <c r="L955" s="65"/>
    </row>
    <row r="956" spans="11:12">
      <c r="K956" s="65"/>
      <c r="L956" s="65"/>
    </row>
    <row r="957" spans="11:12">
      <c r="K957" s="65"/>
      <c r="L957" s="65"/>
    </row>
    <row r="958" spans="11:12">
      <c r="K958" s="65"/>
      <c r="L958" s="65"/>
    </row>
    <row r="959" spans="11:12">
      <c r="K959" s="65"/>
      <c r="L959" s="65"/>
    </row>
    <row r="960" spans="11:12">
      <c r="K960" s="65"/>
      <c r="L960" s="65"/>
    </row>
    <row r="961" spans="11:12">
      <c r="K961" s="65"/>
      <c r="L961" s="65"/>
    </row>
    <row r="962" spans="11:12">
      <c r="K962" s="65"/>
      <c r="L962" s="65"/>
    </row>
    <row r="963" spans="11:12">
      <c r="K963" s="65"/>
      <c r="L963" s="65"/>
    </row>
    <row r="964" spans="11:12">
      <c r="K964" s="65"/>
      <c r="L964" s="65"/>
    </row>
    <row r="965" spans="11:12">
      <c r="K965" s="65"/>
      <c r="L965" s="65"/>
    </row>
    <row r="966" spans="11:12">
      <c r="K966" s="65"/>
      <c r="L966" s="65"/>
    </row>
    <row r="967" spans="11:12">
      <c r="K967" s="65"/>
      <c r="L967" s="65"/>
    </row>
    <row r="968" spans="11:12">
      <c r="K968" s="65"/>
      <c r="L968" s="65"/>
    </row>
    <row r="969" spans="11:12">
      <c r="K969" s="65"/>
      <c r="L969" s="65"/>
    </row>
    <row r="970" spans="11:12">
      <c r="K970" s="65"/>
      <c r="L970" s="65"/>
    </row>
    <row r="971" spans="11:12">
      <c r="K971" s="65"/>
      <c r="L971" s="65"/>
    </row>
    <row r="972" spans="11:12">
      <c r="K972" s="65"/>
      <c r="L972" s="65"/>
    </row>
    <row r="973" spans="11:12">
      <c r="K973" s="65"/>
      <c r="L973" s="65"/>
    </row>
    <row r="974" spans="11:12">
      <c r="K974" s="65"/>
      <c r="L974" s="65"/>
    </row>
    <row r="975" spans="11:12">
      <c r="K975" s="65"/>
      <c r="L975" s="65"/>
    </row>
    <row r="976" spans="11:12">
      <c r="K976" s="65"/>
      <c r="L976" s="65"/>
    </row>
    <row r="977" spans="11:12">
      <c r="K977" s="65"/>
      <c r="L977" s="65"/>
    </row>
    <row r="978" spans="11:12">
      <c r="K978" s="65"/>
      <c r="L978" s="65"/>
    </row>
    <row r="979" spans="11:12">
      <c r="K979" s="65"/>
      <c r="L979" s="65"/>
    </row>
    <row r="980" spans="11:12">
      <c r="K980" s="65"/>
      <c r="L980" s="65"/>
    </row>
    <row r="981" spans="11:12">
      <c r="K981" s="65"/>
      <c r="L981" s="65"/>
    </row>
    <row r="982" spans="11:12">
      <c r="K982" s="65"/>
      <c r="L982" s="65"/>
    </row>
    <row r="983" spans="11:12">
      <c r="K983" s="65"/>
      <c r="L983" s="65"/>
    </row>
    <row r="984" spans="11:12">
      <c r="K984" s="65"/>
      <c r="L984" s="65"/>
    </row>
    <row r="985" spans="11:12">
      <c r="K985" s="65"/>
      <c r="L985" s="65"/>
    </row>
    <row r="986" spans="11:12">
      <c r="K986" s="65"/>
      <c r="L986" s="65"/>
    </row>
    <row r="987" spans="11:12">
      <c r="K987" s="65"/>
      <c r="L987" s="65"/>
    </row>
    <row r="988" spans="11:12">
      <c r="K988" s="65"/>
      <c r="L988" s="65"/>
    </row>
    <row r="989" spans="11:12">
      <c r="K989" s="65"/>
      <c r="L989" s="65"/>
    </row>
    <row r="990" spans="11:12">
      <c r="K990" s="65"/>
      <c r="L990" s="65"/>
    </row>
    <row r="991" spans="11:12">
      <c r="K991" s="65"/>
      <c r="L991" s="65"/>
    </row>
    <row r="992" spans="11:12">
      <c r="K992" s="65"/>
      <c r="L992" s="65"/>
    </row>
    <row r="993" spans="11:12">
      <c r="K993" s="65"/>
      <c r="L993" s="65"/>
    </row>
    <row r="994" spans="11:12">
      <c r="K994" s="65"/>
      <c r="L994" s="65"/>
    </row>
    <row r="995" spans="11:12">
      <c r="K995" s="65"/>
      <c r="L995" s="65"/>
    </row>
    <row r="996" spans="11:12">
      <c r="K996" s="65"/>
      <c r="L996" s="65"/>
    </row>
    <row r="997" spans="11:12">
      <c r="K997" s="65"/>
      <c r="L997" s="65"/>
    </row>
    <row r="998" spans="11:12">
      <c r="K998" s="65"/>
      <c r="L998" s="65"/>
    </row>
    <row r="999" spans="11:12">
      <c r="K999" s="65"/>
      <c r="L999" s="65"/>
    </row>
    <row r="1000" spans="11:12">
      <c r="K1000" s="65"/>
      <c r="L1000" s="65"/>
    </row>
    <row r="1001" spans="11:12">
      <c r="K1001" s="65"/>
      <c r="L1001" s="65"/>
    </row>
    <row r="1002" spans="11:12">
      <c r="K1002" s="65"/>
      <c r="L1002" s="65"/>
    </row>
    <row r="1003" spans="11:12">
      <c r="K1003" s="65"/>
      <c r="L1003" s="65"/>
    </row>
    <row r="1004" spans="11:12">
      <c r="K1004" s="65"/>
      <c r="L1004" s="65"/>
    </row>
    <row r="1005" spans="11:12">
      <c r="K1005" s="65"/>
      <c r="L1005" s="65"/>
    </row>
    <row r="1006" spans="11:12">
      <c r="K1006" s="65"/>
      <c r="L1006" s="65"/>
    </row>
    <row r="1007" spans="11:12">
      <c r="K1007" s="65"/>
      <c r="L1007" s="65"/>
    </row>
    <row r="1008" spans="11:12">
      <c r="K1008" s="65"/>
      <c r="L1008" s="65"/>
    </row>
    <row r="1009" spans="11:12">
      <c r="K1009" s="65"/>
      <c r="L1009" s="65"/>
    </row>
    <row r="1010" spans="11:12">
      <c r="K1010" s="65"/>
      <c r="L1010" s="65"/>
    </row>
    <row r="1011" spans="11:12">
      <c r="K1011" s="65"/>
      <c r="L1011" s="65"/>
    </row>
    <row r="1012" spans="11:12">
      <c r="K1012" s="65"/>
      <c r="L1012" s="65"/>
    </row>
    <row r="1013" spans="11:12">
      <c r="K1013" s="65"/>
      <c r="L1013" s="65"/>
    </row>
    <row r="1014" spans="11:12">
      <c r="K1014" s="65"/>
      <c r="L1014" s="65"/>
    </row>
    <row r="1015" spans="11:12">
      <c r="K1015" s="65"/>
      <c r="L1015" s="65"/>
    </row>
    <row r="1016" spans="11:12">
      <c r="K1016" s="65"/>
      <c r="L1016" s="65"/>
    </row>
    <row r="1017" spans="11:12">
      <c r="K1017" s="65"/>
      <c r="L1017" s="65"/>
    </row>
    <row r="1018" spans="11:12">
      <c r="K1018" s="65"/>
      <c r="L1018" s="65"/>
    </row>
    <row r="1019" spans="11:12">
      <c r="K1019" s="65"/>
      <c r="L1019" s="65"/>
    </row>
    <row r="1020" spans="11:12">
      <c r="K1020" s="65"/>
      <c r="L1020" s="65"/>
    </row>
    <row r="1021" spans="11:12">
      <c r="K1021" s="65"/>
      <c r="L1021" s="65"/>
    </row>
    <row r="1022" spans="11:12">
      <c r="K1022" s="65"/>
      <c r="L1022" s="65"/>
    </row>
    <row r="1023" spans="11:12">
      <c r="K1023" s="65"/>
      <c r="L1023" s="65"/>
    </row>
    <row r="1024" spans="11:12">
      <c r="K1024" s="65"/>
      <c r="L1024" s="65"/>
    </row>
    <row r="1025" spans="11:12">
      <c r="K1025" s="65"/>
      <c r="L1025" s="65"/>
    </row>
    <row r="1026" spans="11:12">
      <c r="K1026" s="65"/>
      <c r="L1026" s="65"/>
    </row>
    <row r="1027" spans="11:12">
      <c r="K1027" s="65"/>
      <c r="L1027" s="65"/>
    </row>
    <row r="1028" spans="11:12">
      <c r="K1028" s="65"/>
      <c r="L1028" s="65"/>
    </row>
    <row r="1029" spans="11:12">
      <c r="K1029" s="65"/>
      <c r="L1029" s="65"/>
    </row>
    <row r="1030" spans="11:12">
      <c r="K1030" s="65"/>
      <c r="L1030" s="65"/>
    </row>
    <row r="1031" spans="11:12">
      <c r="K1031" s="65"/>
      <c r="L1031" s="65"/>
    </row>
    <row r="1032" spans="11:12">
      <c r="K1032" s="65"/>
      <c r="L1032" s="65"/>
    </row>
    <row r="1033" spans="11:12">
      <c r="K1033" s="65"/>
      <c r="L1033" s="65"/>
    </row>
    <row r="1034" spans="11:12">
      <c r="K1034" s="65"/>
      <c r="L1034" s="65"/>
    </row>
    <row r="1035" spans="11:12">
      <c r="K1035" s="65"/>
      <c r="L1035" s="65"/>
    </row>
    <row r="1036" spans="11:12">
      <c r="K1036" s="65"/>
      <c r="L1036" s="65"/>
    </row>
    <row r="1037" spans="11:12">
      <c r="K1037" s="65"/>
      <c r="L1037" s="65"/>
    </row>
    <row r="1038" spans="11:12">
      <c r="K1038" s="65"/>
      <c r="L1038" s="65"/>
    </row>
    <row r="1039" spans="11:12">
      <c r="K1039" s="65"/>
      <c r="L1039" s="65"/>
    </row>
    <row r="1040" spans="11:12">
      <c r="K1040" s="65"/>
      <c r="L1040" s="65"/>
    </row>
    <row r="1041" spans="11:12">
      <c r="K1041" s="65"/>
      <c r="L1041" s="65"/>
    </row>
    <row r="1042" spans="11:12">
      <c r="K1042" s="65"/>
      <c r="L1042" s="65"/>
    </row>
    <row r="1043" spans="11:12">
      <c r="K1043" s="65"/>
      <c r="L1043" s="65"/>
    </row>
    <row r="1044" spans="11:12">
      <c r="K1044" s="65"/>
      <c r="L1044" s="65"/>
    </row>
    <row r="1045" spans="11:12">
      <c r="K1045" s="65"/>
      <c r="L1045" s="65"/>
    </row>
    <row r="1046" spans="11:12">
      <c r="K1046" s="65"/>
      <c r="L1046" s="65"/>
    </row>
    <row r="1047" spans="11:12">
      <c r="K1047" s="65"/>
      <c r="L1047" s="65"/>
    </row>
    <row r="1048" spans="11:12">
      <c r="K1048" s="65"/>
      <c r="L1048" s="65"/>
    </row>
    <row r="1049" spans="11:12">
      <c r="K1049" s="65"/>
      <c r="L1049" s="65"/>
    </row>
    <row r="1050" spans="11:12">
      <c r="K1050" s="65"/>
      <c r="L1050" s="65"/>
    </row>
    <row r="1051" spans="11:12">
      <c r="K1051" s="65"/>
      <c r="L1051" s="65"/>
    </row>
    <row r="1052" spans="11:12">
      <c r="K1052" s="65"/>
      <c r="L1052" s="65"/>
    </row>
    <row r="1053" spans="11:12">
      <c r="K1053" s="65"/>
      <c r="L1053" s="65"/>
    </row>
    <row r="1054" spans="11:12">
      <c r="K1054" s="65"/>
      <c r="L1054" s="65"/>
    </row>
    <row r="1055" spans="11:12">
      <c r="K1055" s="65"/>
      <c r="L1055" s="65"/>
    </row>
    <row r="1056" spans="11:12">
      <c r="K1056" s="65"/>
      <c r="L1056" s="65"/>
    </row>
    <row r="1057" spans="11:12">
      <c r="K1057" s="65"/>
      <c r="L1057" s="65"/>
    </row>
    <row r="1058" spans="11:12">
      <c r="K1058" s="65"/>
      <c r="L1058" s="65"/>
    </row>
    <row r="1059" spans="11:12">
      <c r="K1059" s="65"/>
      <c r="L1059" s="65"/>
    </row>
    <row r="1060" spans="11:12">
      <c r="K1060" s="65"/>
      <c r="L1060" s="65"/>
    </row>
    <row r="1061" spans="11:12">
      <c r="K1061" s="65"/>
      <c r="L1061" s="65"/>
    </row>
    <row r="1062" spans="11:12">
      <c r="K1062" s="65"/>
      <c r="L1062" s="65"/>
    </row>
    <row r="1063" spans="11:12">
      <c r="K1063" s="65"/>
      <c r="L1063" s="65"/>
    </row>
    <row r="1064" spans="11:12">
      <c r="K1064" s="65"/>
      <c r="L1064" s="65"/>
    </row>
    <row r="1065" spans="11:12">
      <c r="K1065" s="65"/>
      <c r="L1065" s="65"/>
    </row>
    <row r="1066" spans="11:12">
      <c r="K1066" s="65"/>
      <c r="L1066" s="65"/>
    </row>
    <row r="1067" spans="11:12">
      <c r="K1067" s="65"/>
      <c r="L1067" s="65"/>
    </row>
    <row r="1068" spans="11:12">
      <c r="K1068" s="65"/>
      <c r="L1068" s="65"/>
    </row>
    <row r="1069" spans="11:12">
      <c r="K1069" s="65"/>
      <c r="L1069" s="65"/>
    </row>
    <row r="1070" spans="11:12">
      <c r="K1070" s="65"/>
      <c r="L1070" s="65"/>
    </row>
    <row r="1071" spans="11:12">
      <c r="K1071" s="65"/>
      <c r="L1071" s="65"/>
    </row>
    <row r="1072" spans="11:12">
      <c r="K1072" s="65"/>
      <c r="L1072" s="65"/>
    </row>
    <row r="1073" spans="11:12">
      <c r="K1073" s="65"/>
      <c r="L1073" s="65"/>
    </row>
    <row r="1074" spans="11:12">
      <c r="K1074" s="65"/>
      <c r="L1074" s="65"/>
    </row>
    <row r="1075" spans="11:12">
      <c r="K1075" s="65"/>
      <c r="L1075" s="65"/>
    </row>
    <row r="1076" spans="11:12">
      <c r="K1076" s="65"/>
      <c r="L1076" s="65"/>
    </row>
    <row r="1077" spans="11:12">
      <c r="K1077" s="65"/>
      <c r="L1077" s="65"/>
    </row>
    <row r="1078" spans="11:12">
      <c r="K1078" s="65"/>
      <c r="L1078" s="65"/>
    </row>
    <row r="1079" spans="11:12">
      <c r="K1079" s="65"/>
      <c r="L1079" s="65"/>
    </row>
    <row r="1080" spans="11:12">
      <c r="K1080" s="65"/>
      <c r="L1080" s="65"/>
    </row>
    <row r="1081" spans="11:12">
      <c r="K1081" s="65"/>
      <c r="L1081" s="65"/>
    </row>
    <row r="1082" spans="11:12">
      <c r="K1082" s="65"/>
      <c r="L1082" s="65"/>
    </row>
    <row r="1083" spans="11:12">
      <c r="K1083" s="65"/>
      <c r="L1083" s="65"/>
    </row>
    <row r="1084" spans="11:12">
      <c r="K1084" s="65"/>
      <c r="L1084" s="65"/>
    </row>
    <row r="1085" spans="11:12">
      <c r="K1085" s="65"/>
      <c r="L1085" s="65"/>
    </row>
    <row r="1086" spans="11:12">
      <c r="K1086" s="65"/>
      <c r="L1086" s="65"/>
    </row>
    <row r="1087" spans="11:12">
      <c r="K1087" s="65"/>
      <c r="L1087" s="65"/>
    </row>
    <row r="1088" spans="11:12">
      <c r="K1088" s="65"/>
      <c r="L1088" s="65"/>
    </row>
    <row r="1089" spans="11:12">
      <c r="K1089" s="65"/>
      <c r="L1089" s="65"/>
    </row>
    <row r="1090" spans="11:12">
      <c r="K1090" s="65"/>
      <c r="L1090" s="65"/>
    </row>
    <row r="1091" spans="11:12">
      <c r="K1091" s="65"/>
      <c r="L1091" s="65"/>
    </row>
    <row r="1092" spans="11:12">
      <c r="K1092" s="65"/>
      <c r="L1092" s="65"/>
    </row>
    <row r="1093" spans="11:12">
      <c r="K1093" s="65"/>
      <c r="L1093" s="65"/>
    </row>
    <row r="1094" spans="11:12">
      <c r="K1094" s="65"/>
      <c r="L1094" s="65"/>
    </row>
    <row r="1095" spans="11:12">
      <c r="K1095" s="65"/>
      <c r="L1095" s="65"/>
    </row>
    <row r="1096" spans="11:12">
      <c r="K1096" s="65"/>
      <c r="L1096" s="65"/>
    </row>
    <row r="1097" spans="11:12">
      <c r="K1097" s="65"/>
      <c r="L1097" s="65"/>
    </row>
    <row r="1098" spans="11:12">
      <c r="K1098" s="65"/>
      <c r="L1098" s="65"/>
    </row>
    <row r="1099" spans="11:12">
      <c r="K1099" s="65"/>
      <c r="L1099" s="65"/>
    </row>
    <row r="1100" spans="11:12">
      <c r="K1100" s="65"/>
      <c r="L1100" s="65"/>
    </row>
    <row r="1101" spans="11:12">
      <c r="K1101" s="65"/>
      <c r="L1101" s="65"/>
    </row>
    <row r="1102" spans="11:12">
      <c r="K1102" s="65"/>
      <c r="L1102" s="65"/>
    </row>
    <row r="1103" spans="11:12">
      <c r="K1103" s="65"/>
      <c r="L1103" s="65"/>
    </row>
    <row r="1104" spans="11:12">
      <c r="K1104" s="65"/>
      <c r="L1104" s="65"/>
    </row>
    <row r="1105" spans="11:12">
      <c r="K1105" s="65"/>
      <c r="L1105" s="65"/>
    </row>
    <row r="1106" spans="11:12">
      <c r="K1106" s="65"/>
      <c r="L1106" s="65"/>
    </row>
    <row r="1107" spans="11:12">
      <c r="K1107" s="65"/>
      <c r="L1107" s="65"/>
    </row>
    <row r="1108" spans="11:12">
      <c r="K1108" s="65"/>
      <c r="L1108" s="65"/>
    </row>
    <row r="1109" spans="11:12">
      <c r="K1109" s="65"/>
      <c r="L1109" s="65"/>
    </row>
    <row r="1110" spans="11:12">
      <c r="K1110" s="65"/>
      <c r="L1110" s="65"/>
    </row>
    <row r="1111" spans="11:12">
      <c r="K1111" s="65"/>
      <c r="L1111" s="65"/>
    </row>
    <row r="1112" spans="11:12">
      <c r="K1112" s="65"/>
      <c r="L1112" s="65"/>
    </row>
    <row r="1113" spans="11:12">
      <c r="K1113" s="65"/>
      <c r="L1113" s="65"/>
    </row>
    <row r="1114" spans="11:12">
      <c r="K1114" s="65"/>
      <c r="L1114" s="65"/>
    </row>
    <row r="1115" spans="11:12">
      <c r="K1115" s="65"/>
      <c r="L1115" s="65"/>
    </row>
    <row r="1116" spans="11:12">
      <c r="K1116" s="65"/>
      <c r="L1116" s="65"/>
    </row>
    <row r="1117" spans="11:12">
      <c r="K1117" s="65"/>
      <c r="L1117" s="65"/>
    </row>
    <row r="1118" spans="11:12">
      <c r="K1118" s="65"/>
      <c r="L1118" s="65"/>
    </row>
    <row r="1119" spans="11:12">
      <c r="K1119" s="65"/>
      <c r="L1119" s="65"/>
    </row>
    <row r="1120" spans="11:12">
      <c r="K1120" s="65"/>
      <c r="L1120" s="65"/>
    </row>
    <row r="1121" spans="11:12">
      <c r="K1121" s="65"/>
      <c r="L1121" s="65"/>
    </row>
    <row r="1122" spans="11:12">
      <c r="K1122" s="65"/>
      <c r="L1122" s="65"/>
    </row>
    <row r="1123" spans="11:12">
      <c r="K1123" s="65"/>
      <c r="L1123" s="65"/>
    </row>
    <row r="1124" spans="11:12">
      <c r="K1124" s="65"/>
      <c r="L1124" s="65"/>
    </row>
    <row r="1125" spans="11:12">
      <c r="K1125" s="65"/>
      <c r="L1125" s="65"/>
    </row>
    <row r="1126" spans="11:12">
      <c r="K1126" s="65"/>
      <c r="L1126" s="65"/>
    </row>
    <row r="1127" spans="11:12">
      <c r="K1127" s="65"/>
      <c r="L1127" s="65"/>
    </row>
    <row r="1128" spans="11:12">
      <c r="K1128" s="65"/>
      <c r="L1128" s="65"/>
    </row>
    <row r="1129" spans="11:12">
      <c r="K1129" s="65"/>
      <c r="L1129" s="65"/>
    </row>
    <row r="1130" spans="11:12">
      <c r="K1130" s="65"/>
      <c r="L1130" s="65"/>
    </row>
    <row r="1131" spans="11:12">
      <c r="K1131" s="65"/>
      <c r="L1131" s="65"/>
    </row>
    <row r="1132" spans="11:12">
      <c r="K1132" s="65"/>
      <c r="L1132" s="65"/>
    </row>
    <row r="1133" spans="11:12">
      <c r="K1133" s="65"/>
      <c r="L1133" s="65"/>
    </row>
    <row r="1134" spans="11:12">
      <c r="K1134" s="65"/>
      <c r="L1134" s="65"/>
    </row>
    <row r="1135" spans="11:12">
      <c r="K1135" s="65"/>
      <c r="L1135" s="65"/>
    </row>
    <row r="1136" spans="11:12">
      <c r="K1136" s="65"/>
      <c r="L1136" s="65"/>
    </row>
    <row r="1137" spans="11:12">
      <c r="K1137" s="65"/>
      <c r="L1137" s="65"/>
    </row>
    <row r="1138" spans="11:12">
      <c r="K1138" s="65"/>
      <c r="L1138" s="65"/>
    </row>
    <row r="1139" spans="11:12">
      <c r="K1139" s="65"/>
      <c r="L1139" s="65"/>
    </row>
    <row r="1140" spans="11:12">
      <c r="K1140" s="65"/>
      <c r="L1140" s="65"/>
    </row>
    <row r="1141" spans="11:12">
      <c r="K1141" s="65"/>
      <c r="L1141" s="65"/>
    </row>
    <row r="1142" spans="11:12">
      <c r="K1142" s="65"/>
      <c r="L1142" s="65"/>
    </row>
    <row r="1143" spans="11:12">
      <c r="K1143" s="65"/>
      <c r="L1143" s="65"/>
    </row>
    <row r="1144" spans="11:12">
      <c r="K1144" s="65"/>
      <c r="L1144" s="65"/>
    </row>
    <row r="1145" spans="11:12">
      <c r="K1145" s="65"/>
      <c r="L1145" s="65"/>
    </row>
    <row r="1146" spans="11:12">
      <c r="K1146" s="65"/>
      <c r="L1146" s="65"/>
    </row>
    <row r="1147" spans="11:12">
      <c r="K1147" s="65"/>
      <c r="L1147" s="65"/>
    </row>
    <row r="1148" spans="11:12">
      <c r="K1148" s="65"/>
      <c r="L1148" s="65"/>
    </row>
    <row r="1149" spans="11:12">
      <c r="K1149" s="65"/>
      <c r="L1149" s="65"/>
    </row>
    <row r="1150" spans="11:12">
      <c r="K1150" s="65"/>
      <c r="L1150" s="65"/>
    </row>
    <row r="1151" spans="11:12">
      <c r="K1151" s="65"/>
      <c r="L1151" s="65"/>
    </row>
    <row r="1152" spans="11:12">
      <c r="K1152" s="65"/>
      <c r="L1152" s="65"/>
    </row>
    <row r="1153" spans="11:12">
      <c r="K1153" s="65"/>
      <c r="L1153" s="65"/>
    </row>
    <row r="1154" spans="11:12">
      <c r="K1154" s="65"/>
      <c r="L1154" s="65"/>
    </row>
    <row r="1155" spans="11:12">
      <c r="K1155" s="65"/>
      <c r="L1155" s="65"/>
    </row>
    <row r="1156" spans="11:12">
      <c r="K1156" s="65"/>
      <c r="L1156" s="65"/>
    </row>
    <row r="1157" spans="11:12">
      <c r="K1157" s="65"/>
      <c r="L1157" s="65"/>
    </row>
    <row r="1158" spans="11:12">
      <c r="K1158" s="65"/>
      <c r="L1158" s="65"/>
    </row>
    <row r="1159" spans="11:12">
      <c r="K1159" s="65"/>
      <c r="L1159" s="65"/>
    </row>
    <row r="1160" spans="11:12">
      <c r="K1160" s="65"/>
      <c r="L1160" s="65"/>
    </row>
    <row r="1161" spans="11:12">
      <c r="K1161" s="65"/>
      <c r="L1161" s="65"/>
    </row>
    <row r="1162" spans="11:12">
      <c r="K1162" s="65"/>
      <c r="L1162" s="65"/>
    </row>
    <row r="1163" spans="11:12">
      <c r="K1163" s="65"/>
      <c r="L1163" s="65"/>
    </row>
    <row r="1164" spans="11:12">
      <c r="K1164" s="65"/>
      <c r="L1164" s="65"/>
    </row>
    <row r="1165" spans="11:12">
      <c r="K1165" s="65"/>
      <c r="L1165" s="65"/>
    </row>
    <row r="1166" spans="11:12">
      <c r="K1166" s="65"/>
      <c r="L1166" s="65"/>
    </row>
    <row r="1167" spans="11:12">
      <c r="K1167" s="65"/>
      <c r="L1167" s="65"/>
    </row>
    <row r="1168" spans="11:12">
      <c r="K1168" s="65"/>
      <c r="L1168" s="65"/>
    </row>
    <row r="1169" spans="11:12">
      <c r="K1169" s="65"/>
      <c r="L1169" s="65"/>
    </row>
    <row r="1170" spans="11:12">
      <c r="K1170" s="65"/>
      <c r="L1170" s="65"/>
    </row>
    <row r="1171" spans="11:12">
      <c r="K1171" s="65"/>
      <c r="L1171" s="65"/>
    </row>
    <row r="1172" spans="11:12">
      <c r="K1172" s="65"/>
      <c r="L1172" s="65"/>
    </row>
    <row r="1173" spans="11:12">
      <c r="K1173" s="65"/>
      <c r="L1173" s="65"/>
    </row>
    <row r="1174" spans="11:12">
      <c r="K1174" s="65"/>
      <c r="L1174" s="65"/>
    </row>
    <row r="1175" spans="11:12">
      <c r="K1175" s="65"/>
      <c r="L1175" s="65"/>
    </row>
    <row r="1176" spans="11:12">
      <c r="K1176" s="65"/>
      <c r="L1176" s="65"/>
    </row>
    <row r="1177" spans="11:12">
      <c r="K1177" s="65"/>
      <c r="L1177" s="65"/>
    </row>
    <row r="1178" spans="11:12">
      <c r="K1178" s="65"/>
      <c r="L1178" s="65"/>
    </row>
    <row r="1179" spans="11:12">
      <c r="K1179" s="65"/>
      <c r="L1179" s="65"/>
    </row>
    <row r="1180" spans="11:12">
      <c r="K1180" s="65"/>
      <c r="L1180" s="65"/>
    </row>
    <row r="1181" spans="11:12">
      <c r="K1181" s="65"/>
      <c r="L1181" s="65"/>
    </row>
    <row r="1182" spans="11:12">
      <c r="K1182" s="65"/>
      <c r="L1182" s="65"/>
    </row>
    <row r="1183" spans="11:12">
      <c r="K1183" s="65"/>
      <c r="L1183" s="65"/>
    </row>
    <row r="1184" spans="11:12">
      <c r="K1184" s="65"/>
      <c r="L1184" s="65"/>
    </row>
    <row r="1185" spans="11:12">
      <c r="K1185" s="65"/>
      <c r="L1185" s="65"/>
    </row>
    <row r="1186" spans="11:12">
      <c r="K1186" s="65"/>
      <c r="L1186" s="65"/>
    </row>
    <row r="1187" spans="11:12">
      <c r="K1187" s="65"/>
      <c r="L1187" s="65"/>
    </row>
    <row r="1188" spans="11:12">
      <c r="K1188" s="65"/>
      <c r="L1188" s="65"/>
    </row>
    <row r="1189" spans="11:12">
      <c r="K1189" s="65"/>
      <c r="L1189" s="65"/>
    </row>
    <row r="1190" spans="11:12">
      <c r="K1190" s="65"/>
      <c r="L1190" s="65"/>
    </row>
    <row r="1191" spans="11:12">
      <c r="K1191" s="65"/>
      <c r="L1191" s="65"/>
    </row>
    <row r="1192" spans="11:12">
      <c r="K1192" s="65"/>
      <c r="L1192" s="65"/>
    </row>
    <row r="1193" spans="11:12">
      <c r="K1193" s="65"/>
      <c r="L1193" s="65"/>
    </row>
    <row r="1194" spans="11:12">
      <c r="K1194" s="65"/>
      <c r="L1194" s="65"/>
    </row>
    <row r="1195" spans="11:12">
      <c r="K1195" s="65"/>
      <c r="L1195" s="65"/>
    </row>
    <row r="1196" spans="11:12">
      <c r="K1196" s="65"/>
      <c r="L1196" s="65"/>
    </row>
    <row r="1197" spans="11:12">
      <c r="K1197" s="65"/>
      <c r="L1197" s="65"/>
    </row>
    <row r="1198" spans="11:12">
      <c r="K1198" s="65"/>
      <c r="L1198" s="65"/>
    </row>
    <row r="1199" spans="11:12">
      <c r="K1199" s="65"/>
      <c r="L1199" s="65"/>
    </row>
    <row r="1200" spans="11:12">
      <c r="K1200" s="65"/>
      <c r="L1200" s="65"/>
    </row>
    <row r="1201" spans="11:12">
      <c r="K1201" s="65"/>
      <c r="L1201" s="65"/>
    </row>
    <row r="1202" spans="11:12">
      <c r="K1202" s="65"/>
      <c r="L1202" s="65"/>
    </row>
    <row r="1203" spans="11:12">
      <c r="K1203" s="65"/>
      <c r="L1203" s="65"/>
    </row>
    <row r="1204" spans="11:12">
      <c r="K1204" s="65"/>
      <c r="L1204" s="65"/>
    </row>
    <row r="1205" spans="11:12">
      <c r="K1205" s="65"/>
      <c r="L1205" s="65"/>
    </row>
    <row r="1206" spans="11:12">
      <c r="K1206" s="65"/>
      <c r="L1206" s="65"/>
    </row>
    <row r="1207" spans="11:12">
      <c r="K1207" s="65"/>
      <c r="L1207" s="65"/>
    </row>
    <row r="1208" spans="11:12">
      <c r="K1208" s="65"/>
      <c r="L1208" s="65"/>
    </row>
    <row r="1209" spans="11:12">
      <c r="K1209" s="65"/>
      <c r="L1209" s="65"/>
    </row>
    <row r="1210" spans="11:12">
      <c r="K1210" s="65"/>
      <c r="L1210" s="65"/>
    </row>
    <row r="1211" spans="11:12">
      <c r="K1211" s="65"/>
      <c r="L1211" s="65"/>
    </row>
    <row r="1212" spans="11:12">
      <c r="K1212" s="65"/>
      <c r="L1212" s="65"/>
    </row>
    <row r="1213" spans="11:12">
      <c r="K1213" s="65"/>
      <c r="L1213" s="65"/>
    </row>
    <row r="1214" spans="11:12">
      <c r="K1214" s="65"/>
      <c r="L1214" s="65"/>
    </row>
    <row r="1215" spans="11:12">
      <c r="K1215" s="65"/>
      <c r="L1215" s="65"/>
    </row>
    <row r="1216" spans="11:12">
      <c r="K1216" s="65"/>
      <c r="L1216" s="65"/>
    </row>
    <row r="1217" spans="11:12">
      <c r="K1217" s="65"/>
      <c r="L1217" s="65"/>
    </row>
    <row r="1218" spans="11:12">
      <c r="K1218" s="65"/>
      <c r="L1218" s="65"/>
    </row>
    <row r="1219" spans="11:12">
      <c r="K1219" s="65"/>
      <c r="L1219" s="65"/>
    </row>
    <row r="1220" spans="11:12">
      <c r="K1220" s="65"/>
      <c r="L1220" s="65"/>
    </row>
    <row r="1221" spans="11:12">
      <c r="K1221" s="65"/>
      <c r="L1221" s="65"/>
    </row>
    <row r="1222" spans="11:12">
      <c r="K1222" s="65"/>
      <c r="L1222" s="65"/>
    </row>
    <row r="1223" spans="11:12">
      <c r="K1223" s="65"/>
      <c r="L1223" s="65"/>
    </row>
    <row r="1224" spans="11:12">
      <c r="K1224" s="65"/>
      <c r="L1224" s="65"/>
    </row>
    <row r="1225" spans="11:12">
      <c r="K1225" s="65"/>
      <c r="L1225" s="65"/>
    </row>
    <row r="1226" spans="11:12">
      <c r="K1226" s="65"/>
      <c r="L1226" s="65"/>
    </row>
    <row r="1227" spans="11:12">
      <c r="K1227" s="65"/>
      <c r="L1227" s="65"/>
    </row>
    <row r="1228" spans="11:12">
      <c r="K1228" s="65"/>
      <c r="L1228" s="65"/>
    </row>
    <row r="1229" spans="11:12">
      <c r="K1229" s="65"/>
      <c r="L1229" s="65"/>
    </row>
    <row r="1230" spans="11:12">
      <c r="K1230" s="65"/>
      <c r="L1230" s="65"/>
    </row>
    <row r="1231" spans="11:12">
      <c r="K1231" s="65"/>
      <c r="L1231" s="65"/>
    </row>
    <row r="1232" spans="11:12">
      <c r="K1232" s="65"/>
      <c r="L1232" s="65"/>
    </row>
    <row r="1233" spans="11:12">
      <c r="K1233" s="65"/>
      <c r="L1233" s="65"/>
    </row>
    <row r="1234" spans="11:12">
      <c r="K1234" s="65"/>
      <c r="L1234" s="65"/>
    </row>
    <row r="1235" spans="11:12">
      <c r="K1235" s="65"/>
      <c r="L1235" s="65"/>
    </row>
    <row r="1236" spans="11:12">
      <c r="K1236" s="65"/>
      <c r="L1236" s="65"/>
    </row>
    <row r="1237" spans="11:12">
      <c r="K1237" s="65"/>
      <c r="L1237" s="65"/>
    </row>
    <row r="1238" spans="11:12">
      <c r="K1238" s="65"/>
      <c r="L1238" s="65"/>
    </row>
    <row r="1239" spans="11:12">
      <c r="K1239" s="65"/>
      <c r="L1239" s="65"/>
    </row>
    <row r="1240" spans="11:12">
      <c r="K1240" s="65"/>
      <c r="L1240" s="65"/>
    </row>
    <row r="1241" spans="11:12">
      <c r="K1241" s="65"/>
      <c r="L1241" s="65"/>
    </row>
    <row r="1242" spans="11:12">
      <c r="K1242" s="65"/>
      <c r="L1242" s="65"/>
    </row>
    <row r="1243" spans="11:12">
      <c r="K1243" s="65"/>
      <c r="L1243" s="65"/>
    </row>
    <row r="1244" spans="11:12">
      <c r="K1244" s="65"/>
      <c r="L1244" s="65"/>
    </row>
    <row r="1245" spans="11:12">
      <c r="K1245" s="65"/>
      <c r="L1245" s="65"/>
    </row>
    <row r="1246" spans="11:12">
      <c r="K1246" s="65"/>
      <c r="L1246" s="65"/>
    </row>
    <row r="1247" spans="11:12">
      <c r="K1247" s="65"/>
      <c r="L1247" s="65"/>
    </row>
    <row r="1248" spans="11:12">
      <c r="K1248" s="65"/>
      <c r="L1248" s="65"/>
    </row>
    <row r="1249" spans="11:12">
      <c r="K1249" s="65"/>
      <c r="L1249" s="65"/>
    </row>
    <row r="1250" spans="11:12">
      <c r="K1250" s="65"/>
      <c r="L1250" s="65"/>
    </row>
    <row r="1251" spans="11:12">
      <c r="K1251" s="65"/>
      <c r="L1251" s="65"/>
    </row>
    <row r="1252" spans="11:12">
      <c r="K1252" s="65"/>
      <c r="L1252" s="65"/>
    </row>
    <row r="1253" spans="11:12">
      <c r="K1253" s="65"/>
      <c r="L1253" s="65"/>
    </row>
    <row r="1254" spans="11:12">
      <c r="K1254" s="65"/>
      <c r="L1254" s="65"/>
    </row>
    <row r="1255" spans="11:12">
      <c r="K1255" s="65"/>
      <c r="L1255" s="65"/>
    </row>
    <row r="1256" spans="11:12">
      <c r="K1256" s="65"/>
      <c r="L1256" s="65"/>
    </row>
    <row r="1257" spans="11:12">
      <c r="K1257" s="65"/>
      <c r="L1257" s="65"/>
    </row>
    <row r="1258" spans="11:12">
      <c r="K1258" s="65"/>
      <c r="L1258" s="65"/>
    </row>
    <row r="1259" spans="11:12">
      <c r="K1259" s="65"/>
      <c r="L1259" s="65"/>
    </row>
    <row r="1260" spans="11:12">
      <c r="K1260" s="65"/>
      <c r="L1260" s="65"/>
    </row>
    <row r="1261" spans="11:12">
      <c r="K1261" s="65"/>
      <c r="L1261" s="65"/>
    </row>
    <row r="1262" spans="11:12">
      <c r="K1262" s="65"/>
      <c r="L1262" s="65"/>
    </row>
    <row r="1263" spans="11:12">
      <c r="K1263" s="65"/>
      <c r="L1263" s="65"/>
    </row>
    <row r="1264" spans="11:12">
      <c r="K1264" s="65"/>
      <c r="L1264" s="65"/>
    </row>
    <row r="1265" spans="11:12">
      <c r="K1265" s="65"/>
      <c r="L1265" s="65"/>
    </row>
    <row r="1266" spans="11:12">
      <c r="K1266" s="65"/>
      <c r="L1266" s="65"/>
    </row>
    <row r="1267" spans="11:12">
      <c r="K1267" s="65"/>
      <c r="L1267" s="65"/>
    </row>
    <row r="1268" spans="11:12">
      <c r="K1268" s="65"/>
      <c r="L1268" s="65"/>
    </row>
    <row r="1269" spans="11:12">
      <c r="K1269" s="65"/>
      <c r="L1269" s="65"/>
    </row>
    <row r="1270" spans="11:12">
      <c r="K1270" s="65"/>
      <c r="L1270" s="65"/>
    </row>
    <row r="1271" spans="11:12">
      <c r="K1271" s="65"/>
      <c r="L1271" s="65"/>
    </row>
    <row r="1272" spans="11:12">
      <c r="K1272" s="65"/>
      <c r="L1272" s="65"/>
    </row>
    <row r="1273" spans="11:12">
      <c r="K1273" s="65"/>
      <c r="L1273" s="65"/>
    </row>
    <row r="1274" spans="11:12">
      <c r="K1274" s="65"/>
      <c r="L1274" s="65"/>
    </row>
    <row r="1275" spans="11:12">
      <c r="K1275" s="65"/>
      <c r="L1275" s="65"/>
    </row>
    <row r="1276" spans="11:12">
      <c r="K1276" s="65"/>
      <c r="L1276" s="65"/>
    </row>
    <row r="1277" spans="11:12">
      <c r="K1277" s="65"/>
      <c r="L1277" s="65"/>
    </row>
    <row r="1278" spans="11:12">
      <c r="K1278" s="65"/>
      <c r="L1278" s="65"/>
    </row>
    <row r="1279" spans="11:12">
      <c r="K1279" s="65"/>
      <c r="L1279" s="65"/>
    </row>
    <row r="1280" spans="11:12">
      <c r="K1280" s="65"/>
      <c r="L1280" s="65"/>
    </row>
    <row r="1281" spans="11:12">
      <c r="K1281" s="65"/>
      <c r="L1281" s="65"/>
    </row>
    <row r="1282" spans="11:12">
      <c r="K1282" s="65"/>
      <c r="L1282" s="65"/>
    </row>
    <row r="1283" spans="11:12">
      <c r="K1283" s="65"/>
      <c r="L1283" s="65"/>
    </row>
    <row r="1284" spans="11:12">
      <c r="K1284" s="65"/>
      <c r="L1284" s="65"/>
    </row>
    <row r="1285" spans="11:12">
      <c r="K1285" s="65"/>
      <c r="L1285" s="65"/>
    </row>
    <row r="1286" spans="11:12">
      <c r="K1286" s="65"/>
      <c r="L1286" s="65"/>
    </row>
    <row r="1287" spans="11:12">
      <c r="K1287" s="65"/>
      <c r="L1287" s="65"/>
    </row>
    <row r="1288" spans="11:12">
      <c r="K1288" s="65"/>
      <c r="L1288" s="65"/>
    </row>
    <row r="1289" spans="11:12">
      <c r="K1289" s="65"/>
      <c r="L1289" s="65"/>
    </row>
    <row r="1290" spans="11:12">
      <c r="K1290" s="65"/>
      <c r="L1290" s="65"/>
    </row>
    <row r="1291" spans="11:12">
      <c r="K1291" s="65"/>
      <c r="L1291" s="65"/>
    </row>
    <row r="1292" spans="11:12">
      <c r="K1292" s="65"/>
      <c r="L1292" s="65"/>
    </row>
    <row r="1293" spans="11:12">
      <c r="K1293" s="65"/>
      <c r="L1293" s="65"/>
    </row>
    <row r="1294" spans="11:12">
      <c r="K1294" s="65"/>
      <c r="L1294" s="65"/>
    </row>
    <row r="1295" spans="11:12">
      <c r="K1295" s="65"/>
      <c r="L1295" s="65"/>
    </row>
    <row r="1296" spans="11:12">
      <c r="K1296" s="65"/>
      <c r="L1296" s="65"/>
    </row>
    <row r="1297" spans="11:12">
      <c r="K1297" s="65"/>
      <c r="L1297" s="65"/>
    </row>
    <row r="1298" spans="11:12">
      <c r="K1298" s="65"/>
      <c r="L1298" s="65"/>
    </row>
    <row r="1299" spans="11:12">
      <c r="K1299" s="65"/>
      <c r="L1299" s="65"/>
    </row>
    <row r="1300" spans="11:12">
      <c r="K1300" s="65"/>
      <c r="L1300" s="65"/>
    </row>
    <row r="1301" spans="11:12">
      <c r="K1301" s="65"/>
      <c r="L1301" s="65"/>
    </row>
    <row r="1302" spans="11:12">
      <c r="K1302" s="65"/>
      <c r="L1302" s="65"/>
    </row>
    <row r="1303" spans="11:12">
      <c r="K1303" s="65"/>
      <c r="L1303" s="65"/>
    </row>
    <row r="1304" spans="11:12">
      <c r="K1304" s="65"/>
      <c r="L1304" s="65"/>
    </row>
    <row r="1305" spans="11:12">
      <c r="K1305" s="65"/>
      <c r="L1305" s="65"/>
    </row>
    <row r="1306" spans="11:12">
      <c r="K1306" s="65"/>
      <c r="L1306" s="65"/>
    </row>
    <row r="1307" spans="11:12">
      <c r="K1307" s="65"/>
      <c r="L1307" s="65"/>
    </row>
    <row r="1308" spans="11:12">
      <c r="K1308" s="65"/>
      <c r="L1308" s="65"/>
    </row>
    <row r="1309" spans="11:12">
      <c r="K1309" s="65"/>
      <c r="L1309" s="65"/>
    </row>
    <row r="1310" spans="11:12">
      <c r="K1310" s="65"/>
      <c r="L1310" s="65"/>
    </row>
    <row r="1311" spans="11:12">
      <c r="K1311" s="65"/>
      <c r="L1311" s="65"/>
    </row>
    <row r="1312" spans="11:12">
      <c r="K1312" s="65"/>
      <c r="L1312" s="65"/>
    </row>
    <row r="1313" spans="11:12">
      <c r="K1313" s="65"/>
      <c r="L1313" s="65"/>
    </row>
    <row r="1314" spans="11:12">
      <c r="K1314" s="65"/>
      <c r="L1314" s="65"/>
    </row>
    <row r="1315" spans="11:12">
      <c r="K1315" s="65"/>
      <c r="L1315" s="65"/>
    </row>
    <row r="1316" spans="11:12">
      <c r="K1316" s="65"/>
      <c r="L1316" s="65"/>
    </row>
    <row r="1317" spans="11:12">
      <c r="K1317" s="65"/>
      <c r="L1317" s="65"/>
    </row>
    <row r="1318" spans="11:12">
      <c r="K1318" s="65"/>
      <c r="L1318" s="65"/>
    </row>
    <row r="1319" spans="11:12">
      <c r="K1319" s="65"/>
      <c r="L1319" s="65"/>
    </row>
    <row r="1320" spans="11:12">
      <c r="K1320" s="65"/>
      <c r="L1320" s="65"/>
    </row>
    <row r="1321" spans="11:12">
      <c r="K1321" s="65"/>
      <c r="L1321" s="65"/>
    </row>
    <row r="1322" spans="11:12">
      <c r="K1322" s="65"/>
      <c r="L1322" s="65"/>
    </row>
    <row r="1323" spans="11:12">
      <c r="K1323" s="65"/>
      <c r="L1323" s="65"/>
    </row>
    <row r="1324" spans="11:12">
      <c r="K1324" s="65"/>
      <c r="L1324" s="65"/>
    </row>
    <row r="1325" spans="11:12">
      <c r="K1325" s="65"/>
      <c r="L1325" s="65"/>
    </row>
    <row r="1326" spans="11:12">
      <c r="K1326" s="65"/>
      <c r="L1326" s="65"/>
    </row>
    <row r="1327" spans="11:12">
      <c r="K1327" s="65"/>
      <c r="L1327" s="65"/>
    </row>
    <row r="1328" spans="11:12">
      <c r="K1328" s="65"/>
      <c r="L1328" s="65"/>
    </row>
    <row r="1329" spans="11:12">
      <c r="K1329" s="65"/>
      <c r="L1329" s="65"/>
    </row>
    <row r="1330" spans="11:12">
      <c r="K1330" s="65"/>
      <c r="L1330" s="65"/>
    </row>
    <row r="1331" spans="11:12">
      <c r="K1331" s="65"/>
      <c r="L1331" s="65"/>
    </row>
    <row r="1332" spans="11:12">
      <c r="K1332" s="65"/>
      <c r="L1332" s="65"/>
    </row>
    <row r="1333" spans="11:12">
      <c r="K1333" s="65"/>
      <c r="L1333" s="65"/>
    </row>
    <row r="1334" spans="11:12">
      <c r="K1334" s="65"/>
      <c r="L1334" s="65"/>
    </row>
    <row r="1335" spans="11:12">
      <c r="K1335" s="65"/>
      <c r="L1335" s="65"/>
    </row>
    <row r="1336" spans="11:12">
      <c r="K1336" s="65"/>
      <c r="L1336" s="65"/>
    </row>
    <row r="1337" spans="11:12">
      <c r="K1337" s="65"/>
      <c r="L1337" s="65"/>
    </row>
    <row r="1338" spans="11:12">
      <c r="K1338" s="65"/>
      <c r="L1338" s="65"/>
    </row>
    <row r="1339" spans="11:12">
      <c r="K1339" s="65"/>
      <c r="L1339" s="65"/>
    </row>
    <row r="1340" spans="11:12">
      <c r="K1340" s="65"/>
      <c r="L1340" s="65"/>
    </row>
    <row r="1341" spans="11:12">
      <c r="K1341" s="65"/>
      <c r="L1341" s="65"/>
    </row>
    <row r="1342" spans="11:12">
      <c r="K1342" s="65"/>
      <c r="L1342" s="65"/>
    </row>
    <row r="1343" spans="11:12">
      <c r="K1343" s="65"/>
      <c r="L1343" s="65"/>
    </row>
    <row r="1344" spans="11:12">
      <c r="K1344" s="65"/>
      <c r="L1344" s="65"/>
    </row>
    <row r="1345" spans="11:12">
      <c r="K1345" s="65"/>
      <c r="L1345" s="65"/>
    </row>
    <row r="1346" spans="11:12">
      <c r="K1346" s="65"/>
      <c r="L1346" s="65"/>
    </row>
    <row r="1347" spans="11:12">
      <c r="K1347" s="65"/>
      <c r="L1347" s="65"/>
    </row>
    <row r="1348" spans="11:12">
      <c r="K1348" s="65"/>
      <c r="L1348" s="65"/>
    </row>
    <row r="1349" spans="11:12">
      <c r="K1349" s="65"/>
      <c r="L1349" s="65"/>
    </row>
    <row r="1350" spans="11:12">
      <c r="K1350" s="65"/>
      <c r="L1350" s="65"/>
    </row>
    <row r="1351" spans="11:12">
      <c r="K1351" s="65"/>
      <c r="L1351" s="65"/>
    </row>
    <row r="1352" spans="11:12">
      <c r="K1352" s="65"/>
      <c r="L1352" s="65"/>
    </row>
    <row r="1353" spans="11:12">
      <c r="K1353" s="65"/>
      <c r="L1353" s="65"/>
    </row>
    <row r="1354" spans="11:12">
      <c r="K1354" s="65"/>
      <c r="L1354" s="65"/>
    </row>
    <row r="1355" spans="11:12">
      <c r="K1355" s="65"/>
      <c r="L1355" s="65"/>
    </row>
    <row r="1356" spans="11:12">
      <c r="K1356" s="65"/>
      <c r="L1356" s="65"/>
    </row>
    <row r="1357" spans="11:12">
      <c r="K1357" s="65"/>
      <c r="L1357" s="65"/>
    </row>
    <row r="1358" spans="11:12">
      <c r="K1358" s="65"/>
      <c r="L1358" s="65"/>
    </row>
    <row r="1359" spans="11:12">
      <c r="K1359" s="65"/>
      <c r="L1359" s="65"/>
    </row>
    <row r="1360" spans="11:12">
      <c r="K1360" s="65"/>
      <c r="L1360" s="65"/>
    </row>
    <row r="1361" spans="11:12">
      <c r="K1361" s="65"/>
      <c r="L1361" s="65"/>
    </row>
    <row r="1362" spans="11:12">
      <c r="K1362" s="65"/>
      <c r="L1362" s="65"/>
    </row>
    <row r="1363" spans="11:12">
      <c r="K1363" s="65"/>
      <c r="L1363" s="65"/>
    </row>
    <row r="1364" spans="11:12">
      <c r="K1364" s="65"/>
      <c r="L1364" s="65"/>
    </row>
    <row r="1365" spans="11:12">
      <c r="K1365" s="65"/>
      <c r="L1365" s="65"/>
    </row>
    <row r="1366" spans="11:12">
      <c r="K1366" s="65"/>
      <c r="L1366" s="65"/>
    </row>
    <row r="1367" spans="11:12">
      <c r="K1367" s="65"/>
      <c r="L1367" s="65"/>
    </row>
    <row r="1368" spans="11:12">
      <c r="K1368" s="65"/>
      <c r="L1368" s="65"/>
    </row>
    <row r="1369" spans="11:12">
      <c r="K1369" s="65"/>
      <c r="L1369" s="65"/>
    </row>
    <row r="1370" spans="11:12">
      <c r="K1370" s="65"/>
      <c r="L1370" s="65"/>
    </row>
    <row r="1371" spans="11:12">
      <c r="K1371" s="65"/>
      <c r="L1371" s="65"/>
    </row>
    <row r="1372" spans="11:12">
      <c r="K1372" s="65"/>
      <c r="L1372" s="65"/>
    </row>
    <row r="1373" spans="11:12">
      <c r="K1373" s="65"/>
      <c r="L1373" s="65"/>
    </row>
    <row r="1374" spans="11:12">
      <c r="K1374" s="65"/>
      <c r="L1374" s="65"/>
    </row>
    <row r="1375" spans="11:12">
      <c r="K1375" s="65"/>
      <c r="L1375" s="65"/>
    </row>
    <row r="1376" spans="11:12">
      <c r="K1376" s="65"/>
      <c r="L1376" s="65"/>
    </row>
    <row r="1377" spans="11:12">
      <c r="K1377" s="65"/>
      <c r="L1377" s="65"/>
    </row>
    <row r="1378" spans="11:12">
      <c r="K1378" s="65"/>
      <c r="L1378" s="65"/>
    </row>
    <row r="1379" spans="11:12">
      <c r="K1379" s="65"/>
      <c r="L1379" s="65"/>
    </row>
    <row r="1380" spans="11:12">
      <c r="K1380" s="65"/>
      <c r="L1380" s="65"/>
    </row>
    <row r="1381" spans="11:12">
      <c r="K1381" s="65"/>
      <c r="L1381" s="65"/>
    </row>
    <row r="1382" spans="11:12">
      <c r="K1382" s="65"/>
      <c r="L1382" s="65"/>
    </row>
    <row r="1383" spans="11:12">
      <c r="K1383" s="65"/>
      <c r="L1383" s="65"/>
    </row>
    <row r="1384" spans="11:12">
      <c r="K1384" s="65"/>
      <c r="L1384" s="65"/>
    </row>
    <row r="1385" spans="11:12">
      <c r="K1385" s="65"/>
      <c r="L1385" s="65"/>
    </row>
    <row r="1386" spans="11:12">
      <c r="K1386" s="65"/>
      <c r="L1386" s="65"/>
    </row>
    <row r="1387" spans="11:12">
      <c r="K1387" s="65"/>
      <c r="L1387" s="65"/>
    </row>
    <row r="1388" spans="11:12">
      <c r="K1388" s="65"/>
      <c r="L1388" s="65"/>
    </row>
    <row r="1389" spans="11:12">
      <c r="K1389" s="65"/>
      <c r="L1389" s="65"/>
    </row>
    <row r="1390" spans="11:12">
      <c r="K1390" s="65"/>
      <c r="L1390" s="65"/>
    </row>
    <row r="1391" spans="11:12">
      <c r="K1391" s="65"/>
      <c r="L1391" s="65"/>
    </row>
    <row r="1392" spans="11:12">
      <c r="K1392" s="65"/>
      <c r="L1392" s="65"/>
    </row>
    <row r="1393" spans="11:12">
      <c r="K1393" s="65"/>
      <c r="L1393" s="65"/>
    </row>
    <row r="1394" spans="11:12">
      <c r="K1394" s="65"/>
      <c r="L1394" s="65"/>
    </row>
    <row r="1395" spans="11:12">
      <c r="K1395" s="65"/>
      <c r="L1395" s="65"/>
    </row>
    <row r="1396" spans="11:12">
      <c r="K1396" s="65"/>
      <c r="L1396" s="65"/>
    </row>
    <row r="1397" spans="11:12">
      <c r="K1397" s="65"/>
      <c r="L1397" s="65"/>
    </row>
    <row r="1398" spans="11:12">
      <c r="K1398" s="65"/>
      <c r="L1398" s="65"/>
    </row>
    <row r="1399" spans="11:12">
      <c r="K1399" s="65"/>
      <c r="L1399" s="65"/>
    </row>
    <row r="1400" spans="11:12">
      <c r="K1400" s="65"/>
      <c r="L1400" s="65"/>
    </row>
    <row r="1401" spans="11:12">
      <c r="K1401" s="65"/>
      <c r="L1401" s="65"/>
    </row>
    <row r="1402" spans="11:12">
      <c r="K1402" s="65"/>
      <c r="L1402" s="65"/>
    </row>
    <row r="1403" spans="11:12">
      <c r="K1403" s="65"/>
      <c r="L1403" s="65"/>
    </row>
    <row r="1404" spans="11:12">
      <c r="K1404" s="65"/>
      <c r="L1404" s="65"/>
    </row>
    <row r="1405" spans="11:12">
      <c r="K1405" s="65"/>
      <c r="L1405" s="65"/>
    </row>
    <row r="1406" spans="11:12">
      <c r="K1406" s="65"/>
      <c r="L1406" s="65"/>
    </row>
    <row r="1407" spans="11:12">
      <c r="K1407" s="65"/>
      <c r="L1407" s="65"/>
    </row>
    <row r="1408" spans="11:12">
      <c r="K1408" s="65"/>
      <c r="L1408" s="65"/>
    </row>
    <row r="1409" spans="11:12">
      <c r="K1409" s="65"/>
      <c r="L1409" s="65"/>
    </row>
    <row r="1410" spans="11:12">
      <c r="K1410" s="65"/>
      <c r="L1410" s="65"/>
    </row>
    <row r="1411" spans="11:12">
      <c r="K1411" s="65"/>
      <c r="L1411" s="65"/>
    </row>
    <row r="1412" spans="11:12">
      <c r="K1412" s="65"/>
      <c r="L1412" s="65"/>
    </row>
    <row r="1413" spans="11:12">
      <c r="K1413" s="65"/>
      <c r="L1413" s="65"/>
    </row>
    <row r="1414" spans="11:12">
      <c r="K1414" s="65"/>
      <c r="L1414" s="65"/>
    </row>
    <row r="1415" spans="11:12">
      <c r="K1415" s="65"/>
      <c r="L1415" s="65"/>
    </row>
    <row r="1416" spans="11:12">
      <c r="K1416" s="65"/>
      <c r="L1416" s="65"/>
    </row>
    <row r="1417" spans="11:12">
      <c r="K1417" s="65"/>
      <c r="L1417" s="65"/>
    </row>
    <row r="1418" spans="11:12">
      <c r="K1418" s="65"/>
      <c r="L1418" s="65"/>
    </row>
    <row r="1419" spans="11:12">
      <c r="K1419" s="65"/>
      <c r="L1419" s="65"/>
    </row>
    <row r="1420" spans="11:12">
      <c r="K1420" s="65"/>
      <c r="L1420" s="65"/>
    </row>
    <row r="1421" spans="11:12">
      <c r="K1421" s="65"/>
      <c r="L1421" s="65"/>
    </row>
    <row r="1422" spans="11:12">
      <c r="K1422" s="65"/>
      <c r="L1422" s="65"/>
    </row>
    <row r="1423" spans="11:12">
      <c r="K1423" s="65"/>
      <c r="L1423" s="65"/>
    </row>
    <row r="1424" spans="11:12">
      <c r="K1424" s="65"/>
      <c r="L1424" s="65"/>
    </row>
    <row r="1425" spans="11:12">
      <c r="K1425" s="65"/>
      <c r="L1425" s="65"/>
    </row>
    <row r="1426" spans="11:12">
      <c r="K1426" s="65"/>
      <c r="L1426" s="65"/>
    </row>
    <row r="1427" spans="11:12">
      <c r="K1427" s="65"/>
      <c r="L1427" s="65"/>
    </row>
    <row r="1428" spans="11:12">
      <c r="K1428" s="65"/>
      <c r="L1428" s="65"/>
    </row>
    <row r="1429" spans="11:12">
      <c r="K1429" s="65"/>
      <c r="L1429" s="65"/>
    </row>
    <row r="1430" spans="11:12">
      <c r="K1430" s="65"/>
      <c r="L1430" s="65"/>
    </row>
    <row r="1431" spans="11:12">
      <c r="K1431" s="65"/>
      <c r="L1431" s="65"/>
    </row>
    <row r="1432" spans="11:12">
      <c r="K1432" s="65"/>
      <c r="L1432" s="65"/>
    </row>
    <row r="1433" spans="11:12">
      <c r="K1433" s="65"/>
      <c r="L1433" s="65"/>
    </row>
    <row r="1434" spans="11:12">
      <c r="K1434" s="65"/>
      <c r="L1434" s="65"/>
    </row>
    <row r="1435" spans="11:12">
      <c r="K1435" s="65"/>
      <c r="L1435" s="65"/>
    </row>
    <row r="1436" spans="11:12">
      <c r="K1436" s="65"/>
      <c r="L1436" s="65"/>
    </row>
    <row r="1437" spans="11:12">
      <c r="K1437" s="65"/>
      <c r="L1437" s="65"/>
    </row>
    <row r="1438" spans="11:12">
      <c r="K1438" s="65"/>
      <c r="L1438" s="65"/>
    </row>
    <row r="1439" spans="11:12">
      <c r="K1439" s="65"/>
      <c r="L1439" s="65"/>
    </row>
    <row r="1440" spans="11:12">
      <c r="K1440" s="65"/>
      <c r="L1440" s="65"/>
    </row>
    <row r="1441" spans="11:12">
      <c r="K1441" s="65"/>
      <c r="L1441" s="65"/>
    </row>
    <row r="1442" spans="11:12">
      <c r="K1442" s="65"/>
      <c r="L1442" s="65"/>
    </row>
    <row r="1443" spans="11:12">
      <c r="K1443" s="65"/>
      <c r="L1443" s="65"/>
    </row>
    <row r="1444" spans="11:12">
      <c r="K1444" s="65"/>
      <c r="L1444" s="65"/>
    </row>
    <row r="1445" spans="11:12">
      <c r="K1445" s="65"/>
      <c r="L1445" s="65"/>
    </row>
    <row r="1446" spans="11:12">
      <c r="K1446" s="65"/>
      <c r="L1446" s="65"/>
    </row>
    <row r="1447" spans="11:12">
      <c r="K1447" s="65"/>
      <c r="L1447" s="65"/>
    </row>
    <row r="1448" spans="11:12">
      <c r="K1448" s="65"/>
      <c r="L1448" s="65"/>
    </row>
    <row r="1449" spans="11:12">
      <c r="K1449" s="65"/>
      <c r="L1449" s="65"/>
    </row>
    <row r="1450" spans="11:12">
      <c r="K1450" s="65"/>
      <c r="L1450" s="65"/>
    </row>
    <row r="1451" spans="11:12">
      <c r="K1451" s="65"/>
      <c r="L1451" s="65"/>
    </row>
    <row r="1452" spans="11:12">
      <c r="K1452" s="65"/>
      <c r="L1452" s="65"/>
    </row>
    <row r="1453" spans="11:12">
      <c r="K1453" s="65"/>
      <c r="L1453" s="65"/>
    </row>
    <row r="1454" spans="11:12">
      <c r="K1454" s="65"/>
      <c r="L1454" s="65"/>
    </row>
    <row r="1455" spans="11:12">
      <c r="K1455" s="65"/>
      <c r="L1455" s="65"/>
    </row>
    <row r="1456" spans="11:12">
      <c r="K1456" s="65"/>
      <c r="L1456" s="65"/>
    </row>
    <row r="1457" spans="11:12">
      <c r="K1457" s="65"/>
      <c r="L1457" s="65"/>
    </row>
    <row r="1458" spans="11:12">
      <c r="K1458" s="65"/>
      <c r="L1458" s="65"/>
    </row>
    <row r="1459" spans="11:12">
      <c r="K1459" s="65"/>
      <c r="L1459" s="65"/>
    </row>
    <row r="1460" spans="11:12">
      <c r="K1460" s="65"/>
      <c r="L1460" s="65"/>
    </row>
    <row r="1461" spans="11:12">
      <c r="K1461" s="65"/>
      <c r="L1461" s="65"/>
    </row>
    <row r="1462" spans="11:12">
      <c r="K1462" s="65"/>
      <c r="L1462" s="65"/>
    </row>
    <row r="1463" spans="11:12">
      <c r="K1463" s="65"/>
      <c r="L1463" s="65"/>
    </row>
    <row r="1464" spans="11:12">
      <c r="K1464" s="65"/>
      <c r="L1464" s="65"/>
    </row>
    <row r="1465" spans="11:12">
      <c r="K1465" s="65"/>
      <c r="L1465" s="65"/>
    </row>
    <row r="1466" spans="11:12">
      <c r="K1466" s="65"/>
      <c r="L1466" s="65"/>
    </row>
    <row r="1467" spans="11:12">
      <c r="K1467" s="65"/>
      <c r="L1467" s="65"/>
    </row>
    <row r="1468" spans="11:12">
      <c r="K1468" s="65"/>
      <c r="L1468" s="65"/>
    </row>
    <row r="1469" spans="11:12">
      <c r="K1469" s="65"/>
      <c r="L1469" s="65"/>
    </row>
    <row r="1470" spans="11:12">
      <c r="K1470" s="65"/>
      <c r="L1470" s="65"/>
    </row>
    <row r="1471" spans="11:12">
      <c r="K1471" s="65"/>
      <c r="L1471" s="65"/>
    </row>
    <row r="1472" spans="11:12">
      <c r="K1472" s="65"/>
      <c r="L1472" s="65"/>
    </row>
    <row r="1473" spans="11:12">
      <c r="K1473" s="65"/>
      <c r="L1473" s="65"/>
    </row>
    <row r="1474" spans="11:12">
      <c r="K1474" s="65"/>
      <c r="L1474" s="65"/>
    </row>
    <row r="1475" spans="11:12">
      <c r="K1475" s="65"/>
      <c r="L1475" s="65"/>
    </row>
    <row r="1476" spans="11:12">
      <c r="K1476" s="65"/>
      <c r="L1476" s="65"/>
    </row>
    <row r="1477" spans="11:12">
      <c r="K1477" s="65"/>
      <c r="L1477" s="65"/>
    </row>
    <row r="1478" spans="11:12">
      <c r="K1478" s="65"/>
      <c r="L1478" s="65"/>
    </row>
    <row r="1479" spans="11:12">
      <c r="K1479" s="65"/>
      <c r="L1479" s="65"/>
    </row>
    <row r="1480" spans="11:12">
      <c r="K1480" s="65"/>
      <c r="L1480" s="65"/>
    </row>
    <row r="1481" spans="11:12">
      <c r="K1481" s="65"/>
      <c r="L1481" s="65"/>
    </row>
    <row r="1482" spans="11:12">
      <c r="K1482" s="65"/>
      <c r="L1482" s="65"/>
    </row>
    <row r="1483" spans="11:12">
      <c r="K1483" s="65"/>
      <c r="L1483" s="65"/>
    </row>
    <row r="1484" spans="11:12">
      <c r="K1484" s="65"/>
      <c r="L1484" s="65"/>
    </row>
    <row r="1485" spans="11:12">
      <c r="K1485" s="65"/>
      <c r="L1485" s="65"/>
    </row>
    <row r="1486" spans="11:12">
      <c r="K1486" s="65"/>
      <c r="L1486" s="65"/>
    </row>
    <row r="1487" spans="11:12">
      <c r="K1487" s="65"/>
      <c r="L1487" s="65"/>
    </row>
    <row r="1488" spans="11:12">
      <c r="K1488" s="65"/>
      <c r="L1488" s="65"/>
    </row>
    <row r="1489" spans="11:12">
      <c r="K1489" s="65"/>
      <c r="L1489" s="65"/>
    </row>
    <row r="1490" spans="11:12">
      <c r="K1490" s="65"/>
      <c r="L1490" s="65"/>
    </row>
    <row r="1491" spans="11:12">
      <c r="K1491" s="65"/>
      <c r="L1491" s="65"/>
    </row>
    <row r="1492" spans="11:12">
      <c r="K1492" s="65"/>
      <c r="L1492" s="65"/>
    </row>
    <row r="1493" spans="11:12">
      <c r="K1493" s="65"/>
      <c r="L1493" s="65"/>
    </row>
    <row r="1494" spans="11:12">
      <c r="K1494" s="65"/>
      <c r="L1494" s="65"/>
    </row>
    <row r="1495" spans="11:12">
      <c r="K1495" s="65"/>
      <c r="L1495" s="65"/>
    </row>
    <row r="1496" spans="11:12">
      <c r="K1496" s="65"/>
      <c r="L1496" s="65"/>
    </row>
    <row r="1497" spans="11:12">
      <c r="K1497" s="65"/>
      <c r="L1497" s="65"/>
    </row>
    <row r="1498" spans="11:12">
      <c r="K1498" s="65"/>
      <c r="L1498" s="65"/>
    </row>
    <row r="1499" spans="11:12">
      <c r="K1499" s="65"/>
      <c r="L1499" s="65"/>
    </row>
    <row r="1500" spans="11:12">
      <c r="K1500" s="65"/>
      <c r="L1500" s="65"/>
    </row>
    <row r="1501" spans="11:12">
      <c r="K1501" s="65"/>
      <c r="L1501" s="65"/>
    </row>
    <row r="1502" spans="11:12">
      <c r="K1502" s="65"/>
      <c r="L1502" s="65"/>
    </row>
    <row r="1503" spans="11:12">
      <c r="K1503" s="65"/>
      <c r="L1503" s="65"/>
    </row>
    <row r="1504" spans="11:12">
      <c r="K1504" s="65"/>
      <c r="L1504" s="65"/>
    </row>
    <row r="1505" spans="11:12">
      <c r="K1505" s="65"/>
      <c r="L1505" s="65"/>
    </row>
    <row r="1506" spans="11:12">
      <c r="K1506" s="65"/>
      <c r="L1506" s="65"/>
    </row>
    <row r="1507" spans="11:12">
      <c r="K1507" s="65"/>
      <c r="L1507" s="65"/>
    </row>
    <row r="1508" spans="11:12">
      <c r="K1508" s="65"/>
      <c r="L1508" s="65"/>
    </row>
    <row r="1509" spans="11:12">
      <c r="K1509" s="65"/>
      <c r="L1509" s="65"/>
    </row>
    <row r="1510" spans="11:12">
      <c r="K1510" s="65"/>
      <c r="L1510" s="65"/>
    </row>
    <row r="1511" spans="11:12">
      <c r="K1511" s="65"/>
      <c r="L1511" s="65"/>
    </row>
    <row r="1512" spans="11:12">
      <c r="K1512" s="65"/>
      <c r="L1512" s="65"/>
    </row>
    <row r="1513" spans="11:12">
      <c r="K1513" s="65"/>
      <c r="L1513" s="65"/>
    </row>
    <row r="1514" spans="11:12">
      <c r="K1514" s="65"/>
      <c r="L1514" s="65"/>
    </row>
    <row r="1515" spans="11:12">
      <c r="K1515" s="65"/>
      <c r="L1515" s="65"/>
    </row>
    <row r="1516" spans="11:12">
      <c r="K1516" s="65"/>
      <c r="L1516" s="65"/>
    </row>
    <row r="1517" spans="11:12">
      <c r="K1517" s="65"/>
      <c r="L1517" s="65"/>
    </row>
    <row r="1518" spans="11:12">
      <c r="K1518" s="65"/>
      <c r="L1518" s="65"/>
    </row>
    <row r="1519" spans="11:12">
      <c r="K1519" s="65"/>
      <c r="L1519" s="65"/>
    </row>
    <row r="1520" spans="11:12">
      <c r="K1520" s="65"/>
      <c r="L1520" s="65"/>
    </row>
    <row r="1521" spans="11:12">
      <c r="K1521" s="65"/>
      <c r="L1521" s="65"/>
    </row>
    <row r="1522" spans="11:12">
      <c r="K1522" s="65"/>
      <c r="L1522" s="65"/>
    </row>
    <row r="1523" spans="11:12">
      <c r="K1523" s="65"/>
      <c r="L1523" s="65"/>
    </row>
    <row r="1524" spans="11:12">
      <c r="K1524" s="65"/>
      <c r="L1524" s="65"/>
    </row>
    <row r="1525" spans="11:12">
      <c r="K1525" s="65"/>
      <c r="L1525" s="65"/>
    </row>
    <row r="1526" spans="11:12">
      <c r="K1526" s="65"/>
      <c r="L1526" s="65"/>
    </row>
    <row r="1527" spans="11:12">
      <c r="K1527" s="65"/>
      <c r="L1527" s="65"/>
    </row>
    <row r="1528" spans="11:12">
      <c r="K1528" s="65"/>
      <c r="L1528" s="65"/>
    </row>
    <row r="1529" spans="11:12">
      <c r="K1529" s="65"/>
      <c r="L1529" s="65"/>
    </row>
    <row r="1530" spans="11:12">
      <c r="K1530" s="65"/>
      <c r="L1530" s="65"/>
    </row>
    <row r="1531" spans="11:12">
      <c r="K1531" s="65"/>
      <c r="L1531" s="65"/>
    </row>
    <row r="1532" spans="11:12">
      <c r="K1532" s="65"/>
      <c r="L1532" s="65"/>
    </row>
    <row r="1533" spans="11:12">
      <c r="K1533" s="65"/>
      <c r="L1533" s="65"/>
    </row>
    <row r="1534" spans="11:12">
      <c r="K1534" s="65"/>
      <c r="L1534" s="65"/>
    </row>
    <row r="1535" spans="11:12">
      <c r="K1535" s="65"/>
      <c r="L1535" s="65"/>
    </row>
    <row r="1536" spans="11:12">
      <c r="K1536" s="65"/>
      <c r="L1536" s="65"/>
    </row>
    <row r="1537" spans="11:12">
      <c r="K1537" s="65"/>
      <c r="L1537" s="65"/>
    </row>
    <row r="1538" spans="11:12">
      <c r="K1538" s="65"/>
      <c r="L1538" s="65"/>
    </row>
    <row r="1539" spans="11:12">
      <c r="K1539" s="65"/>
      <c r="L1539" s="65"/>
    </row>
    <row r="1540" spans="11:12">
      <c r="K1540" s="65"/>
      <c r="L1540" s="65"/>
    </row>
    <row r="1541" spans="11:12">
      <c r="K1541" s="65"/>
      <c r="L1541" s="65"/>
    </row>
    <row r="1542" spans="11:12">
      <c r="K1542" s="65"/>
      <c r="L1542" s="65"/>
    </row>
    <row r="1543" spans="11:12">
      <c r="K1543" s="65"/>
      <c r="L1543" s="65"/>
    </row>
    <row r="1544" spans="11:12">
      <c r="K1544" s="65"/>
      <c r="L1544" s="65"/>
    </row>
    <row r="1545" spans="11:12">
      <c r="K1545" s="65"/>
      <c r="L1545" s="65"/>
    </row>
    <row r="1546" spans="11:12">
      <c r="K1546" s="65"/>
      <c r="L1546" s="65"/>
    </row>
    <row r="1547" spans="11:12">
      <c r="K1547" s="65"/>
      <c r="L1547" s="65"/>
    </row>
    <row r="1548" spans="11:12">
      <c r="K1548" s="65"/>
      <c r="L1548" s="65"/>
    </row>
    <row r="1549" spans="11:12">
      <c r="K1549" s="65"/>
      <c r="L1549" s="65"/>
    </row>
    <row r="1550" spans="11:12">
      <c r="K1550" s="65"/>
      <c r="L1550" s="65"/>
    </row>
    <row r="1551" spans="11:12">
      <c r="K1551" s="65"/>
      <c r="L1551" s="65"/>
    </row>
    <row r="1552" spans="11:12">
      <c r="K1552" s="65"/>
      <c r="L1552" s="65"/>
    </row>
    <row r="1553" spans="11:12">
      <c r="K1553" s="65"/>
      <c r="L1553" s="65"/>
    </row>
    <row r="1554" spans="11:12">
      <c r="K1554" s="65"/>
      <c r="L1554" s="65"/>
    </row>
    <row r="1555" spans="11:12">
      <c r="K1555" s="65"/>
      <c r="L1555" s="65"/>
    </row>
    <row r="1556" spans="11:12">
      <c r="K1556" s="65"/>
      <c r="L1556" s="65"/>
    </row>
    <row r="1557" spans="11:12">
      <c r="K1557" s="65"/>
      <c r="L1557" s="65"/>
    </row>
    <row r="1558" spans="11:12">
      <c r="K1558" s="65"/>
      <c r="L1558" s="65"/>
    </row>
    <row r="1559" spans="11:12">
      <c r="K1559" s="65"/>
      <c r="L1559" s="65"/>
    </row>
    <row r="1560" spans="11:12">
      <c r="K1560" s="65"/>
      <c r="L1560" s="65"/>
    </row>
    <row r="1561" spans="11:12">
      <c r="K1561" s="65"/>
      <c r="L1561" s="65"/>
    </row>
    <row r="1562" spans="11:12">
      <c r="K1562" s="65"/>
      <c r="L1562" s="65"/>
    </row>
    <row r="1563" spans="11:12">
      <c r="K1563" s="65"/>
      <c r="L1563" s="65"/>
    </row>
    <row r="1564" spans="11:12">
      <c r="K1564" s="65"/>
      <c r="L1564" s="65"/>
    </row>
    <row r="1565" spans="11:12">
      <c r="K1565" s="65"/>
      <c r="L1565" s="65"/>
    </row>
    <row r="1566" spans="11:12">
      <c r="K1566" s="65"/>
      <c r="L1566" s="65"/>
    </row>
    <row r="1567" spans="11:12">
      <c r="K1567" s="65"/>
      <c r="L1567" s="65"/>
    </row>
    <row r="1568" spans="11:12">
      <c r="K1568" s="65"/>
      <c r="L1568" s="65"/>
    </row>
    <row r="1569" spans="11:12">
      <c r="K1569" s="65"/>
      <c r="L1569" s="65"/>
    </row>
    <row r="1570" spans="11:12">
      <c r="K1570" s="65"/>
      <c r="L1570" s="65"/>
    </row>
    <row r="1571" spans="11:12">
      <c r="K1571" s="65"/>
      <c r="L1571" s="65"/>
    </row>
    <row r="1572" spans="11:12">
      <c r="K1572" s="65"/>
      <c r="L1572" s="65"/>
    </row>
    <row r="1573" spans="11:12">
      <c r="K1573" s="65"/>
      <c r="L1573" s="65"/>
    </row>
    <row r="1574" spans="11:12">
      <c r="K1574" s="65"/>
      <c r="L1574" s="65"/>
    </row>
    <row r="1575" spans="11:12">
      <c r="K1575" s="65"/>
      <c r="L1575" s="65"/>
    </row>
    <row r="1576" spans="11:12">
      <c r="K1576" s="65"/>
      <c r="L1576" s="65"/>
    </row>
    <row r="1577" spans="11:12">
      <c r="K1577" s="65"/>
      <c r="L1577" s="65"/>
    </row>
    <row r="1578" spans="11:12">
      <c r="K1578" s="65"/>
      <c r="L1578" s="65"/>
    </row>
    <row r="1579" spans="11:12">
      <c r="K1579" s="65"/>
      <c r="L1579" s="65"/>
    </row>
    <row r="1580" spans="11:12">
      <c r="K1580" s="65"/>
      <c r="L1580" s="65"/>
    </row>
    <row r="1581" spans="11:12">
      <c r="K1581" s="65"/>
      <c r="L1581" s="65"/>
    </row>
    <row r="1582" spans="11:12">
      <c r="K1582" s="65"/>
      <c r="L1582" s="65"/>
    </row>
    <row r="1583" spans="11:12">
      <c r="K1583" s="65"/>
      <c r="L1583" s="65"/>
    </row>
    <row r="1584" spans="11:12">
      <c r="K1584" s="65"/>
      <c r="L1584" s="65"/>
    </row>
    <row r="1585" spans="11:12">
      <c r="K1585" s="65"/>
      <c r="L1585" s="65"/>
    </row>
    <row r="1586" spans="11:12">
      <c r="K1586" s="65"/>
      <c r="L1586" s="65"/>
    </row>
    <row r="1587" spans="11:12">
      <c r="K1587" s="65"/>
      <c r="L1587" s="65"/>
    </row>
    <row r="1588" spans="11:12">
      <c r="K1588" s="65"/>
      <c r="L1588" s="65"/>
    </row>
    <row r="1589" spans="11:12">
      <c r="K1589" s="65"/>
      <c r="L1589" s="65"/>
    </row>
    <row r="1590" spans="11:12">
      <c r="K1590" s="65"/>
      <c r="L1590" s="65"/>
    </row>
    <row r="1591" spans="11:12">
      <c r="K1591" s="65"/>
      <c r="L1591" s="65"/>
    </row>
    <row r="1592" spans="11:12">
      <c r="K1592" s="65"/>
      <c r="L1592" s="65"/>
    </row>
    <row r="1593" spans="11:12">
      <c r="K1593" s="65"/>
      <c r="L1593" s="65"/>
    </row>
    <row r="1594" spans="11:12">
      <c r="K1594" s="65"/>
      <c r="L1594" s="65"/>
    </row>
    <row r="1595" spans="11:12">
      <c r="K1595" s="65"/>
      <c r="L1595" s="65"/>
    </row>
    <row r="1596" spans="11:12">
      <c r="K1596" s="65"/>
      <c r="L1596" s="65"/>
    </row>
    <row r="1597" spans="11:12">
      <c r="K1597" s="65"/>
      <c r="L1597" s="65"/>
    </row>
    <row r="1598" spans="11:12">
      <c r="K1598" s="65"/>
      <c r="L1598" s="65"/>
    </row>
    <row r="1599" spans="11:12">
      <c r="K1599" s="65"/>
      <c r="L1599" s="65"/>
    </row>
    <row r="1600" spans="11:12">
      <c r="K1600" s="65"/>
      <c r="L1600" s="65"/>
    </row>
    <row r="1601" spans="11:12">
      <c r="K1601" s="65"/>
      <c r="L1601" s="65"/>
    </row>
    <row r="1602" spans="11:12">
      <c r="K1602" s="65"/>
      <c r="L1602" s="65"/>
    </row>
    <row r="1603" spans="11:12">
      <c r="K1603" s="65"/>
      <c r="L1603" s="65"/>
    </row>
    <row r="1604" spans="11:12">
      <c r="K1604" s="65"/>
      <c r="L1604" s="65"/>
    </row>
    <row r="1605" spans="11:12">
      <c r="K1605" s="65"/>
      <c r="L1605" s="65"/>
    </row>
    <row r="1606" spans="11:12">
      <c r="K1606" s="65"/>
      <c r="L1606" s="65"/>
    </row>
    <row r="1607" spans="11:12">
      <c r="K1607" s="65"/>
      <c r="L1607" s="65"/>
    </row>
    <row r="1608" spans="11:12">
      <c r="K1608" s="65"/>
      <c r="L1608" s="65"/>
    </row>
    <row r="1609" spans="11:12">
      <c r="K1609" s="65"/>
      <c r="L1609" s="65"/>
    </row>
    <row r="1610" spans="11:12">
      <c r="K1610" s="65"/>
      <c r="L1610" s="65"/>
    </row>
    <row r="1611" spans="11:12">
      <c r="K1611" s="65"/>
      <c r="L1611" s="65"/>
    </row>
    <row r="1612" spans="11:12">
      <c r="K1612" s="65"/>
      <c r="L1612" s="65"/>
    </row>
    <row r="1613" spans="11:12">
      <c r="K1613" s="65"/>
      <c r="L1613" s="65"/>
    </row>
    <row r="1614" spans="11:12">
      <c r="K1614" s="65"/>
      <c r="L1614" s="65"/>
    </row>
    <row r="1615" spans="11:12">
      <c r="K1615" s="65"/>
      <c r="L1615" s="65"/>
    </row>
    <row r="1616" spans="11:12">
      <c r="K1616" s="65"/>
      <c r="L1616" s="65"/>
    </row>
    <row r="1617" spans="11:12">
      <c r="K1617" s="65"/>
      <c r="L1617" s="65"/>
    </row>
    <row r="1618" spans="11:12">
      <c r="K1618" s="65"/>
      <c r="L1618" s="65"/>
    </row>
    <row r="1619" spans="11:12">
      <c r="K1619" s="65"/>
      <c r="L1619" s="65"/>
    </row>
    <row r="1620" spans="11:12">
      <c r="K1620" s="65"/>
      <c r="L1620" s="65"/>
    </row>
    <row r="1621" spans="11:12">
      <c r="K1621" s="65"/>
      <c r="L1621" s="65"/>
    </row>
    <row r="1622" spans="11:12">
      <c r="K1622" s="65"/>
      <c r="L1622" s="65"/>
    </row>
    <row r="1623" spans="11:12">
      <c r="K1623" s="65"/>
      <c r="L1623" s="65"/>
    </row>
    <row r="1624" spans="11:12">
      <c r="K1624" s="65"/>
      <c r="L1624" s="65"/>
    </row>
    <row r="1625" spans="11:12">
      <c r="K1625" s="65"/>
      <c r="L1625" s="65"/>
    </row>
    <row r="1626" spans="11:12">
      <c r="K1626" s="65"/>
      <c r="L1626" s="65"/>
    </row>
    <row r="1627" spans="11:12">
      <c r="K1627" s="65"/>
      <c r="L1627" s="65"/>
    </row>
    <row r="1628" spans="11:12">
      <c r="K1628" s="65"/>
      <c r="L1628" s="65"/>
    </row>
    <row r="1629" spans="11:12">
      <c r="K1629" s="65"/>
      <c r="L1629" s="65"/>
    </row>
    <row r="1630" spans="11:12">
      <c r="K1630" s="65"/>
      <c r="L1630" s="65"/>
    </row>
    <row r="1631" spans="11:12">
      <c r="K1631" s="65"/>
      <c r="L1631" s="65"/>
    </row>
    <row r="1632" spans="11:12">
      <c r="K1632" s="65"/>
      <c r="L1632" s="65"/>
    </row>
    <row r="1633" spans="11:12">
      <c r="K1633" s="65"/>
      <c r="L1633" s="65"/>
    </row>
    <row r="1634" spans="11:12">
      <c r="K1634" s="65"/>
      <c r="L1634" s="65"/>
    </row>
    <row r="1635" spans="11:12">
      <c r="K1635" s="65"/>
      <c r="L1635" s="65"/>
    </row>
    <row r="1636" spans="11:12">
      <c r="K1636" s="65"/>
      <c r="L1636" s="65"/>
    </row>
    <row r="1637" spans="11:12">
      <c r="K1637" s="65"/>
      <c r="L1637" s="65"/>
    </row>
    <row r="1638" spans="11:12">
      <c r="K1638" s="65"/>
      <c r="L1638" s="65"/>
    </row>
    <row r="1639" spans="11:12">
      <c r="K1639" s="65"/>
      <c r="L1639" s="65"/>
    </row>
    <row r="1640" spans="11:12">
      <c r="K1640" s="65"/>
      <c r="L1640" s="65"/>
    </row>
    <row r="1641" spans="11:12">
      <c r="K1641" s="65"/>
      <c r="L1641" s="65"/>
    </row>
    <row r="1642" spans="11:12">
      <c r="K1642" s="65"/>
      <c r="L1642" s="65"/>
    </row>
    <row r="1643" spans="11:12">
      <c r="K1643" s="65"/>
      <c r="L1643" s="65"/>
    </row>
    <row r="1644" spans="11:12">
      <c r="K1644" s="65"/>
      <c r="L1644" s="65"/>
    </row>
    <row r="1645" spans="11:12">
      <c r="K1645" s="65"/>
      <c r="L1645" s="65"/>
    </row>
    <row r="1646" spans="11:12">
      <c r="K1646" s="65"/>
      <c r="L1646" s="65"/>
    </row>
    <row r="1647" spans="11:12">
      <c r="K1647" s="65"/>
      <c r="L1647" s="65"/>
    </row>
    <row r="1648" spans="11:12">
      <c r="K1648" s="65"/>
      <c r="L1648" s="65"/>
    </row>
    <row r="1649" spans="11:12">
      <c r="K1649" s="65"/>
      <c r="L1649" s="65"/>
    </row>
    <row r="1650" spans="11:12">
      <c r="K1650" s="65"/>
      <c r="L1650" s="65"/>
    </row>
    <row r="1651" spans="11:12">
      <c r="K1651" s="65"/>
      <c r="L1651" s="65"/>
    </row>
    <row r="1652" spans="11:12">
      <c r="K1652" s="65"/>
      <c r="L1652" s="65"/>
    </row>
    <row r="1653" spans="11:12">
      <c r="K1653" s="65"/>
      <c r="L1653" s="65"/>
    </row>
    <row r="1654" spans="11:12">
      <c r="K1654" s="65"/>
      <c r="L1654" s="65"/>
    </row>
    <row r="1655" spans="11:12">
      <c r="K1655" s="65"/>
      <c r="L1655" s="65"/>
    </row>
    <row r="1656" spans="11:12">
      <c r="K1656" s="65"/>
      <c r="L1656" s="65"/>
    </row>
    <row r="1657" spans="11:12">
      <c r="K1657" s="65"/>
      <c r="L1657" s="65"/>
    </row>
    <row r="1658" spans="11:12">
      <c r="K1658" s="65"/>
      <c r="L1658" s="65"/>
    </row>
    <row r="1659" spans="11:12">
      <c r="K1659" s="65"/>
      <c r="L1659" s="65"/>
    </row>
    <row r="1660" spans="11:12">
      <c r="K1660" s="65"/>
      <c r="L1660" s="65"/>
    </row>
    <row r="1661" spans="11:12">
      <c r="K1661" s="65"/>
      <c r="L1661" s="65"/>
    </row>
    <row r="1662" spans="11:12">
      <c r="K1662" s="65"/>
      <c r="L1662" s="65"/>
    </row>
    <row r="1663" spans="11:12">
      <c r="K1663" s="65"/>
      <c r="L1663" s="65"/>
    </row>
    <row r="1664" spans="11:12">
      <c r="K1664" s="65"/>
      <c r="L1664" s="65"/>
    </row>
    <row r="1665" spans="11:12">
      <c r="K1665" s="65"/>
      <c r="L1665" s="65"/>
    </row>
    <row r="1666" spans="11:12">
      <c r="K1666" s="65"/>
      <c r="L1666" s="65"/>
    </row>
    <row r="1667" spans="11:12">
      <c r="K1667" s="65"/>
      <c r="L1667" s="65"/>
    </row>
    <row r="1668" spans="11:12">
      <c r="K1668" s="65"/>
      <c r="L1668" s="65"/>
    </row>
    <row r="1669" spans="11:12">
      <c r="K1669" s="65"/>
      <c r="L1669" s="65"/>
    </row>
    <row r="1670" spans="11:12">
      <c r="K1670" s="65"/>
      <c r="L1670" s="65"/>
    </row>
    <row r="1671" spans="11:12">
      <c r="K1671" s="65"/>
      <c r="L1671" s="65"/>
    </row>
    <row r="1672" spans="11:12">
      <c r="K1672" s="65"/>
      <c r="L1672" s="65"/>
    </row>
    <row r="1673" spans="11:12">
      <c r="K1673" s="65"/>
      <c r="L1673" s="65"/>
    </row>
    <row r="1674" spans="11:12">
      <c r="K1674" s="65"/>
      <c r="L1674" s="65"/>
    </row>
    <row r="1675" spans="11:12">
      <c r="K1675" s="65"/>
      <c r="L1675" s="65"/>
    </row>
    <row r="1676" spans="11:12">
      <c r="K1676" s="65"/>
      <c r="L1676" s="65"/>
    </row>
    <row r="1677" spans="11:12">
      <c r="K1677" s="65"/>
      <c r="L1677" s="65"/>
    </row>
    <row r="1678" spans="11:12">
      <c r="K1678" s="65"/>
      <c r="L1678" s="65"/>
    </row>
    <row r="1679" spans="11:12">
      <c r="K1679" s="65"/>
      <c r="L1679" s="65"/>
    </row>
    <row r="1680" spans="11:12">
      <c r="K1680" s="65"/>
      <c r="L1680" s="65"/>
    </row>
    <row r="1681" spans="11:12">
      <c r="K1681" s="65"/>
      <c r="L1681" s="65"/>
    </row>
    <row r="1682" spans="11:12">
      <c r="K1682" s="65"/>
      <c r="L1682" s="65"/>
    </row>
    <row r="1683" spans="11:12">
      <c r="K1683" s="65"/>
      <c r="L1683" s="65"/>
    </row>
    <row r="1684" spans="11:12">
      <c r="K1684" s="65"/>
      <c r="L1684" s="65"/>
    </row>
    <row r="1685" spans="11:12">
      <c r="K1685" s="65"/>
      <c r="L1685" s="65"/>
    </row>
    <row r="1686" spans="11:12">
      <c r="K1686" s="65"/>
      <c r="L1686" s="65"/>
    </row>
    <row r="1687" spans="11:12">
      <c r="K1687" s="65"/>
      <c r="L1687" s="65"/>
    </row>
    <row r="1688" spans="11:12">
      <c r="K1688" s="65"/>
      <c r="L1688" s="65"/>
    </row>
    <row r="1689" spans="11:12">
      <c r="K1689" s="65"/>
      <c r="L1689" s="65"/>
    </row>
    <row r="1690" spans="11:12">
      <c r="K1690" s="65"/>
      <c r="L1690" s="65"/>
    </row>
    <row r="1691" spans="11:12">
      <c r="K1691" s="65"/>
      <c r="L1691" s="65"/>
    </row>
    <row r="1692" spans="11:12">
      <c r="K1692" s="65"/>
      <c r="L1692" s="65"/>
    </row>
    <row r="1693" spans="11:12">
      <c r="K1693" s="65"/>
      <c r="L1693" s="65"/>
    </row>
    <row r="1694" spans="11:12">
      <c r="K1694" s="65"/>
      <c r="L1694" s="65"/>
    </row>
    <row r="1695" spans="11:12">
      <c r="K1695" s="65"/>
      <c r="L1695" s="65"/>
    </row>
    <row r="1696" spans="11:12">
      <c r="K1696" s="65"/>
      <c r="L1696" s="65"/>
    </row>
    <row r="1697" spans="11:12">
      <c r="K1697" s="65"/>
      <c r="L1697" s="65"/>
    </row>
    <row r="1698" spans="11:12">
      <c r="K1698" s="65"/>
      <c r="L1698" s="65"/>
    </row>
    <row r="1699" spans="11:12">
      <c r="K1699" s="65"/>
      <c r="L1699" s="65"/>
    </row>
    <row r="1700" spans="11:12">
      <c r="K1700" s="65"/>
      <c r="L1700" s="65"/>
    </row>
    <row r="1701" spans="11:12">
      <c r="K1701" s="65"/>
      <c r="L1701" s="65"/>
    </row>
    <row r="1702" spans="11:12">
      <c r="K1702" s="65"/>
      <c r="L1702" s="65"/>
    </row>
    <row r="1703" spans="11:12">
      <c r="K1703" s="65"/>
      <c r="L1703" s="65"/>
    </row>
    <row r="1704" spans="11:12">
      <c r="K1704" s="65"/>
      <c r="L1704" s="65"/>
    </row>
    <row r="1705" spans="11:12">
      <c r="K1705" s="65"/>
      <c r="L1705" s="65"/>
    </row>
    <row r="1706" spans="11:12">
      <c r="K1706" s="65"/>
      <c r="L1706" s="65"/>
    </row>
    <row r="1707" spans="11:12">
      <c r="K1707" s="65"/>
      <c r="L1707" s="65"/>
    </row>
    <row r="1708" spans="11:12">
      <c r="K1708" s="65"/>
      <c r="L1708" s="65"/>
    </row>
    <row r="1709" spans="11:12">
      <c r="K1709" s="65"/>
      <c r="L1709" s="65"/>
    </row>
    <row r="1710" spans="11:12">
      <c r="K1710" s="65"/>
      <c r="L1710" s="65"/>
    </row>
    <row r="1711" spans="11:12">
      <c r="K1711" s="65"/>
      <c r="L1711" s="65"/>
    </row>
    <row r="1712" spans="11:12">
      <c r="K1712" s="65"/>
      <c r="L1712" s="65"/>
    </row>
    <row r="1713" spans="11:12">
      <c r="K1713" s="65"/>
      <c r="L1713" s="65"/>
    </row>
    <row r="1714" spans="11:12">
      <c r="K1714" s="65"/>
      <c r="L1714" s="65"/>
    </row>
    <row r="1715" spans="11:12">
      <c r="K1715" s="65"/>
      <c r="L1715" s="65"/>
    </row>
    <row r="1716" spans="11:12">
      <c r="K1716" s="65"/>
      <c r="L1716" s="65"/>
    </row>
    <row r="1717" spans="11:12">
      <c r="K1717" s="65"/>
      <c r="L1717" s="65"/>
    </row>
    <row r="1718" spans="11:12">
      <c r="K1718" s="65"/>
      <c r="L1718" s="65"/>
    </row>
    <row r="1719" spans="11:12">
      <c r="K1719" s="65"/>
      <c r="L1719" s="65"/>
    </row>
    <row r="1720" spans="11:12">
      <c r="K1720" s="65"/>
      <c r="L1720" s="65"/>
    </row>
    <row r="1721" spans="11:12">
      <c r="K1721" s="65"/>
      <c r="L1721" s="65"/>
    </row>
    <row r="1722" spans="11:12">
      <c r="K1722" s="65"/>
      <c r="L1722" s="65"/>
    </row>
    <row r="1723" spans="11:12">
      <c r="K1723" s="65"/>
      <c r="L1723" s="65"/>
    </row>
    <row r="1724" spans="11:12">
      <c r="K1724" s="65"/>
      <c r="L1724" s="65"/>
    </row>
    <row r="1725" spans="11:12">
      <c r="K1725" s="65"/>
      <c r="L1725" s="65"/>
    </row>
    <row r="1726" spans="11:12">
      <c r="K1726" s="65"/>
      <c r="L1726" s="65"/>
    </row>
    <row r="1727" spans="11:12">
      <c r="K1727" s="65"/>
      <c r="L1727" s="65"/>
    </row>
    <row r="1728" spans="11:12">
      <c r="K1728" s="65"/>
      <c r="L1728" s="65"/>
    </row>
    <row r="1729" spans="11:12">
      <c r="K1729" s="65"/>
      <c r="L1729" s="65"/>
    </row>
    <row r="1730" spans="11:12">
      <c r="K1730" s="65"/>
      <c r="L1730" s="65"/>
    </row>
    <row r="1731" spans="11:12">
      <c r="K1731" s="65"/>
      <c r="L1731" s="65"/>
    </row>
    <row r="1732" spans="11:12">
      <c r="K1732" s="65"/>
      <c r="L1732" s="65"/>
    </row>
    <row r="1733" spans="11:12">
      <c r="K1733" s="65"/>
      <c r="L1733" s="65"/>
    </row>
    <row r="1734" spans="11:12">
      <c r="K1734" s="65"/>
      <c r="L1734" s="65"/>
    </row>
    <row r="1735" spans="11:12">
      <c r="K1735" s="65"/>
      <c r="L1735" s="65"/>
    </row>
    <row r="1736" spans="11:12">
      <c r="K1736" s="65"/>
      <c r="L1736" s="65"/>
    </row>
    <row r="1737" spans="11:12">
      <c r="K1737" s="65"/>
      <c r="L1737" s="65"/>
    </row>
    <row r="1738" spans="11:12">
      <c r="K1738" s="65"/>
      <c r="L1738" s="65"/>
    </row>
    <row r="1739" spans="11:12">
      <c r="K1739" s="65"/>
      <c r="L1739" s="65"/>
    </row>
    <row r="1740" spans="11:12">
      <c r="K1740" s="65"/>
      <c r="L1740" s="65"/>
    </row>
    <row r="1741" spans="11:12">
      <c r="K1741" s="65"/>
      <c r="L1741" s="65"/>
    </row>
    <row r="1742" spans="11:12">
      <c r="K1742" s="65"/>
      <c r="L1742" s="65"/>
    </row>
    <row r="1743" spans="11:12">
      <c r="K1743" s="65"/>
      <c r="L1743" s="65"/>
    </row>
    <row r="1744" spans="11:12">
      <c r="K1744" s="65"/>
      <c r="L1744" s="65"/>
    </row>
    <row r="1745" spans="11:12">
      <c r="K1745" s="65"/>
      <c r="L1745" s="65"/>
    </row>
    <row r="1746" spans="11:12">
      <c r="K1746" s="65"/>
      <c r="L1746" s="65"/>
    </row>
    <row r="1747" spans="11:12">
      <c r="K1747" s="65"/>
      <c r="L1747" s="65"/>
    </row>
    <row r="1748" spans="11:12">
      <c r="K1748" s="65"/>
      <c r="L1748" s="65"/>
    </row>
    <row r="1749" spans="11:12">
      <c r="K1749" s="65"/>
      <c r="L1749" s="65"/>
    </row>
    <row r="1750" spans="11:12">
      <c r="K1750" s="65"/>
      <c r="L1750" s="65"/>
    </row>
    <row r="1751" spans="11:12">
      <c r="K1751" s="65"/>
      <c r="L1751" s="65"/>
    </row>
    <row r="1752" spans="11:12">
      <c r="K1752" s="65"/>
      <c r="L1752" s="65"/>
    </row>
    <row r="1753" spans="11:12">
      <c r="K1753" s="65"/>
      <c r="L1753" s="65"/>
    </row>
    <row r="1754" spans="11:12">
      <c r="K1754" s="65"/>
      <c r="L1754" s="65"/>
    </row>
    <row r="1755" spans="11:12">
      <c r="K1755" s="65"/>
      <c r="L1755" s="65"/>
    </row>
    <row r="1756" spans="11:12">
      <c r="K1756" s="65"/>
      <c r="L1756" s="65"/>
    </row>
    <row r="1757" spans="11:12">
      <c r="K1757" s="65"/>
      <c r="L1757" s="65"/>
    </row>
    <row r="1758" spans="11:12">
      <c r="K1758" s="65"/>
      <c r="L1758" s="65"/>
    </row>
    <row r="1759" spans="11:12">
      <c r="K1759" s="65"/>
      <c r="L1759" s="65"/>
    </row>
    <row r="1760" spans="11:12">
      <c r="K1760" s="65"/>
      <c r="L1760" s="65"/>
    </row>
    <row r="1761" spans="11:12">
      <c r="K1761" s="65"/>
      <c r="L1761" s="65"/>
    </row>
    <row r="1762" spans="11:12">
      <c r="K1762" s="65"/>
      <c r="L1762" s="65"/>
    </row>
    <row r="1763" spans="11:12">
      <c r="K1763" s="65"/>
      <c r="L1763" s="65"/>
    </row>
    <row r="1764" spans="11:12">
      <c r="K1764" s="65"/>
      <c r="L1764" s="65"/>
    </row>
    <row r="1765" spans="11:12">
      <c r="K1765" s="65"/>
      <c r="L1765" s="65"/>
    </row>
    <row r="1766" spans="11:12">
      <c r="K1766" s="65"/>
      <c r="L1766" s="65"/>
    </row>
    <row r="1767" spans="11:12">
      <c r="K1767" s="65"/>
      <c r="L1767" s="65"/>
    </row>
    <row r="1768" spans="11:12">
      <c r="K1768" s="65"/>
      <c r="L1768" s="65"/>
    </row>
    <row r="1769" spans="11:12">
      <c r="K1769" s="65"/>
      <c r="L1769" s="65"/>
    </row>
    <row r="1770" spans="11:12">
      <c r="K1770" s="65"/>
      <c r="L1770" s="65"/>
    </row>
    <row r="1771" spans="11:12">
      <c r="K1771" s="65"/>
      <c r="L1771" s="65"/>
    </row>
    <row r="1772" spans="11:12">
      <c r="K1772" s="65"/>
      <c r="L1772" s="65"/>
    </row>
    <row r="1773" spans="11:12">
      <c r="K1773" s="65"/>
      <c r="L1773" s="65"/>
    </row>
    <row r="1774" spans="11:12">
      <c r="K1774" s="65"/>
      <c r="L1774" s="65"/>
    </row>
    <row r="1775" spans="11:12">
      <c r="K1775" s="65"/>
      <c r="L1775" s="65"/>
    </row>
    <row r="1776" spans="11:12">
      <c r="K1776" s="65"/>
      <c r="L1776" s="65"/>
    </row>
    <row r="1777" spans="11:12">
      <c r="K1777" s="65"/>
      <c r="L1777" s="65"/>
    </row>
    <row r="1778" spans="11:12">
      <c r="K1778" s="65"/>
      <c r="L1778" s="65"/>
    </row>
    <row r="1779" spans="11:12">
      <c r="K1779" s="65"/>
      <c r="L1779" s="65"/>
    </row>
    <row r="1780" spans="11:12">
      <c r="K1780" s="65"/>
      <c r="L1780" s="65"/>
    </row>
    <row r="1781" spans="11:12">
      <c r="K1781" s="65"/>
      <c r="L1781" s="65"/>
    </row>
    <row r="1782" spans="11:12">
      <c r="K1782" s="65"/>
      <c r="L1782" s="65"/>
    </row>
    <row r="1783" spans="11:12">
      <c r="K1783" s="65"/>
      <c r="L1783" s="65"/>
    </row>
    <row r="1784" spans="11:12">
      <c r="K1784" s="65"/>
      <c r="L1784" s="65"/>
    </row>
    <row r="1785" spans="11:12">
      <c r="K1785" s="65"/>
      <c r="L1785" s="65"/>
    </row>
    <row r="1786" spans="11:12">
      <c r="K1786" s="65"/>
      <c r="L1786" s="65"/>
    </row>
    <row r="1787" spans="11:12">
      <c r="K1787" s="65"/>
      <c r="L1787" s="65"/>
    </row>
    <row r="1788" spans="11:12">
      <c r="K1788" s="65"/>
      <c r="L1788" s="65"/>
    </row>
    <row r="1789" spans="11:12">
      <c r="K1789" s="65"/>
      <c r="L1789" s="65"/>
    </row>
    <row r="1790" spans="11:12">
      <c r="K1790" s="65"/>
      <c r="L1790" s="65"/>
    </row>
    <row r="1791" spans="11:12">
      <c r="K1791" s="65"/>
      <c r="L1791" s="65"/>
    </row>
    <row r="1792" spans="11:12">
      <c r="K1792" s="65"/>
      <c r="L1792" s="65"/>
    </row>
    <row r="1793" spans="11:12">
      <c r="K1793" s="65"/>
      <c r="L1793" s="65"/>
    </row>
    <row r="1794" spans="11:12">
      <c r="K1794" s="65"/>
      <c r="L1794" s="65"/>
    </row>
    <row r="1795" spans="11:12">
      <c r="K1795" s="65"/>
      <c r="L1795" s="65"/>
    </row>
    <row r="1796" spans="11:12">
      <c r="K1796" s="65"/>
      <c r="L1796" s="65"/>
    </row>
    <row r="1797" spans="11:12">
      <c r="K1797" s="65"/>
      <c r="L1797" s="65"/>
    </row>
    <row r="1798" spans="11:12">
      <c r="K1798" s="65"/>
      <c r="L1798" s="65"/>
    </row>
    <row r="1799" spans="11:12">
      <c r="K1799" s="65"/>
      <c r="L1799" s="65"/>
    </row>
    <row r="1800" spans="11:12">
      <c r="K1800" s="65"/>
      <c r="L1800" s="65"/>
    </row>
    <row r="1801" spans="11:12">
      <c r="K1801" s="65"/>
      <c r="L1801" s="65"/>
    </row>
    <row r="1802" spans="11:12">
      <c r="K1802" s="65"/>
      <c r="L1802" s="65"/>
    </row>
    <row r="1803" spans="11:12">
      <c r="K1803" s="65"/>
      <c r="L1803" s="65"/>
    </row>
    <row r="1804" spans="11:12">
      <c r="K1804" s="65"/>
      <c r="L1804" s="65"/>
    </row>
    <row r="1805" spans="11:12">
      <c r="K1805" s="65"/>
      <c r="L1805" s="65"/>
    </row>
    <row r="1806" spans="11:12">
      <c r="K1806" s="65"/>
      <c r="L1806" s="65"/>
    </row>
    <row r="1807" spans="11:12">
      <c r="K1807" s="65"/>
      <c r="L1807" s="65"/>
    </row>
    <row r="1808" spans="11:12">
      <c r="K1808" s="65"/>
      <c r="L1808" s="65"/>
    </row>
    <row r="1809" spans="11:12">
      <c r="K1809" s="65"/>
      <c r="L1809" s="65"/>
    </row>
    <row r="1810" spans="11:12">
      <c r="K1810" s="65"/>
      <c r="L1810" s="65"/>
    </row>
    <row r="1811" spans="11:12">
      <c r="K1811" s="65"/>
      <c r="L1811" s="65"/>
    </row>
    <row r="1812" spans="11:12">
      <c r="K1812" s="65"/>
      <c r="L1812" s="65"/>
    </row>
    <row r="1813" spans="11:12">
      <c r="K1813" s="65"/>
      <c r="L1813" s="65"/>
    </row>
    <row r="1814" spans="11:12">
      <c r="K1814" s="65"/>
      <c r="L1814" s="65"/>
    </row>
    <row r="1815" spans="11:12">
      <c r="K1815" s="65"/>
      <c r="L1815" s="65"/>
    </row>
    <row r="1816" spans="11:12">
      <c r="K1816" s="65"/>
      <c r="L1816" s="65"/>
    </row>
    <row r="1817" spans="11:12">
      <c r="K1817" s="65"/>
      <c r="L1817" s="65"/>
    </row>
    <row r="1818" spans="11:12">
      <c r="K1818" s="65"/>
      <c r="L1818" s="65"/>
    </row>
    <row r="1819" spans="11:12">
      <c r="K1819" s="65"/>
      <c r="L1819" s="65"/>
    </row>
    <row r="1820" spans="11:12">
      <c r="K1820" s="65"/>
      <c r="L1820" s="65"/>
    </row>
    <row r="1821" spans="11:12">
      <c r="K1821" s="65"/>
      <c r="L1821" s="65"/>
    </row>
    <row r="1822" spans="11:12">
      <c r="K1822" s="65"/>
      <c r="L1822" s="65"/>
    </row>
    <row r="1823" spans="11:12">
      <c r="K1823" s="65"/>
      <c r="L1823" s="65"/>
    </row>
    <row r="1824" spans="11:12">
      <c r="K1824" s="65"/>
      <c r="L1824" s="65"/>
    </row>
    <row r="1825" spans="11:12">
      <c r="K1825" s="65"/>
      <c r="L1825" s="65"/>
    </row>
    <row r="1826" spans="11:12">
      <c r="K1826" s="65"/>
      <c r="L1826" s="65"/>
    </row>
    <row r="1827" spans="11:12">
      <c r="K1827" s="65"/>
      <c r="L1827" s="65"/>
    </row>
    <row r="1828" spans="11:12">
      <c r="K1828" s="65"/>
      <c r="L1828" s="65"/>
    </row>
    <row r="1829" spans="11:12">
      <c r="K1829" s="65"/>
      <c r="L1829" s="65"/>
    </row>
    <row r="1830" spans="11:12">
      <c r="K1830" s="65"/>
      <c r="L1830" s="65"/>
    </row>
    <row r="1831" spans="11:12">
      <c r="K1831" s="65"/>
      <c r="L1831" s="65"/>
    </row>
    <row r="1832" spans="11:12">
      <c r="K1832" s="65"/>
      <c r="L1832" s="65"/>
    </row>
    <row r="1833" spans="11:12">
      <c r="K1833" s="65"/>
      <c r="L1833" s="65"/>
    </row>
    <row r="1834" spans="11:12">
      <c r="K1834" s="65"/>
      <c r="L1834" s="65"/>
    </row>
    <row r="1835" spans="11:12">
      <c r="K1835" s="65"/>
      <c r="L1835" s="65"/>
    </row>
    <row r="1836" spans="11:12">
      <c r="K1836" s="65"/>
      <c r="L1836" s="65"/>
    </row>
    <row r="1837" spans="11:12">
      <c r="K1837" s="65"/>
      <c r="L1837" s="65"/>
    </row>
    <row r="1838" spans="11:12">
      <c r="K1838" s="65"/>
      <c r="L1838" s="65"/>
    </row>
    <row r="1839" spans="11:12">
      <c r="K1839" s="65"/>
      <c r="L1839" s="65"/>
    </row>
    <row r="1840" spans="11:12">
      <c r="K1840" s="65"/>
      <c r="L1840" s="65"/>
    </row>
    <row r="1841" spans="11:12">
      <c r="K1841" s="65"/>
      <c r="L1841" s="65"/>
    </row>
    <row r="1842" spans="11:12">
      <c r="K1842" s="65"/>
      <c r="L1842" s="65"/>
    </row>
    <row r="1843" spans="11:12">
      <c r="K1843" s="65"/>
      <c r="L1843" s="65"/>
    </row>
    <row r="1844" spans="11:12">
      <c r="K1844" s="65"/>
      <c r="L1844" s="65"/>
    </row>
    <row r="1845" spans="11:12">
      <c r="K1845" s="65"/>
      <c r="L1845" s="65"/>
    </row>
    <row r="1846" spans="11:12">
      <c r="K1846" s="65"/>
      <c r="L1846" s="65"/>
    </row>
    <row r="1847" spans="11:12">
      <c r="K1847" s="65"/>
      <c r="L1847" s="65"/>
    </row>
    <row r="1848" spans="11:12">
      <c r="K1848" s="65"/>
      <c r="L1848" s="65"/>
    </row>
    <row r="1849" spans="11:12">
      <c r="K1849" s="65"/>
      <c r="L1849" s="65"/>
    </row>
    <row r="1850" spans="11:12">
      <c r="K1850" s="65"/>
      <c r="L1850" s="65"/>
    </row>
    <row r="1851" spans="11:12">
      <c r="K1851" s="65"/>
      <c r="L1851" s="65"/>
    </row>
    <row r="1852" spans="11:12">
      <c r="K1852" s="65"/>
      <c r="L1852" s="65"/>
    </row>
    <row r="1853" spans="11:12">
      <c r="K1853" s="65"/>
      <c r="L1853" s="65"/>
    </row>
    <row r="1854" spans="11:12">
      <c r="K1854" s="65"/>
      <c r="L1854" s="65"/>
    </row>
    <row r="1855" spans="11:12">
      <c r="K1855" s="65"/>
      <c r="L1855" s="65"/>
    </row>
    <row r="1856" spans="11:12">
      <c r="K1856" s="65"/>
      <c r="L1856" s="65"/>
    </row>
    <row r="1857" spans="11:12">
      <c r="K1857" s="65"/>
      <c r="L1857" s="65"/>
    </row>
    <row r="1858" spans="11:12">
      <c r="K1858" s="65"/>
      <c r="L1858" s="65"/>
    </row>
    <row r="1859" spans="11:12">
      <c r="K1859" s="65"/>
      <c r="L1859" s="65"/>
    </row>
    <row r="1860" spans="11:12">
      <c r="K1860" s="65"/>
      <c r="L1860" s="65"/>
    </row>
    <row r="1861" spans="11:12">
      <c r="K1861" s="65"/>
      <c r="L1861" s="65"/>
    </row>
    <row r="1862" spans="11:12">
      <c r="K1862" s="65"/>
      <c r="L1862" s="65"/>
    </row>
    <row r="1863" spans="11:12">
      <c r="K1863" s="65"/>
      <c r="L1863" s="65"/>
    </row>
    <row r="1864" spans="11:12">
      <c r="K1864" s="65"/>
      <c r="L1864" s="65"/>
    </row>
    <row r="1865" spans="11:12">
      <c r="K1865" s="65"/>
      <c r="L1865" s="65"/>
    </row>
    <row r="1866" spans="11:12">
      <c r="K1866" s="65"/>
      <c r="L1866" s="65"/>
    </row>
    <row r="1867" spans="11:12">
      <c r="K1867" s="65"/>
      <c r="L1867" s="65"/>
    </row>
    <row r="1868" spans="11:12">
      <c r="K1868" s="65"/>
      <c r="L1868" s="65"/>
    </row>
    <row r="1869" spans="11:12">
      <c r="K1869" s="65"/>
      <c r="L1869" s="65"/>
    </row>
    <row r="1870" spans="11:12">
      <c r="K1870" s="65"/>
      <c r="L1870" s="65"/>
    </row>
    <row r="1871" spans="11:12">
      <c r="K1871" s="65"/>
      <c r="L1871" s="65"/>
    </row>
    <row r="1872" spans="11:12">
      <c r="K1872" s="65"/>
      <c r="L1872" s="65"/>
    </row>
    <row r="1873" spans="11:12">
      <c r="K1873" s="65"/>
      <c r="L1873" s="65"/>
    </row>
    <row r="1874" spans="11:12">
      <c r="K1874" s="65"/>
      <c r="L1874" s="65"/>
    </row>
    <row r="1875" spans="11:12">
      <c r="K1875" s="65"/>
      <c r="L1875" s="65"/>
    </row>
    <row r="1876" spans="11:12">
      <c r="K1876" s="65"/>
      <c r="L1876" s="65"/>
    </row>
    <row r="1877" spans="11:12">
      <c r="K1877" s="65"/>
      <c r="L1877" s="65"/>
    </row>
    <row r="1878" spans="11:12">
      <c r="K1878" s="65"/>
      <c r="L1878" s="65"/>
    </row>
    <row r="1879" spans="11:12">
      <c r="K1879" s="65"/>
      <c r="L1879" s="65"/>
    </row>
    <row r="1880" spans="11:12">
      <c r="K1880" s="65"/>
      <c r="L1880" s="65"/>
    </row>
    <row r="1881" spans="11:12">
      <c r="K1881" s="65"/>
      <c r="L1881" s="65"/>
    </row>
    <row r="1882" spans="11:12">
      <c r="K1882" s="65"/>
      <c r="L1882" s="65"/>
    </row>
    <row r="1883" spans="11:12">
      <c r="K1883" s="65"/>
      <c r="L1883" s="65"/>
    </row>
    <row r="1884" spans="11:12">
      <c r="K1884" s="65"/>
      <c r="L1884" s="65"/>
    </row>
    <row r="1885" spans="11:12">
      <c r="K1885" s="65"/>
      <c r="L1885" s="65"/>
    </row>
    <row r="1886" spans="11:12">
      <c r="K1886" s="65"/>
      <c r="L1886" s="65"/>
    </row>
    <row r="1887" spans="11:12">
      <c r="K1887" s="65"/>
      <c r="L1887" s="65"/>
    </row>
    <row r="1888" spans="11:12">
      <c r="K1888" s="65"/>
      <c r="L1888" s="65"/>
    </row>
    <row r="1889" spans="11:12">
      <c r="K1889" s="65"/>
      <c r="L1889" s="65"/>
    </row>
    <row r="1890" spans="11:12">
      <c r="K1890" s="65"/>
      <c r="L1890" s="65"/>
    </row>
    <row r="1891" spans="11:12">
      <c r="K1891" s="65"/>
      <c r="L1891" s="65"/>
    </row>
    <row r="1892" spans="11:12">
      <c r="K1892" s="65"/>
      <c r="L1892" s="65"/>
    </row>
    <row r="1893" spans="11:12">
      <c r="K1893" s="65"/>
      <c r="L1893" s="65"/>
    </row>
    <row r="1894" spans="11:12">
      <c r="K1894" s="65"/>
      <c r="L1894" s="65"/>
    </row>
    <row r="1895" spans="11:12">
      <c r="K1895" s="65"/>
      <c r="L1895" s="65"/>
    </row>
    <row r="1896" spans="11:12">
      <c r="K1896" s="65"/>
      <c r="L1896" s="65"/>
    </row>
    <row r="1897" spans="11:12">
      <c r="K1897" s="65"/>
      <c r="L1897" s="65"/>
    </row>
    <row r="1898" spans="11:12">
      <c r="K1898" s="65"/>
      <c r="L1898" s="65"/>
    </row>
    <row r="1899" spans="11:12">
      <c r="K1899" s="65"/>
      <c r="L1899" s="65"/>
    </row>
    <row r="1900" spans="11:12">
      <c r="K1900" s="65"/>
      <c r="L1900" s="65"/>
    </row>
    <row r="1901" spans="11:12">
      <c r="K1901" s="65"/>
      <c r="L1901" s="65"/>
    </row>
    <row r="1902" spans="11:12">
      <c r="K1902" s="65"/>
      <c r="L1902" s="65"/>
    </row>
    <row r="1903" spans="11:12">
      <c r="K1903" s="65"/>
      <c r="L1903" s="65"/>
    </row>
    <row r="1904" spans="11:12">
      <c r="K1904" s="65"/>
      <c r="L1904" s="65"/>
    </row>
    <row r="1905" spans="11:12">
      <c r="K1905" s="65"/>
      <c r="L1905" s="65"/>
    </row>
    <row r="1906" spans="11:12">
      <c r="K1906" s="65"/>
      <c r="L1906" s="65"/>
    </row>
    <row r="1907" spans="11:12">
      <c r="K1907" s="65"/>
      <c r="L1907" s="65"/>
    </row>
    <row r="1908" spans="11:12">
      <c r="K1908" s="65"/>
      <c r="L1908" s="65"/>
    </row>
    <row r="1909" spans="11:12">
      <c r="K1909" s="65"/>
      <c r="L1909" s="65"/>
    </row>
    <row r="1910" spans="11:12">
      <c r="K1910" s="65"/>
      <c r="L1910" s="65"/>
    </row>
    <row r="1911" spans="11:12">
      <c r="K1911" s="65"/>
      <c r="L1911" s="65"/>
    </row>
    <row r="1912" spans="11:12">
      <c r="K1912" s="65"/>
      <c r="L1912" s="65"/>
    </row>
    <row r="1913" spans="11:12">
      <c r="K1913" s="65"/>
      <c r="L1913" s="65"/>
    </row>
    <row r="1914" spans="11:12">
      <c r="K1914" s="65"/>
      <c r="L1914" s="65"/>
    </row>
    <row r="1915" spans="11:12">
      <c r="K1915" s="65"/>
      <c r="L1915" s="65"/>
    </row>
    <row r="1916" spans="11:12">
      <c r="K1916" s="65"/>
      <c r="L1916" s="65"/>
    </row>
    <row r="1917" spans="11:12">
      <c r="K1917" s="65"/>
      <c r="L1917" s="65"/>
    </row>
    <row r="1918" spans="11:12">
      <c r="K1918" s="65"/>
      <c r="L1918" s="65"/>
    </row>
    <row r="1919" spans="11:12">
      <c r="K1919" s="65"/>
      <c r="L1919" s="65"/>
    </row>
    <row r="1920" spans="11:12">
      <c r="K1920" s="65"/>
      <c r="L1920" s="65"/>
    </row>
    <row r="1921" spans="11:12">
      <c r="K1921" s="65"/>
      <c r="L1921" s="65"/>
    </row>
    <row r="1922" spans="11:12">
      <c r="K1922" s="65"/>
      <c r="L1922" s="65"/>
    </row>
    <row r="1923" spans="11:12">
      <c r="K1923" s="65"/>
      <c r="L1923" s="65"/>
    </row>
    <row r="1924" spans="11:12">
      <c r="K1924" s="65"/>
      <c r="L1924" s="65"/>
    </row>
    <row r="1925" spans="11:12">
      <c r="K1925" s="65"/>
      <c r="L1925" s="65"/>
    </row>
    <row r="1926" spans="11:12">
      <c r="K1926" s="65"/>
      <c r="L1926" s="65"/>
    </row>
    <row r="1927" spans="11:12">
      <c r="K1927" s="65"/>
      <c r="L1927" s="65"/>
    </row>
    <row r="1928" spans="11:12">
      <c r="K1928" s="65"/>
      <c r="L1928" s="65"/>
    </row>
    <row r="1929" spans="11:12">
      <c r="K1929" s="65"/>
      <c r="L1929" s="65"/>
    </row>
    <row r="1930" spans="11:12">
      <c r="K1930" s="65"/>
      <c r="L1930" s="65"/>
    </row>
    <row r="1931" spans="11:12">
      <c r="K1931" s="65"/>
      <c r="L1931" s="65"/>
    </row>
    <row r="1932" spans="11:12">
      <c r="K1932" s="65"/>
      <c r="L1932" s="65"/>
    </row>
    <row r="1933" spans="11:12">
      <c r="K1933" s="65"/>
      <c r="L1933" s="65"/>
    </row>
    <row r="1934" spans="11:12">
      <c r="K1934" s="65"/>
      <c r="L1934" s="65"/>
    </row>
    <row r="1935" spans="11:12">
      <c r="K1935" s="65"/>
      <c r="L1935" s="65"/>
    </row>
    <row r="1936" spans="11:12">
      <c r="K1936" s="65"/>
      <c r="L1936" s="65"/>
    </row>
    <row r="1937" spans="11:12">
      <c r="K1937" s="65"/>
      <c r="L1937" s="65"/>
    </row>
    <row r="1938" spans="11:12">
      <c r="K1938" s="65"/>
      <c r="L1938" s="65"/>
    </row>
    <row r="1939" spans="11:12">
      <c r="K1939" s="65"/>
      <c r="L1939" s="65"/>
    </row>
    <row r="1940" spans="11:12">
      <c r="K1940" s="65"/>
      <c r="L1940" s="65"/>
    </row>
    <row r="1941" spans="11:12">
      <c r="K1941" s="65"/>
      <c r="L1941" s="65"/>
    </row>
    <row r="1942" spans="11:12">
      <c r="K1942" s="65"/>
      <c r="L1942" s="65"/>
    </row>
    <row r="1943" spans="11:12">
      <c r="K1943" s="65"/>
      <c r="L1943" s="65"/>
    </row>
    <row r="1944" spans="11:12">
      <c r="K1944" s="65"/>
      <c r="L1944" s="65"/>
    </row>
    <row r="1945" spans="11:12">
      <c r="K1945" s="65"/>
      <c r="L1945" s="65"/>
    </row>
    <row r="1946" spans="11:12">
      <c r="K1946" s="65"/>
      <c r="L1946" s="65"/>
    </row>
    <row r="1947" spans="11:12">
      <c r="K1947" s="65"/>
      <c r="L1947" s="65"/>
    </row>
    <row r="1948" spans="11:12">
      <c r="K1948" s="65"/>
      <c r="L1948" s="65"/>
    </row>
    <row r="1949" spans="11:12">
      <c r="K1949" s="65"/>
      <c r="L1949" s="65"/>
    </row>
    <row r="1950" spans="11:12">
      <c r="K1950" s="65"/>
      <c r="L1950" s="65"/>
    </row>
    <row r="1951" spans="11:12">
      <c r="K1951" s="65"/>
      <c r="L1951" s="65"/>
    </row>
    <row r="1952" spans="11:12">
      <c r="K1952" s="65"/>
      <c r="L1952" s="65"/>
    </row>
    <row r="1953" spans="11:12">
      <c r="K1953" s="65"/>
      <c r="L1953" s="65"/>
    </row>
    <row r="1954" spans="11:12">
      <c r="K1954" s="65"/>
      <c r="L1954" s="65"/>
    </row>
    <row r="1955" spans="11:12">
      <c r="K1955" s="65"/>
      <c r="L1955" s="65"/>
    </row>
    <row r="1956" spans="11:12">
      <c r="K1956" s="65"/>
      <c r="L1956" s="65"/>
    </row>
    <row r="1957" spans="11:12">
      <c r="K1957" s="65"/>
      <c r="L1957" s="65"/>
    </row>
    <row r="1958" spans="11:12">
      <c r="K1958" s="65"/>
      <c r="L1958" s="65"/>
    </row>
    <row r="1959" spans="11:12">
      <c r="K1959" s="65"/>
      <c r="L1959" s="65"/>
    </row>
    <row r="1960" spans="11:12">
      <c r="K1960" s="65"/>
      <c r="L1960" s="65"/>
    </row>
    <row r="1961" spans="11:12">
      <c r="K1961" s="65"/>
      <c r="L1961" s="65"/>
    </row>
    <row r="1962" spans="11:12">
      <c r="K1962" s="65"/>
      <c r="L1962" s="65"/>
    </row>
    <row r="1963" spans="11:12">
      <c r="K1963" s="65"/>
      <c r="L1963" s="65"/>
    </row>
    <row r="1964" spans="11:12">
      <c r="K1964" s="65"/>
      <c r="L1964" s="65"/>
    </row>
    <row r="1965" spans="11:12">
      <c r="K1965" s="65"/>
      <c r="L1965" s="65"/>
    </row>
    <row r="1966" spans="11:12">
      <c r="K1966" s="65"/>
      <c r="L1966" s="65"/>
    </row>
    <row r="1967" spans="11:12">
      <c r="K1967" s="65"/>
      <c r="L1967" s="65"/>
    </row>
    <row r="1968" spans="11:12">
      <c r="K1968" s="65"/>
      <c r="L1968" s="65"/>
    </row>
    <row r="1969" spans="11:12">
      <c r="K1969" s="65"/>
      <c r="L1969" s="65"/>
    </row>
    <row r="1970" spans="11:12">
      <c r="K1970" s="65"/>
      <c r="L1970" s="65"/>
    </row>
    <row r="1971" spans="11:12">
      <c r="K1971" s="65"/>
      <c r="L1971" s="65"/>
    </row>
    <row r="1972" spans="11:12">
      <c r="K1972" s="65"/>
      <c r="L1972" s="65"/>
    </row>
    <row r="1973" spans="11:12">
      <c r="K1973" s="65"/>
      <c r="L1973" s="65"/>
    </row>
    <row r="1974" spans="11:12">
      <c r="K1974" s="65"/>
      <c r="L1974" s="65"/>
    </row>
    <row r="1975" spans="11:12">
      <c r="K1975" s="65"/>
      <c r="L1975" s="65"/>
    </row>
    <row r="1976" spans="11:12">
      <c r="K1976" s="65"/>
      <c r="L1976" s="65"/>
    </row>
    <row r="1977" spans="11:12">
      <c r="K1977" s="65"/>
      <c r="L1977" s="65"/>
    </row>
    <row r="1978" spans="11:12">
      <c r="K1978" s="65"/>
      <c r="L1978" s="65"/>
    </row>
    <row r="1979" spans="11:12">
      <c r="K1979" s="65"/>
      <c r="L1979" s="65"/>
    </row>
    <row r="1980" spans="11:12">
      <c r="K1980" s="65"/>
      <c r="L1980" s="65"/>
    </row>
    <row r="1981" spans="11:12">
      <c r="K1981" s="65"/>
      <c r="L1981" s="65"/>
    </row>
    <row r="1982" spans="11:12">
      <c r="K1982" s="65"/>
      <c r="L1982" s="65"/>
    </row>
    <row r="1983" spans="11:12">
      <c r="K1983" s="65"/>
      <c r="L1983" s="65"/>
    </row>
    <row r="1984" spans="11:12">
      <c r="K1984" s="65"/>
      <c r="L1984" s="65"/>
    </row>
    <row r="1985" spans="11:12">
      <c r="K1985" s="65"/>
      <c r="L1985" s="65"/>
    </row>
    <row r="1986" spans="11:12">
      <c r="K1986" s="65"/>
      <c r="L1986" s="65"/>
    </row>
    <row r="1987" spans="11:12">
      <c r="K1987" s="65"/>
      <c r="L1987" s="65"/>
    </row>
    <row r="1988" spans="11:12">
      <c r="K1988" s="65"/>
      <c r="L1988" s="65"/>
    </row>
    <row r="1989" spans="11:12">
      <c r="K1989" s="65"/>
      <c r="L1989" s="65"/>
    </row>
    <row r="1990" spans="11:12">
      <c r="K1990" s="65"/>
      <c r="L1990" s="65"/>
    </row>
    <row r="1991" spans="11:12">
      <c r="K1991" s="65"/>
      <c r="L1991" s="65"/>
    </row>
    <row r="1992" spans="11:12">
      <c r="K1992" s="65"/>
      <c r="L1992" s="65"/>
    </row>
    <row r="1993" spans="11:12">
      <c r="K1993" s="65"/>
      <c r="L1993" s="65"/>
    </row>
    <row r="1994" spans="11:12">
      <c r="K1994" s="65"/>
      <c r="L1994" s="65"/>
    </row>
    <row r="1995" spans="11:12">
      <c r="K1995" s="65"/>
      <c r="L1995" s="65"/>
    </row>
    <row r="1996" spans="11:12">
      <c r="K1996" s="65"/>
      <c r="L1996" s="65"/>
    </row>
    <row r="1997" spans="11:12">
      <c r="K1997" s="65"/>
      <c r="L1997" s="65"/>
    </row>
    <row r="1998" spans="11:12">
      <c r="K1998" s="65"/>
      <c r="L1998" s="65"/>
    </row>
    <row r="1999" spans="11:12">
      <c r="K1999" s="65"/>
      <c r="L1999" s="65"/>
    </row>
    <row r="2000" spans="11:12">
      <c r="K2000" s="65"/>
      <c r="L2000" s="65"/>
    </row>
    <row r="2001" spans="11:12">
      <c r="K2001" s="65"/>
      <c r="L2001" s="65"/>
    </row>
    <row r="2002" spans="11:12">
      <c r="K2002" s="65"/>
      <c r="L2002" s="65"/>
    </row>
    <row r="2003" spans="11:12">
      <c r="K2003" s="65"/>
      <c r="L2003" s="65"/>
    </row>
    <row r="2004" spans="11:12">
      <c r="K2004" s="65"/>
      <c r="L2004" s="65"/>
    </row>
    <row r="2005" spans="11:12">
      <c r="K2005" s="65"/>
      <c r="L2005" s="65"/>
    </row>
    <row r="2006" spans="11:12">
      <c r="K2006" s="65"/>
      <c r="L2006" s="65"/>
    </row>
    <row r="2007" spans="11:12">
      <c r="K2007" s="65"/>
      <c r="L2007" s="65"/>
    </row>
    <row r="2008" spans="11:12">
      <c r="K2008" s="65"/>
      <c r="L2008" s="65"/>
    </row>
    <row r="2009" spans="11:12">
      <c r="K2009" s="65"/>
      <c r="L2009" s="65"/>
    </row>
    <row r="2010" spans="11:12">
      <c r="K2010" s="65"/>
      <c r="L2010" s="65"/>
    </row>
    <row r="2011" spans="11:12">
      <c r="K2011" s="65"/>
      <c r="L2011" s="65"/>
    </row>
    <row r="2012" spans="11:12">
      <c r="K2012" s="65"/>
      <c r="L2012" s="65"/>
    </row>
    <row r="2013" spans="11:12">
      <c r="K2013" s="65"/>
      <c r="L2013" s="65"/>
    </row>
    <row r="2014" spans="11:12">
      <c r="K2014" s="65"/>
      <c r="L2014" s="65"/>
    </row>
    <row r="2015" spans="11:12">
      <c r="K2015" s="65"/>
      <c r="L2015" s="65"/>
    </row>
    <row r="2016" spans="11:12">
      <c r="K2016" s="65"/>
      <c r="L2016" s="65"/>
    </row>
    <row r="2017" spans="11:12">
      <c r="K2017" s="65"/>
      <c r="L2017" s="65"/>
    </row>
    <row r="2018" spans="11:12">
      <c r="K2018" s="65"/>
      <c r="L2018" s="65"/>
    </row>
    <row r="2019" spans="11:12">
      <c r="K2019" s="65"/>
      <c r="L2019" s="65"/>
    </row>
    <row r="2020" spans="11:12">
      <c r="K2020" s="65"/>
      <c r="L2020" s="65"/>
    </row>
    <row r="2021" spans="11:12">
      <c r="K2021" s="65"/>
      <c r="L2021" s="65"/>
    </row>
    <row r="2022" spans="11:12">
      <c r="K2022" s="65"/>
      <c r="L2022" s="65"/>
    </row>
    <row r="2023" spans="11:12">
      <c r="K2023" s="65"/>
      <c r="L2023" s="65"/>
    </row>
    <row r="2024" spans="11:12">
      <c r="K2024" s="65"/>
      <c r="L2024" s="65"/>
    </row>
    <row r="2025" spans="11:12">
      <c r="K2025" s="65"/>
      <c r="L2025" s="65"/>
    </row>
    <row r="2026" spans="11:12">
      <c r="K2026" s="65"/>
      <c r="L2026" s="65"/>
    </row>
    <row r="2027" spans="11:12">
      <c r="K2027" s="65"/>
      <c r="L2027" s="65"/>
    </row>
    <row r="2028" spans="11:12">
      <c r="K2028" s="65"/>
      <c r="L2028" s="65"/>
    </row>
    <row r="2029" spans="11:12">
      <c r="K2029" s="65"/>
      <c r="L2029" s="65"/>
    </row>
    <row r="2030" spans="11:12">
      <c r="K2030" s="65"/>
      <c r="L2030" s="65"/>
    </row>
    <row r="2031" spans="11:12">
      <c r="K2031" s="65"/>
      <c r="L2031" s="65"/>
    </row>
    <row r="2032" spans="11:12">
      <c r="K2032" s="65"/>
      <c r="L2032" s="65"/>
    </row>
    <row r="2033" spans="11:12">
      <c r="K2033" s="65"/>
      <c r="L2033" s="65"/>
    </row>
    <row r="2034" spans="11:12">
      <c r="K2034" s="65"/>
      <c r="L2034" s="65"/>
    </row>
    <row r="2035" spans="11:12">
      <c r="K2035" s="65"/>
      <c r="L2035" s="65"/>
    </row>
    <row r="2036" spans="11:12">
      <c r="K2036" s="65"/>
      <c r="L2036" s="65"/>
    </row>
    <row r="2037" spans="11:12">
      <c r="K2037" s="65"/>
      <c r="L2037" s="65"/>
    </row>
    <row r="2038" spans="11:12">
      <c r="K2038" s="65"/>
      <c r="L2038" s="65"/>
    </row>
    <row r="2039" spans="11:12">
      <c r="K2039" s="65"/>
      <c r="L2039" s="65"/>
    </row>
    <row r="2040" spans="11:12">
      <c r="K2040" s="65"/>
      <c r="L2040" s="65"/>
    </row>
    <row r="2041" spans="11:12">
      <c r="K2041" s="65"/>
      <c r="L2041" s="65"/>
    </row>
    <row r="2042" spans="11:12">
      <c r="K2042" s="65"/>
      <c r="L2042" s="65"/>
    </row>
    <row r="2043" spans="11:12">
      <c r="K2043" s="65"/>
      <c r="L2043" s="65"/>
    </row>
    <row r="2044" spans="11:12">
      <c r="K2044" s="65"/>
      <c r="L2044" s="65"/>
    </row>
    <row r="2045" spans="11:12">
      <c r="K2045" s="65"/>
      <c r="L2045" s="65"/>
    </row>
    <row r="2046" spans="11:12">
      <c r="K2046" s="65"/>
      <c r="L2046" s="65"/>
    </row>
    <row r="2047" spans="11:12">
      <c r="K2047" s="65"/>
      <c r="L2047" s="65"/>
    </row>
    <row r="2048" spans="11:12">
      <c r="K2048" s="65"/>
      <c r="L2048" s="65"/>
    </row>
    <row r="2049" spans="11:12">
      <c r="K2049" s="65"/>
      <c r="L2049" s="65"/>
    </row>
    <row r="2050" spans="11:12">
      <c r="K2050" s="65"/>
      <c r="L2050" s="65"/>
    </row>
    <row r="2051" spans="11:12">
      <c r="K2051" s="65"/>
      <c r="L2051" s="65"/>
    </row>
    <row r="2052" spans="11:12">
      <c r="K2052" s="65"/>
      <c r="L2052" s="65"/>
    </row>
    <row r="2053" spans="11:12">
      <c r="K2053" s="65"/>
      <c r="L2053" s="65"/>
    </row>
    <row r="2054" spans="11:12">
      <c r="K2054" s="65"/>
      <c r="L2054" s="65"/>
    </row>
    <row r="2055" spans="11:12">
      <c r="K2055" s="65"/>
      <c r="L2055" s="65"/>
    </row>
    <row r="2056" spans="11:12">
      <c r="K2056" s="65"/>
      <c r="L2056" s="65"/>
    </row>
    <row r="2057" spans="11:12">
      <c r="K2057" s="65"/>
      <c r="L2057" s="65"/>
    </row>
    <row r="2058" spans="11:12">
      <c r="K2058" s="65"/>
      <c r="L2058" s="65"/>
    </row>
    <row r="2059" spans="11:12">
      <c r="K2059" s="65"/>
      <c r="L2059" s="65"/>
    </row>
    <row r="2060" spans="11:12">
      <c r="K2060" s="65"/>
      <c r="L2060" s="65"/>
    </row>
    <row r="2061" spans="11:12">
      <c r="K2061" s="65"/>
      <c r="L2061" s="65"/>
    </row>
    <row r="2062" spans="11:12">
      <c r="K2062" s="65"/>
      <c r="L2062" s="65"/>
    </row>
    <row r="2063" spans="11:12">
      <c r="K2063" s="65"/>
      <c r="L2063" s="65"/>
    </row>
    <row r="2064" spans="11:12">
      <c r="K2064" s="65"/>
      <c r="L2064" s="65"/>
    </row>
    <row r="2065" spans="11:12">
      <c r="K2065" s="65"/>
      <c r="L2065" s="65"/>
    </row>
    <row r="2066" spans="11:12">
      <c r="K2066" s="65"/>
      <c r="L2066" s="65"/>
    </row>
    <row r="2067" spans="11:12">
      <c r="K2067" s="65"/>
      <c r="L2067" s="65"/>
    </row>
    <row r="2068" spans="11:12">
      <c r="K2068" s="65"/>
      <c r="L2068" s="65"/>
    </row>
    <row r="2069" spans="11:12">
      <c r="K2069" s="65"/>
      <c r="L2069" s="65"/>
    </row>
    <row r="2070" spans="11:12">
      <c r="K2070" s="65"/>
      <c r="L2070" s="65"/>
    </row>
    <row r="2071" spans="11:12">
      <c r="K2071" s="65"/>
      <c r="L2071" s="65"/>
    </row>
    <row r="2072" spans="11:12">
      <c r="K2072" s="65"/>
      <c r="L2072" s="65"/>
    </row>
    <row r="2073" spans="11:12">
      <c r="K2073" s="65"/>
      <c r="L2073" s="65"/>
    </row>
    <row r="2074" spans="11:12">
      <c r="K2074" s="65"/>
      <c r="L2074" s="65"/>
    </row>
    <row r="2075" spans="11:12">
      <c r="K2075" s="65"/>
      <c r="L2075" s="65"/>
    </row>
    <row r="2076" spans="11:12">
      <c r="K2076" s="65"/>
      <c r="L2076" s="65"/>
    </row>
    <row r="2077" spans="11:12">
      <c r="K2077" s="65"/>
      <c r="L2077" s="65"/>
    </row>
    <row r="2078" spans="11:12">
      <c r="K2078" s="65"/>
      <c r="L2078" s="65"/>
    </row>
    <row r="2079" spans="11:12">
      <c r="K2079" s="65"/>
      <c r="L2079" s="65"/>
    </row>
    <row r="2080" spans="11:12">
      <c r="K2080" s="65"/>
      <c r="L2080" s="65"/>
    </row>
    <row r="2081" spans="11:12">
      <c r="K2081" s="65"/>
      <c r="L2081" s="65"/>
    </row>
    <row r="2082" spans="11:12">
      <c r="K2082" s="65"/>
      <c r="L2082" s="65"/>
    </row>
    <row r="2083" spans="11:12">
      <c r="K2083" s="65"/>
      <c r="L2083" s="65"/>
    </row>
    <row r="2084" spans="11:12">
      <c r="K2084" s="65"/>
      <c r="L2084" s="65"/>
    </row>
    <row r="2085" spans="11:12">
      <c r="K2085" s="65"/>
      <c r="L2085" s="65"/>
    </row>
    <row r="2086" spans="11:12">
      <c r="K2086" s="65"/>
      <c r="L2086" s="65"/>
    </row>
    <row r="2087" spans="11:12">
      <c r="K2087" s="65"/>
      <c r="L2087" s="65"/>
    </row>
    <row r="2088" spans="11:12">
      <c r="K2088" s="65"/>
      <c r="L2088" s="65"/>
    </row>
    <row r="2089" spans="11:12">
      <c r="K2089" s="65"/>
      <c r="L2089" s="65"/>
    </row>
    <row r="2090" spans="11:12">
      <c r="K2090" s="65"/>
      <c r="L2090" s="65"/>
    </row>
    <row r="2091" spans="11:12">
      <c r="K2091" s="65"/>
      <c r="L2091" s="65"/>
    </row>
    <row r="2092" spans="11:12">
      <c r="K2092" s="65"/>
      <c r="L2092" s="65"/>
    </row>
    <row r="2093" spans="11:12">
      <c r="K2093" s="65"/>
      <c r="L2093" s="65"/>
    </row>
    <row r="2094" spans="11:12">
      <c r="K2094" s="65"/>
      <c r="L2094" s="65"/>
    </row>
    <row r="2095" spans="11:12">
      <c r="K2095" s="65"/>
      <c r="L2095" s="65"/>
    </row>
    <row r="2096" spans="11:12">
      <c r="K2096" s="65"/>
      <c r="L2096" s="65"/>
    </row>
    <row r="2097" spans="11:12">
      <c r="K2097" s="65"/>
      <c r="L2097" s="65"/>
    </row>
    <row r="2098" spans="11:12">
      <c r="K2098" s="65"/>
      <c r="L2098" s="65"/>
    </row>
    <row r="2099" spans="11:12">
      <c r="K2099" s="65"/>
      <c r="L2099" s="65"/>
    </row>
    <row r="2100" spans="11:12">
      <c r="K2100" s="65"/>
      <c r="L2100" s="65"/>
    </row>
    <row r="2101" spans="11:12">
      <c r="K2101" s="65"/>
      <c r="L2101" s="65"/>
    </row>
    <row r="2102" spans="11:12">
      <c r="K2102" s="65"/>
      <c r="L2102" s="65"/>
    </row>
    <row r="2103" spans="11:12">
      <c r="K2103" s="65"/>
      <c r="L2103" s="65"/>
    </row>
    <row r="2104" spans="11:12">
      <c r="K2104" s="65"/>
      <c r="L2104" s="65"/>
    </row>
    <row r="2105" spans="11:12">
      <c r="K2105" s="65"/>
      <c r="L2105" s="65"/>
    </row>
    <row r="2106" spans="11:12">
      <c r="K2106" s="65"/>
      <c r="L2106" s="65"/>
    </row>
    <row r="2107" spans="11:12">
      <c r="K2107" s="65"/>
      <c r="L2107" s="65"/>
    </row>
    <row r="2108" spans="11:12">
      <c r="K2108" s="65"/>
      <c r="L2108" s="65"/>
    </row>
    <row r="2109" spans="11:12">
      <c r="K2109" s="65"/>
      <c r="L2109" s="65"/>
    </row>
    <row r="2110" spans="11:12">
      <c r="K2110" s="65"/>
      <c r="L2110" s="65"/>
    </row>
    <row r="2111" spans="11:12">
      <c r="K2111" s="65"/>
      <c r="L2111" s="65"/>
    </row>
    <row r="2112" spans="11:12">
      <c r="K2112" s="65"/>
      <c r="L2112" s="65"/>
    </row>
    <row r="2113" spans="11:12">
      <c r="K2113" s="65"/>
      <c r="L2113" s="65"/>
    </row>
    <row r="2114" spans="11:12">
      <c r="K2114" s="65"/>
      <c r="L2114" s="65"/>
    </row>
    <row r="2115" spans="11:12">
      <c r="K2115" s="65"/>
      <c r="L2115" s="65"/>
    </row>
    <row r="2116" spans="11:12">
      <c r="K2116" s="65"/>
      <c r="L2116" s="65"/>
    </row>
    <row r="2117" spans="11:12">
      <c r="K2117" s="65"/>
      <c r="L2117" s="65"/>
    </row>
    <row r="2118" spans="11:12">
      <c r="K2118" s="65"/>
      <c r="L2118" s="65"/>
    </row>
    <row r="2119" spans="11:12">
      <c r="K2119" s="65"/>
      <c r="L2119" s="65"/>
    </row>
    <row r="2120" spans="11:12">
      <c r="K2120" s="65"/>
      <c r="L2120" s="65"/>
    </row>
    <row r="2121" spans="11:12">
      <c r="K2121" s="65"/>
      <c r="L2121" s="65"/>
    </row>
    <row r="2122" spans="11:12">
      <c r="K2122" s="65"/>
      <c r="L2122" s="65"/>
    </row>
    <row r="2123" spans="11:12">
      <c r="K2123" s="65"/>
      <c r="L2123" s="65"/>
    </row>
    <row r="2124" spans="11:12">
      <c r="K2124" s="65"/>
      <c r="L2124" s="65"/>
    </row>
    <row r="2125" spans="11:12">
      <c r="K2125" s="65"/>
      <c r="L2125" s="65"/>
    </row>
    <row r="2126" spans="11:12">
      <c r="K2126" s="65"/>
      <c r="L2126" s="65"/>
    </row>
    <row r="2127" spans="11:12">
      <c r="K2127" s="65"/>
      <c r="L2127" s="65"/>
    </row>
    <row r="2128" spans="11:12">
      <c r="K2128" s="65"/>
      <c r="L2128" s="65"/>
    </row>
    <row r="2129" spans="11:12">
      <c r="K2129" s="65"/>
      <c r="L2129" s="65"/>
    </row>
    <row r="2130" spans="11:12">
      <c r="K2130" s="65"/>
      <c r="L2130" s="65"/>
    </row>
    <row r="2131" spans="11:12">
      <c r="K2131" s="65"/>
      <c r="L2131" s="65"/>
    </row>
    <row r="2132" spans="11:12">
      <c r="K2132" s="65"/>
      <c r="L2132" s="65"/>
    </row>
    <row r="2133" spans="11:12">
      <c r="K2133" s="65"/>
      <c r="L2133" s="65"/>
    </row>
    <row r="2134" spans="11:12">
      <c r="K2134" s="65"/>
      <c r="L2134" s="65"/>
    </row>
    <row r="2135" spans="11:12">
      <c r="K2135" s="65"/>
      <c r="L2135" s="65"/>
    </row>
    <row r="2136" spans="11:12">
      <c r="K2136" s="65"/>
      <c r="L2136" s="65"/>
    </row>
    <row r="2137" spans="11:12">
      <c r="K2137" s="65"/>
      <c r="L2137" s="65"/>
    </row>
    <row r="2138" spans="11:12">
      <c r="K2138" s="65"/>
      <c r="L2138" s="65"/>
    </row>
    <row r="2139" spans="11:12">
      <c r="K2139" s="65"/>
      <c r="L2139" s="65"/>
    </row>
    <row r="2140" spans="11:12">
      <c r="K2140" s="65"/>
      <c r="L2140" s="65"/>
    </row>
    <row r="2141" spans="11:12">
      <c r="K2141" s="65"/>
      <c r="L2141" s="65"/>
    </row>
    <row r="2142" spans="11:12">
      <c r="K2142" s="65"/>
      <c r="L2142" s="65"/>
    </row>
    <row r="2143" spans="11:12">
      <c r="K2143" s="65"/>
      <c r="L2143" s="65"/>
    </row>
    <row r="2144" spans="11:12">
      <c r="K2144" s="65"/>
      <c r="L2144" s="65"/>
    </row>
    <row r="2145" spans="11:12">
      <c r="K2145" s="65"/>
      <c r="L2145" s="65"/>
    </row>
    <row r="2146" spans="11:12">
      <c r="K2146" s="65"/>
      <c r="L2146" s="65"/>
    </row>
    <row r="2147" spans="11:12">
      <c r="K2147" s="65"/>
      <c r="L2147" s="65"/>
    </row>
    <row r="2148" spans="11:12">
      <c r="K2148" s="65"/>
      <c r="L2148" s="65"/>
    </row>
    <row r="2149" spans="11:12">
      <c r="K2149" s="65"/>
      <c r="L2149" s="65"/>
    </row>
    <row r="2150" spans="11:12">
      <c r="K2150" s="65"/>
      <c r="L2150" s="65"/>
    </row>
    <row r="2151" spans="11:12">
      <c r="K2151" s="65"/>
      <c r="L2151" s="65"/>
    </row>
    <row r="2152" spans="11:12">
      <c r="K2152" s="65"/>
      <c r="L2152" s="65"/>
    </row>
    <row r="2153" spans="11:12">
      <c r="K2153" s="65"/>
      <c r="L2153" s="65"/>
    </row>
    <row r="2154" spans="11:12">
      <c r="K2154" s="65"/>
      <c r="L2154" s="65"/>
    </row>
    <row r="2155" spans="11:12">
      <c r="K2155" s="65"/>
      <c r="L2155" s="65"/>
    </row>
    <row r="2156" spans="11:12">
      <c r="K2156" s="65"/>
      <c r="L2156" s="65"/>
    </row>
    <row r="2157" spans="11:12">
      <c r="K2157" s="65"/>
      <c r="L2157" s="65"/>
    </row>
    <row r="2158" spans="11:12">
      <c r="K2158" s="65"/>
      <c r="L2158" s="65"/>
    </row>
    <row r="2159" spans="11:12">
      <c r="K2159" s="65"/>
      <c r="L2159" s="65"/>
    </row>
    <row r="2160" spans="11:12">
      <c r="K2160" s="65"/>
      <c r="L2160" s="65"/>
    </row>
    <row r="2161" spans="11:12">
      <c r="K2161" s="65"/>
      <c r="L2161" s="65"/>
    </row>
    <row r="2162" spans="11:12">
      <c r="K2162" s="65"/>
      <c r="L2162" s="65"/>
    </row>
    <row r="2163" spans="11:12">
      <c r="K2163" s="65"/>
      <c r="L2163" s="65"/>
    </row>
    <row r="2164" spans="11:12">
      <c r="K2164" s="65"/>
      <c r="L2164" s="65"/>
    </row>
    <row r="2165" spans="11:12">
      <c r="K2165" s="65"/>
      <c r="L2165" s="65"/>
    </row>
    <row r="2166" spans="11:12">
      <c r="K2166" s="65"/>
      <c r="L2166" s="65"/>
    </row>
    <row r="2167" spans="11:12">
      <c r="K2167" s="65"/>
      <c r="L2167" s="65"/>
    </row>
    <row r="2168" spans="11:12">
      <c r="K2168" s="65"/>
      <c r="L2168" s="65"/>
    </row>
    <row r="2169" spans="11:12">
      <c r="K2169" s="65"/>
      <c r="L2169" s="65"/>
    </row>
    <row r="2170" spans="11:12">
      <c r="K2170" s="65"/>
      <c r="L2170" s="65"/>
    </row>
    <row r="2171" spans="11:12">
      <c r="K2171" s="65"/>
      <c r="L2171" s="65"/>
    </row>
    <row r="2172" spans="11:12">
      <c r="K2172" s="65"/>
      <c r="L2172" s="65"/>
    </row>
    <row r="2173" spans="11:12">
      <c r="K2173" s="65"/>
      <c r="L2173" s="65"/>
    </row>
    <row r="2174" spans="11:12">
      <c r="K2174" s="65"/>
      <c r="L2174" s="65"/>
    </row>
    <row r="2175" spans="11:12">
      <c r="K2175" s="65"/>
      <c r="L2175" s="65"/>
    </row>
    <row r="2176" spans="11:12">
      <c r="K2176" s="65"/>
      <c r="L2176" s="65"/>
    </row>
    <row r="2177" spans="11:12">
      <c r="K2177" s="65"/>
      <c r="L2177" s="65"/>
    </row>
    <row r="2178" spans="11:12">
      <c r="K2178" s="65"/>
      <c r="L2178" s="65"/>
    </row>
    <row r="2179" spans="11:12">
      <c r="K2179" s="65"/>
      <c r="L2179" s="65"/>
    </row>
    <row r="2180" spans="11:12">
      <c r="K2180" s="65"/>
      <c r="L2180" s="65"/>
    </row>
    <row r="2181" spans="11:12">
      <c r="K2181" s="65"/>
      <c r="L2181" s="65"/>
    </row>
    <row r="2182" spans="11:12">
      <c r="K2182" s="65"/>
      <c r="L2182" s="65"/>
    </row>
    <row r="2183" spans="11:12">
      <c r="K2183" s="65"/>
      <c r="L2183" s="65"/>
    </row>
    <row r="2184" spans="11:12">
      <c r="K2184" s="65"/>
      <c r="L2184" s="65"/>
    </row>
    <row r="2185" spans="11:12">
      <c r="K2185" s="65"/>
      <c r="L2185" s="65"/>
    </row>
    <row r="2186" spans="11:12">
      <c r="K2186" s="65"/>
      <c r="L2186" s="65"/>
    </row>
    <row r="2187" spans="11:12">
      <c r="K2187" s="65"/>
      <c r="L2187" s="65"/>
    </row>
    <row r="2188" spans="11:12">
      <c r="K2188" s="65"/>
      <c r="L2188" s="65"/>
    </row>
    <row r="2189" spans="11:12">
      <c r="K2189" s="65"/>
      <c r="L2189" s="65"/>
    </row>
    <row r="2190" spans="11:12">
      <c r="K2190" s="65"/>
      <c r="L2190" s="65"/>
    </row>
    <row r="2191" spans="11:12">
      <c r="K2191" s="65"/>
      <c r="L2191" s="65"/>
    </row>
    <row r="2192" spans="11:12">
      <c r="K2192" s="65"/>
      <c r="L2192" s="65"/>
    </row>
    <row r="2193" spans="11:12">
      <c r="K2193" s="65"/>
      <c r="L2193" s="65"/>
    </row>
    <row r="2194" spans="11:12">
      <c r="K2194" s="65"/>
      <c r="L2194" s="65"/>
    </row>
    <row r="2195" spans="11:12">
      <c r="K2195" s="65"/>
      <c r="L2195" s="65"/>
    </row>
    <row r="2196" spans="11:12">
      <c r="K2196" s="65"/>
      <c r="L2196" s="65"/>
    </row>
    <row r="2197" spans="11:12">
      <c r="K2197" s="65"/>
      <c r="L2197" s="65"/>
    </row>
    <row r="2198" spans="11:12">
      <c r="K2198" s="65"/>
      <c r="L2198" s="65"/>
    </row>
    <row r="2199" spans="11:12">
      <c r="K2199" s="65"/>
      <c r="L2199" s="65"/>
    </row>
    <row r="2200" spans="11:12">
      <c r="K2200" s="65"/>
      <c r="L2200" s="65"/>
    </row>
    <row r="2201" spans="11:12">
      <c r="K2201" s="65"/>
      <c r="L2201" s="65"/>
    </row>
    <row r="2202" spans="11:12">
      <c r="K2202" s="65"/>
      <c r="L2202" s="65"/>
    </row>
    <row r="2203" spans="11:12">
      <c r="K2203" s="65"/>
      <c r="L2203" s="65"/>
    </row>
    <row r="2204" spans="11:12">
      <c r="K2204" s="65"/>
      <c r="L2204" s="65"/>
    </row>
    <row r="2205" spans="11:12">
      <c r="K2205" s="65"/>
      <c r="L2205" s="65"/>
    </row>
    <row r="2206" spans="11:12">
      <c r="K2206" s="65"/>
      <c r="L2206" s="65"/>
    </row>
    <row r="2207" spans="11:12">
      <c r="K2207" s="65"/>
      <c r="L2207" s="65"/>
    </row>
    <row r="2208" spans="11:12">
      <c r="K2208" s="65"/>
      <c r="L2208" s="65"/>
    </row>
    <row r="2209" spans="11:12">
      <c r="K2209" s="65"/>
      <c r="L2209" s="65"/>
    </row>
    <row r="2210" spans="11:12">
      <c r="K2210" s="65"/>
      <c r="L2210" s="65"/>
    </row>
    <row r="2211" spans="11:12">
      <c r="K2211" s="65"/>
      <c r="L2211" s="65"/>
    </row>
    <row r="2212" spans="11:12">
      <c r="K2212" s="65"/>
      <c r="L2212" s="65"/>
    </row>
    <row r="2213" spans="11:12">
      <c r="K2213" s="65"/>
      <c r="L2213" s="65"/>
    </row>
    <row r="2214" spans="11:12">
      <c r="K2214" s="65"/>
      <c r="L2214" s="65"/>
    </row>
    <row r="2215" spans="11:12">
      <c r="K2215" s="65"/>
      <c r="L2215" s="65"/>
    </row>
    <row r="2216" spans="11:12">
      <c r="K2216" s="65"/>
      <c r="L2216" s="65"/>
    </row>
    <row r="2217" spans="11:12">
      <c r="K2217" s="65"/>
      <c r="L2217" s="65"/>
    </row>
    <row r="2218" spans="11:12">
      <c r="K2218" s="65"/>
      <c r="L2218" s="65"/>
    </row>
    <row r="2219" spans="11:12">
      <c r="K2219" s="65"/>
      <c r="L2219" s="65"/>
    </row>
    <row r="2220" spans="11:12">
      <c r="K2220" s="65"/>
      <c r="L2220" s="65"/>
    </row>
    <row r="2221" spans="11:12">
      <c r="K2221" s="65"/>
      <c r="L2221" s="65"/>
    </row>
    <row r="2222" spans="11:12">
      <c r="K2222" s="65"/>
      <c r="L2222" s="65"/>
    </row>
    <row r="2223" spans="11:12">
      <c r="K2223" s="65"/>
      <c r="L2223" s="65"/>
    </row>
    <row r="2224" spans="11:12">
      <c r="K2224" s="65"/>
      <c r="L2224" s="65"/>
    </row>
    <row r="2225" spans="11:12">
      <c r="K2225" s="65"/>
      <c r="L2225" s="65"/>
    </row>
    <row r="2226" spans="11:12">
      <c r="K2226" s="65"/>
      <c r="L2226" s="65"/>
    </row>
    <row r="2227" spans="11:12">
      <c r="K2227" s="65"/>
      <c r="L2227" s="65"/>
    </row>
    <row r="2228" spans="11:12">
      <c r="K2228" s="65"/>
      <c r="L2228" s="65"/>
    </row>
    <row r="2229" spans="11:12">
      <c r="K2229" s="65"/>
      <c r="L2229" s="65"/>
    </row>
    <row r="2230" spans="11:12">
      <c r="K2230" s="65"/>
      <c r="L2230" s="65"/>
    </row>
    <row r="2231" spans="11:12">
      <c r="K2231" s="65"/>
      <c r="L2231" s="65"/>
    </row>
    <row r="2232" spans="11:12">
      <c r="K2232" s="65"/>
      <c r="L2232" s="65"/>
    </row>
    <row r="2233" spans="11:12">
      <c r="K2233" s="65"/>
      <c r="L2233" s="65"/>
    </row>
    <row r="2234" spans="11:12">
      <c r="K2234" s="65"/>
      <c r="L2234" s="65"/>
    </row>
    <row r="2235" spans="11:12">
      <c r="K2235" s="65"/>
      <c r="L2235" s="65"/>
    </row>
    <row r="2236" spans="11:12">
      <c r="K2236" s="65"/>
      <c r="L2236" s="65"/>
    </row>
    <row r="2237" spans="11:12">
      <c r="K2237" s="65"/>
      <c r="L2237" s="65"/>
    </row>
    <row r="2238" spans="11:12">
      <c r="K2238" s="65"/>
      <c r="L2238" s="65"/>
    </row>
    <row r="2239" spans="11:12">
      <c r="K2239" s="65"/>
      <c r="L2239" s="65"/>
    </row>
    <row r="2240" spans="11:12">
      <c r="K2240" s="65"/>
      <c r="L2240" s="65"/>
    </row>
    <row r="2241" spans="11:12">
      <c r="K2241" s="65"/>
      <c r="L2241" s="65"/>
    </row>
    <row r="2242" spans="11:12">
      <c r="K2242" s="65"/>
      <c r="L2242" s="65"/>
    </row>
    <row r="2243" spans="11:12">
      <c r="K2243" s="65"/>
      <c r="L2243" s="65"/>
    </row>
    <row r="2244" spans="11:12">
      <c r="K2244" s="65"/>
      <c r="L2244" s="65"/>
    </row>
    <row r="2245" spans="11:12">
      <c r="K2245" s="65"/>
      <c r="L2245" s="65"/>
    </row>
    <row r="2246" spans="11:12">
      <c r="K2246" s="65"/>
      <c r="L2246" s="65"/>
    </row>
    <row r="2247" spans="11:12">
      <c r="K2247" s="65"/>
      <c r="L2247" s="65"/>
    </row>
    <row r="2248" spans="11:12">
      <c r="K2248" s="65"/>
      <c r="L2248" s="65"/>
    </row>
    <row r="2249" spans="11:12">
      <c r="K2249" s="65"/>
      <c r="L2249" s="65"/>
    </row>
    <row r="2250" spans="11:12">
      <c r="K2250" s="65"/>
      <c r="L2250" s="65"/>
    </row>
    <row r="2251" spans="11:12">
      <c r="K2251" s="65"/>
      <c r="L2251" s="65"/>
    </row>
    <row r="2252" spans="11:12">
      <c r="K2252" s="65"/>
      <c r="L2252" s="65"/>
    </row>
    <row r="2253" spans="11:12">
      <c r="K2253" s="65"/>
      <c r="L2253" s="65"/>
    </row>
    <row r="2254" spans="11:12">
      <c r="K2254" s="65"/>
      <c r="L2254" s="65"/>
    </row>
    <row r="2255" spans="11:12">
      <c r="K2255" s="65"/>
      <c r="L2255" s="65"/>
    </row>
    <row r="2256" spans="11:12">
      <c r="K2256" s="65"/>
      <c r="L2256" s="65"/>
    </row>
    <row r="2257" spans="11:12">
      <c r="K2257" s="65"/>
      <c r="L2257" s="65"/>
    </row>
    <row r="2258" spans="11:12">
      <c r="K2258" s="65"/>
      <c r="L2258" s="65"/>
    </row>
    <row r="2259" spans="11:12">
      <c r="K2259" s="65"/>
      <c r="L2259" s="65"/>
    </row>
    <row r="2260" spans="11:12">
      <c r="K2260" s="65"/>
      <c r="L2260" s="65"/>
    </row>
    <row r="2261" spans="11:12">
      <c r="K2261" s="65"/>
      <c r="L2261" s="65"/>
    </row>
    <row r="2262" spans="11:12">
      <c r="K2262" s="65"/>
      <c r="L2262" s="65"/>
    </row>
    <row r="2263" spans="11:12">
      <c r="K2263" s="65"/>
      <c r="L2263" s="65"/>
    </row>
    <row r="2264" spans="11:12">
      <c r="K2264" s="65"/>
      <c r="L2264" s="65"/>
    </row>
    <row r="2265" spans="11:12">
      <c r="K2265" s="65"/>
      <c r="L2265" s="65"/>
    </row>
    <row r="2266" spans="11:12">
      <c r="K2266" s="65"/>
      <c r="L2266" s="65"/>
    </row>
    <row r="2267" spans="11:12">
      <c r="K2267" s="65"/>
      <c r="L2267" s="65"/>
    </row>
    <row r="2268" spans="11:12">
      <c r="K2268" s="65"/>
      <c r="L2268" s="65"/>
    </row>
    <row r="2269" spans="11:12">
      <c r="K2269" s="65"/>
      <c r="L2269" s="65"/>
    </row>
    <row r="2270" spans="11:12">
      <c r="K2270" s="65"/>
      <c r="L2270" s="65"/>
    </row>
    <row r="2271" spans="11:12">
      <c r="K2271" s="65"/>
      <c r="L2271" s="65"/>
    </row>
    <row r="2272" spans="11:12">
      <c r="K2272" s="65"/>
      <c r="L2272" s="65"/>
    </row>
    <row r="2273" spans="11:12">
      <c r="K2273" s="65"/>
      <c r="L2273" s="65"/>
    </row>
    <row r="2274" spans="11:12">
      <c r="K2274" s="65"/>
      <c r="L2274" s="65"/>
    </row>
    <row r="2275" spans="11:12">
      <c r="K2275" s="65"/>
      <c r="L2275" s="65"/>
    </row>
    <row r="2276" spans="11:12">
      <c r="K2276" s="65"/>
      <c r="L2276" s="65"/>
    </row>
    <row r="2277" spans="11:12">
      <c r="K2277" s="65"/>
      <c r="L2277" s="65"/>
    </row>
    <row r="2278" spans="11:12">
      <c r="K2278" s="65"/>
      <c r="L2278" s="65"/>
    </row>
    <row r="2279" spans="11:12">
      <c r="K2279" s="65"/>
      <c r="L2279" s="65"/>
    </row>
    <row r="2280" spans="11:12">
      <c r="K2280" s="65"/>
      <c r="L2280" s="65"/>
    </row>
    <row r="2281" spans="11:12">
      <c r="K2281" s="65"/>
      <c r="L2281" s="65"/>
    </row>
    <row r="2282" spans="11:12">
      <c r="K2282" s="65"/>
      <c r="L2282" s="65"/>
    </row>
    <row r="2283" spans="11:12">
      <c r="K2283" s="65"/>
      <c r="L2283" s="65"/>
    </row>
    <row r="2284" spans="11:12">
      <c r="K2284" s="65"/>
      <c r="L2284" s="65"/>
    </row>
    <row r="2285" spans="11:12">
      <c r="K2285" s="65"/>
      <c r="L2285" s="65"/>
    </row>
    <row r="2286" spans="11:12">
      <c r="K2286" s="65"/>
      <c r="L2286" s="65"/>
    </row>
    <row r="2287" spans="11:12">
      <c r="K2287" s="65"/>
      <c r="L2287" s="65"/>
    </row>
    <row r="2288" spans="11:12">
      <c r="K2288" s="65"/>
      <c r="L2288" s="65"/>
    </row>
    <row r="2289" spans="11:12">
      <c r="K2289" s="65"/>
      <c r="L2289" s="65"/>
    </row>
    <row r="2290" spans="11:12">
      <c r="K2290" s="65"/>
      <c r="L2290" s="65"/>
    </row>
    <row r="2291" spans="11:12">
      <c r="K2291" s="65"/>
      <c r="L2291" s="65"/>
    </row>
    <row r="2292" spans="11:12">
      <c r="K2292" s="65"/>
      <c r="L2292" s="65"/>
    </row>
    <row r="2293" spans="11:12">
      <c r="K2293" s="65"/>
      <c r="L2293" s="65"/>
    </row>
    <row r="2294" spans="11:12">
      <c r="K2294" s="65"/>
      <c r="L2294" s="65"/>
    </row>
    <row r="2295" spans="11:12">
      <c r="K2295" s="65"/>
      <c r="L2295" s="65"/>
    </row>
    <row r="2296" spans="11:12">
      <c r="K2296" s="65"/>
      <c r="L2296" s="65"/>
    </row>
    <row r="2297" spans="11:12">
      <c r="K2297" s="65"/>
      <c r="L2297" s="65"/>
    </row>
    <row r="2298" spans="11:12">
      <c r="K2298" s="65"/>
      <c r="L2298" s="65"/>
    </row>
    <row r="2299" spans="11:12">
      <c r="K2299" s="65"/>
      <c r="L2299" s="65"/>
    </row>
    <row r="2300" spans="11:12">
      <c r="K2300" s="65"/>
      <c r="L2300" s="65"/>
    </row>
    <row r="2301" spans="11:12">
      <c r="K2301" s="65"/>
      <c r="L2301" s="65"/>
    </row>
    <row r="2302" spans="11:12">
      <c r="K2302" s="65"/>
      <c r="L2302" s="65"/>
    </row>
    <row r="2303" spans="11:12">
      <c r="K2303" s="65"/>
      <c r="L2303" s="65"/>
    </row>
    <row r="2304" spans="11:12">
      <c r="K2304" s="65"/>
      <c r="L2304" s="65"/>
    </row>
    <row r="2305" spans="11:12">
      <c r="K2305" s="65"/>
      <c r="L2305" s="65"/>
    </row>
    <row r="2306" spans="11:12">
      <c r="K2306" s="65"/>
      <c r="L2306" s="65"/>
    </row>
    <row r="2307" spans="11:12">
      <c r="K2307" s="65"/>
      <c r="L2307" s="65"/>
    </row>
    <row r="2308" spans="11:12">
      <c r="K2308" s="65"/>
      <c r="L2308" s="65"/>
    </row>
    <row r="2309" spans="11:12">
      <c r="K2309" s="65"/>
      <c r="L2309" s="65"/>
    </row>
    <row r="2310" spans="11:12">
      <c r="K2310" s="65"/>
      <c r="L2310" s="65"/>
    </row>
    <row r="2311" spans="11:12">
      <c r="K2311" s="65"/>
      <c r="L2311" s="65"/>
    </row>
    <row r="2312" spans="11:12">
      <c r="K2312" s="65"/>
      <c r="L2312" s="65"/>
    </row>
    <row r="2313" spans="11:12">
      <c r="K2313" s="65"/>
      <c r="L2313" s="65"/>
    </row>
    <row r="2314" spans="11:12">
      <c r="K2314" s="65"/>
      <c r="L2314" s="65"/>
    </row>
    <row r="2315" spans="11:12">
      <c r="K2315" s="65"/>
      <c r="L2315" s="65"/>
    </row>
    <row r="2316" spans="11:12">
      <c r="K2316" s="65"/>
      <c r="L2316" s="65"/>
    </row>
    <row r="2317" spans="11:12">
      <c r="K2317" s="65"/>
      <c r="L2317" s="65"/>
    </row>
    <row r="2318" spans="11:12">
      <c r="K2318" s="65"/>
      <c r="L2318" s="65"/>
    </row>
    <row r="2319" spans="11:12">
      <c r="K2319" s="65"/>
      <c r="L2319" s="65"/>
    </row>
    <row r="2320" spans="11:12">
      <c r="K2320" s="65"/>
      <c r="L2320" s="65"/>
    </row>
    <row r="2321" spans="11:12">
      <c r="K2321" s="65"/>
      <c r="L2321" s="65"/>
    </row>
    <row r="2322" spans="11:12">
      <c r="K2322" s="65"/>
      <c r="L2322" s="65"/>
    </row>
    <row r="2323" spans="11:12">
      <c r="K2323" s="65"/>
      <c r="L2323" s="65"/>
    </row>
    <row r="2324" spans="11:12">
      <c r="K2324" s="65"/>
      <c r="L2324" s="65"/>
    </row>
    <row r="2325" spans="11:12">
      <c r="K2325" s="65"/>
      <c r="L2325" s="65"/>
    </row>
    <row r="2326" spans="11:12">
      <c r="K2326" s="65"/>
      <c r="L2326" s="65"/>
    </row>
    <row r="2327" spans="11:12">
      <c r="K2327" s="65"/>
      <c r="L2327" s="65"/>
    </row>
    <row r="2328" spans="11:12">
      <c r="K2328" s="65"/>
      <c r="L2328" s="65"/>
    </row>
    <row r="2329" spans="11:12">
      <c r="K2329" s="65"/>
      <c r="L2329" s="65"/>
    </row>
    <row r="2330" spans="11:12">
      <c r="K2330" s="65"/>
      <c r="L2330" s="65"/>
    </row>
    <row r="2331" spans="11:12">
      <c r="K2331" s="65"/>
      <c r="L2331" s="65"/>
    </row>
    <row r="2332" spans="11:12">
      <c r="K2332" s="65"/>
      <c r="L2332" s="65"/>
    </row>
    <row r="2333" spans="11:12">
      <c r="K2333" s="65"/>
      <c r="L2333" s="65"/>
    </row>
    <row r="2334" spans="11:12">
      <c r="K2334" s="65"/>
      <c r="L2334" s="65"/>
    </row>
    <row r="2335" spans="11:12">
      <c r="K2335" s="65"/>
      <c r="L2335" s="65"/>
    </row>
    <row r="2336" spans="11:12">
      <c r="K2336" s="65"/>
      <c r="L2336" s="65"/>
    </row>
    <row r="2337" spans="11:12">
      <c r="K2337" s="65"/>
      <c r="L2337" s="65"/>
    </row>
    <row r="2338" spans="11:12">
      <c r="K2338" s="65"/>
      <c r="L2338" s="65"/>
    </row>
    <row r="2339" spans="11:12">
      <c r="K2339" s="65"/>
      <c r="L2339" s="65"/>
    </row>
    <row r="2340" spans="11:12">
      <c r="K2340" s="65"/>
      <c r="L2340" s="65"/>
    </row>
    <row r="2341" spans="11:12">
      <c r="K2341" s="65"/>
      <c r="L2341" s="65"/>
    </row>
    <row r="2342" spans="11:12">
      <c r="K2342" s="65"/>
      <c r="L2342" s="65"/>
    </row>
    <row r="2343" spans="11:12">
      <c r="K2343" s="65"/>
      <c r="L2343" s="65"/>
    </row>
    <row r="2344" spans="11:12">
      <c r="K2344" s="65"/>
      <c r="L2344" s="65"/>
    </row>
    <row r="2345" spans="11:12">
      <c r="K2345" s="65"/>
      <c r="L2345" s="65"/>
    </row>
    <row r="2346" spans="11:12">
      <c r="K2346" s="65"/>
      <c r="L2346" s="65"/>
    </row>
    <row r="2347" spans="11:12">
      <c r="K2347" s="65"/>
      <c r="L2347" s="65"/>
    </row>
    <row r="2348" spans="11:12">
      <c r="K2348" s="65"/>
      <c r="L2348" s="65"/>
    </row>
    <row r="2349" spans="11:12">
      <c r="K2349" s="65"/>
      <c r="L2349" s="65"/>
    </row>
    <row r="2350" spans="11:12">
      <c r="K2350" s="65"/>
      <c r="L2350" s="65"/>
    </row>
    <row r="2351" spans="11:12">
      <c r="K2351" s="65"/>
      <c r="L2351" s="65"/>
    </row>
    <row r="2352" spans="11:12">
      <c r="K2352" s="65"/>
      <c r="L2352" s="65"/>
    </row>
    <row r="2353" spans="11:12">
      <c r="K2353" s="65"/>
      <c r="L2353" s="65"/>
    </row>
    <row r="2354" spans="11:12">
      <c r="K2354" s="65"/>
      <c r="L2354" s="65"/>
    </row>
    <row r="2355" spans="11:12">
      <c r="K2355" s="65"/>
      <c r="L2355" s="65"/>
    </row>
    <row r="2356" spans="11:12">
      <c r="K2356" s="65"/>
      <c r="L2356" s="65"/>
    </row>
    <row r="2357" spans="11:12">
      <c r="K2357" s="65"/>
      <c r="L2357" s="65"/>
    </row>
    <row r="2358" spans="11:12">
      <c r="K2358" s="65"/>
      <c r="L2358" s="65"/>
    </row>
    <row r="2359" spans="11:12">
      <c r="K2359" s="65"/>
      <c r="L2359" s="65"/>
    </row>
    <row r="2360" spans="11:12">
      <c r="K2360" s="65"/>
      <c r="L2360" s="65"/>
    </row>
    <row r="2361" spans="11:12">
      <c r="K2361" s="65"/>
      <c r="L2361" s="65"/>
    </row>
    <row r="2362" spans="11:12">
      <c r="K2362" s="65"/>
      <c r="L2362" s="65"/>
    </row>
    <row r="2363" spans="11:12">
      <c r="K2363" s="65"/>
      <c r="L2363" s="65"/>
    </row>
    <row r="2364" spans="11:12">
      <c r="K2364" s="65"/>
      <c r="L2364" s="65"/>
    </row>
    <row r="2365" spans="11:12">
      <c r="K2365" s="65"/>
      <c r="L2365" s="65"/>
    </row>
    <row r="2366" spans="11:12">
      <c r="K2366" s="65"/>
      <c r="L2366" s="65"/>
    </row>
    <row r="2367" spans="11:12">
      <c r="K2367" s="65"/>
      <c r="L2367" s="65"/>
    </row>
    <row r="2368" spans="11:12">
      <c r="K2368" s="65"/>
      <c r="L2368" s="65"/>
    </row>
    <row r="2369" spans="11:12">
      <c r="K2369" s="65"/>
      <c r="L2369" s="65"/>
    </row>
    <row r="2370" spans="11:12">
      <c r="K2370" s="65"/>
      <c r="L2370" s="65"/>
    </row>
    <row r="2371" spans="11:12">
      <c r="K2371" s="65"/>
      <c r="L2371" s="65"/>
    </row>
    <row r="2372" spans="11:12">
      <c r="K2372" s="65"/>
      <c r="L2372" s="65"/>
    </row>
    <row r="2373" spans="11:12">
      <c r="K2373" s="65"/>
      <c r="L2373" s="65"/>
    </row>
    <row r="2374" spans="11:12">
      <c r="K2374" s="65"/>
      <c r="L2374" s="65"/>
    </row>
    <row r="2375" spans="11:12">
      <c r="K2375" s="65"/>
      <c r="L2375" s="65"/>
    </row>
    <row r="2376" spans="11:12">
      <c r="K2376" s="65"/>
      <c r="L2376" s="65"/>
    </row>
    <row r="2377" spans="11:12">
      <c r="K2377" s="65"/>
      <c r="L2377" s="65"/>
    </row>
    <row r="2378" spans="11:12">
      <c r="K2378" s="65"/>
      <c r="L2378" s="65"/>
    </row>
    <row r="2379" spans="11:12">
      <c r="K2379" s="65"/>
      <c r="L2379" s="65"/>
    </row>
    <row r="2380" spans="11:12">
      <c r="K2380" s="65"/>
      <c r="L2380" s="65"/>
    </row>
    <row r="2381" spans="11:12">
      <c r="K2381" s="65"/>
      <c r="L2381" s="65"/>
    </row>
    <row r="2382" spans="11:12">
      <c r="K2382" s="65"/>
      <c r="L2382" s="65"/>
    </row>
    <row r="2383" spans="11:12">
      <c r="K2383" s="65"/>
      <c r="L2383" s="65"/>
    </row>
    <row r="2384" spans="11:12">
      <c r="K2384" s="65"/>
      <c r="L2384" s="65"/>
    </row>
    <row r="2385" spans="11:12">
      <c r="K2385" s="65"/>
      <c r="L2385" s="65"/>
    </row>
    <row r="2386" spans="11:12">
      <c r="K2386" s="65"/>
      <c r="L2386" s="65"/>
    </row>
    <row r="2387" spans="11:12">
      <c r="K2387" s="65"/>
      <c r="L2387" s="65"/>
    </row>
    <row r="2388" spans="11:12">
      <c r="K2388" s="65"/>
      <c r="L2388" s="65"/>
    </row>
    <row r="2389" spans="11:12">
      <c r="K2389" s="65"/>
      <c r="L2389" s="65"/>
    </row>
    <row r="2390" spans="11:12">
      <c r="K2390" s="65"/>
      <c r="L2390" s="65"/>
    </row>
    <row r="2391" spans="11:12">
      <c r="K2391" s="65"/>
      <c r="L2391" s="65"/>
    </row>
    <row r="2392" spans="11:12">
      <c r="K2392" s="65"/>
      <c r="L2392" s="65"/>
    </row>
    <row r="2393" spans="11:12">
      <c r="K2393" s="65"/>
      <c r="L2393" s="65"/>
    </row>
    <row r="2394" spans="11:12">
      <c r="K2394" s="65"/>
      <c r="L2394" s="65"/>
    </row>
    <row r="2395" spans="11:12">
      <c r="K2395" s="65"/>
      <c r="L2395" s="65"/>
    </row>
    <row r="2396" spans="11:12">
      <c r="K2396" s="65"/>
      <c r="L2396" s="65"/>
    </row>
    <row r="2397" spans="11:12">
      <c r="K2397" s="65"/>
      <c r="L2397" s="65"/>
    </row>
    <row r="2398" spans="11:12">
      <c r="K2398" s="65"/>
      <c r="L2398" s="65"/>
    </row>
    <row r="2399" spans="11:12">
      <c r="K2399" s="65"/>
      <c r="L2399" s="65"/>
    </row>
    <row r="2400" spans="11:12">
      <c r="K2400" s="65"/>
      <c r="L2400" s="65"/>
    </row>
    <row r="2401" spans="11:12">
      <c r="K2401" s="65"/>
      <c r="L2401" s="65"/>
    </row>
    <row r="2402" spans="11:12">
      <c r="K2402" s="65"/>
      <c r="L2402" s="65"/>
    </row>
    <row r="2403" spans="11:12">
      <c r="K2403" s="65"/>
      <c r="L2403" s="65"/>
    </row>
    <row r="2404" spans="11:12">
      <c r="K2404" s="65"/>
      <c r="L2404" s="65"/>
    </row>
    <row r="2405" spans="11:12">
      <c r="K2405" s="65"/>
      <c r="L2405" s="65"/>
    </row>
    <row r="2406" spans="11:12">
      <c r="K2406" s="65"/>
      <c r="L2406" s="65"/>
    </row>
    <row r="2407" spans="11:12">
      <c r="K2407" s="65"/>
      <c r="L2407" s="65"/>
    </row>
    <row r="2408" spans="11:12">
      <c r="K2408" s="65"/>
      <c r="L2408" s="65"/>
    </row>
    <row r="2409" spans="11:12">
      <c r="K2409" s="65"/>
      <c r="L2409" s="65"/>
    </row>
    <row r="2410" spans="11:12">
      <c r="K2410" s="65"/>
      <c r="L2410" s="65"/>
    </row>
    <row r="2411" spans="11:12">
      <c r="K2411" s="65"/>
      <c r="L2411" s="65"/>
    </row>
    <row r="2412" spans="11:12">
      <c r="K2412" s="65"/>
      <c r="L2412" s="65"/>
    </row>
    <row r="2413" spans="11:12">
      <c r="K2413" s="65"/>
      <c r="L2413" s="65"/>
    </row>
    <row r="2414" spans="11:12">
      <c r="K2414" s="65"/>
      <c r="L2414" s="65"/>
    </row>
    <row r="2415" spans="11:12">
      <c r="K2415" s="65"/>
      <c r="L2415" s="65"/>
    </row>
    <row r="2416" spans="11:12">
      <c r="K2416" s="65"/>
      <c r="L2416" s="65"/>
    </row>
    <row r="2417" spans="11:12">
      <c r="K2417" s="65"/>
      <c r="L2417" s="65"/>
    </row>
    <row r="2418" spans="11:12">
      <c r="K2418" s="65"/>
      <c r="L2418" s="65"/>
    </row>
    <row r="2419" spans="11:12">
      <c r="K2419" s="65"/>
      <c r="L2419" s="65"/>
    </row>
    <row r="2420" spans="11:12">
      <c r="K2420" s="65"/>
      <c r="L2420" s="65"/>
    </row>
    <row r="2421" spans="11:12">
      <c r="K2421" s="65"/>
      <c r="L2421" s="65"/>
    </row>
    <row r="2422" spans="11:12">
      <c r="K2422" s="65"/>
      <c r="L2422" s="65"/>
    </row>
    <row r="2423" spans="11:12">
      <c r="K2423" s="65"/>
      <c r="L2423" s="65"/>
    </row>
    <row r="2424" spans="11:12">
      <c r="K2424" s="65"/>
      <c r="L2424" s="65"/>
    </row>
    <row r="2425" spans="11:12">
      <c r="K2425" s="65"/>
      <c r="L2425" s="65"/>
    </row>
    <row r="2426" spans="11:12">
      <c r="K2426" s="65"/>
      <c r="L2426" s="65"/>
    </row>
    <row r="2427" spans="11:12">
      <c r="K2427" s="65"/>
      <c r="L2427" s="65"/>
    </row>
    <row r="2428" spans="11:12">
      <c r="K2428" s="65"/>
      <c r="L2428" s="65"/>
    </row>
    <row r="2429" spans="11:12">
      <c r="K2429" s="65"/>
      <c r="L2429" s="65"/>
    </row>
    <row r="2430" spans="11:12">
      <c r="K2430" s="65"/>
      <c r="L2430" s="65"/>
    </row>
    <row r="2431" spans="11:12">
      <c r="K2431" s="65"/>
      <c r="L2431" s="65"/>
    </row>
    <row r="2432" spans="11:12">
      <c r="K2432" s="65"/>
      <c r="L2432" s="65"/>
    </row>
    <row r="2433" spans="11:12">
      <c r="K2433" s="65"/>
      <c r="L2433" s="65"/>
    </row>
    <row r="2434" spans="11:12">
      <c r="K2434" s="65"/>
      <c r="L2434" s="65"/>
    </row>
    <row r="2435" spans="11:12">
      <c r="K2435" s="65"/>
      <c r="L2435" s="65"/>
    </row>
    <row r="2436" spans="11:12">
      <c r="K2436" s="65"/>
      <c r="L2436" s="65"/>
    </row>
    <row r="2437" spans="11:12">
      <c r="K2437" s="65"/>
      <c r="L2437" s="65"/>
    </row>
    <row r="2438" spans="11:12">
      <c r="K2438" s="65"/>
      <c r="L2438" s="65"/>
    </row>
    <row r="2439" spans="11:12">
      <c r="K2439" s="65"/>
      <c r="L2439" s="65"/>
    </row>
    <row r="2440" spans="11:12">
      <c r="K2440" s="65"/>
      <c r="L2440" s="65"/>
    </row>
    <row r="2441" spans="11:12">
      <c r="K2441" s="65"/>
      <c r="L2441" s="65"/>
    </row>
    <row r="2442" spans="11:12">
      <c r="K2442" s="65"/>
      <c r="L2442" s="65"/>
    </row>
    <row r="2443" spans="11:12">
      <c r="K2443" s="65"/>
      <c r="L2443" s="65"/>
    </row>
    <row r="2444" spans="11:12">
      <c r="K2444" s="65"/>
      <c r="L2444" s="65"/>
    </row>
    <row r="2445" spans="11:12">
      <c r="K2445" s="65"/>
      <c r="L2445" s="65"/>
    </row>
    <row r="2446" spans="11:12">
      <c r="K2446" s="65"/>
      <c r="L2446" s="65"/>
    </row>
    <row r="2447" spans="11:12">
      <c r="K2447" s="65"/>
      <c r="L2447" s="65"/>
    </row>
    <row r="2448" spans="11:12">
      <c r="K2448" s="65"/>
      <c r="L2448" s="65"/>
    </row>
    <row r="2449" spans="11:12">
      <c r="K2449" s="65"/>
      <c r="L2449" s="65"/>
    </row>
    <row r="2450" spans="11:12">
      <c r="K2450" s="65"/>
      <c r="L2450" s="65"/>
    </row>
    <row r="2451" spans="11:12">
      <c r="K2451" s="65"/>
      <c r="L2451" s="65"/>
    </row>
    <row r="2452" spans="11:12">
      <c r="K2452" s="65"/>
      <c r="L2452" s="65"/>
    </row>
    <row r="2453" spans="11:12">
      <c r="K2453" s="65"/>
      <c r="L2453" s="65"/>
    </row>
    <row r="2454" spans="11:12">
      <c r="K2454" s="65"/>
      <c r="L2454" s="65"/>
    </row>
    <row r="2455" spans="11:12">
      <c r="K2455" s="65"/>
      <c r="L2455" s="65"/>
    </row>
    <row r="2456" spans="11:12">
      <c r="K2456" s="65"/>
      <c r="L2456" s="65"/>
    </row>
    <row r="2457" spans="11:12">
      <c r="K2457" s="65"/>
      <c r="L2457" s="65"/>
    </row>
    <row r="2458" spans="11:12">
      <c r="K2458" s="65"/>
      <c r="L2458" s="65"/>
    </row>
    <row r="2459" spans="11:12">
      <c r="K2459" s="65"/>
      <c r="L2459" s="65"/>
    </row>
    <row r="2460" spans="11:12">
      <c r="K2460" s="65"/>
      <c r="L2460" s="65"/>
    </row>
    <row r="2461" spans="11:12">
      <c r="K2461" s="65"/>
      <c r="L2461" s="65"/>
    </row>
    <row r="2462" spans="11:12">
      <c r="K2462" s="65"/>
      <c r="L2462" s="65"/>
    </row>
    <row r="2463" spans="11:12">
      <c r="K2463" s="65"/>
      <c r="L2463" s="65"/>
    </row>
    <row r="2464" spans="11:12">
      <c r="K2464" s="65"/>
      <c r="L2464" s="65"/>
    </row>
    <row r="2465" spans="11:12">
      <c r="K2465" s="65"/>
      <c r="L2465" s="65"/>
    </row>
    <row r="2466" spans="11:12">
      <c r="K2466" s="65"/>
      <c r="L2466" s="65"/>
    </row>
    <row r="2467" spans="11:12">
      <c r="K2467" s="65"/>
      <c r="L2467" s="65"/>
    </row>
    <row r="2468" spans="11:12">
      <c r="K2468" s="65"/>
      <c r="L2468" s="65"/>
    </row>
    <row r="2469" spans="11:12">
      <c r="K2469" s="65"/>
      <c r="L2469" s="65"/>
    </row>
    <row r="2470" spans="11:12">
      <c r="K2470" s="65"/>
      <c r="L2470" s="65"/>
    </row>
    <row r="2471" spans="11:12">
      <c r="K2471" s="65"/>
      <c r="L2471" s="65"/>
    </row>
    <row r="2472" spans="11:12">
      <c r="K2472" s="65"/>
      <c r="L2472" s="65"/>
    </row>
    <row r="2473" spans="11:12">
      <c r="K2473" s="65"/>
      <c r="L2473" s="65"/>
    </row>
    <row r="2474" spans="11:12">
      <c r="K2474" s="65"/>
      <c r="L2474" s="65"/>
    </row>
    <row r="2475" spans="11:12">
      <c r="K2475" s="65"/>
      <c r="L2475" s="65"/>
    </row>
    <row r="2476" spans="11:12">
      <c r="K2476" s="65"/>
      <c r="L2476" s="65"/>
    </row>
    <row r="2477" spans="11:12">
      <c r="K2477" s="65"/>
      <c r="L2477" s="65"/>
    </row>
    <row r="2478" spans="11:12">
      <c r="K2478" s="65"/>
      <c r="L2478" s="65"/>
    </row>
    <row r="2479" spans="11:12">
      <c r="K2479" s="65"/>
      <c r="L2479" s="65"/>
    </row>
    <row r="2480" spans="11:12">
      <c r="K2480" s="65"/>
      <c r="L2480" s="65"/>
    </row>
    <row r="2481" spans="11:12">
      <c r="K2481" s="65"/>
      <c r="L2481" s="65"/>
    </row>
    <row r="2482" spans="11:12">
      <c r="K2482" s="65"/>
      <c r="L2482" s="65"/>
    </row>
    <row r="2483" spans="11:12">
      <c r="K2483" s="65"/>
      <c r="L2483" s="65"/>
    </row>
    <row r="2484" spans="11:12">
      <c r="K2484" s="65"/>
      <c r="L2484" s="65"/>
    </row>
    <row r="2485" spans="11:12">
      <c r="K2485" s="65"/>
      <c r="L2485" s="65"/>
    </row>
    <row r="2486" spans="11:12">
      <c r="K2486" s="65"/>
      <c r="L2486" s="65"/>
    </row>
    <row r="2487" spans="11:12">
      <c r="K2487" s="65"/>
      <c r="L2487" s="65"/>
    </row>
    <row r="2488" spans="11:12">
      <c r="K2488" s="65"/>
      <c r="L2488" s="65"/>
    </row>
    <row r="2489" spans="11:12">
      <c r="K2489" s="65"/>
      <c r="L2489" s="65"/>
    </row>
    <row r="2490" spans="11:12">
      <c r="K2490" s="65"/>
      <c r="L2490" s="65"/>
    </row>
    <row r="2491" spans="11:12">
      <c r="K2491" s="65"/>
      <c r="L2491" s="65"/>
    </row>
    <row r="2492" spans="11:12">
      <c r="K2492" s="65"/>
      <c r="L2492" s="65"/>
    </row>
    <row r="2493" spans="11:12">
      <c r="K2493" s="65"/>
      <c r="L2493" s="65"/>
    </row>
    <row r="2494" spans="11:12">
      <c r="K2494" s="65"/>
      <c r="L2494" s="65"/>
    </row>
    <row r="2495" spans="11:12">
      <c r="K2495" s="65"/>
      <c r="L2495" s="65"/>
    </row>
    <row r="2496" spans="11:12">
      <c r="K2496" s="65"/>
      <c r="L2496" s="65"/>
    </row>
    <row r="2497" spans="11:12">
      <c r="K2497" s="65"/>
      <c r="L2497" s="65"/>
    </row>
    <row r="2498" spans="11:12">
      <c r="K2498" s="65"/>
      <c r="L2498" s="65"/>
    </row>
    <row r="2499" spans="11:12">
      <c r="K2499" s="65"/>
      <c r="L2499" s="65"/>
    </row>
    <row r="2500" spans="11:12">
      <c r="K2500" s="65"/>
      <c r="L2500" s="65"/>
    </row>
    <row r="2501" spans="11:12">
      <c r="K2501" s="65"/>
      <c r="L2501" s="65"/>
    </row>
    <row r="2502" spans="11:12">
      <c r="K2502" s="65"/>
      <c r="L2502" s="65"/>
    </row>
    <row r="2503" spans="11:12">
      <c r="K2503" s="65"/>
      <c r="L2503" s="65"/>
    </row>
    <row r="2504" spans="11:12">
      <c r="K2504" s="65"/>
      <c r="L2504" s="65"/>
    </row>
    <row r="2505" spans="11:12">
      <c r="K2505" s="65"/>
      <c r="L2505" s="65"/>
    </row>
    <row r="2506" spans="11:12">
      <c r="K2506" s="65"/>
      <c r="L2506" s="65"/>
    </row>
    <row r="2507" spans="11:12">
      <c r="K2507" s="65"/>
      <c r="L2507" s="65"/>
    </row>
    <row r="2508" spans="11:12">
      <c r="K2508" s="65"/>
      <c r="L2508" s="65"/>
    </row>
    <row r="2509" spans="11:12">
      <c r="K2509" s="65"/>
      <c r="L2509" s="65"/>
    </row>
    <row r="2510" spans="11:12">
      <c r="K2510" s="65"/>
      <c r="L2510" s="65"/>
    </row>
    <row r="2511" spans="11:12">
      <c r="K2511" s="65"/>
      <c r="L2511" s="65"/>
    </row>
    <row r="2512" spans="11:12">
      <c r="K2512" s="65"/>
      <c r="L2512" s="65"/>
    </row>
    <row r="2513" spans="11:12">
      <c r="K2513" s="65"/>
      <c r="L2513" s="65"/>
    </row>
    <row r="2514" spans="11:12">
      <c r="K2514" s="65"/>
      <c r="L2514" s="65"/>
    </row>
    <row r="2515" spans="11:12">
      <c r="K2515" s="65"/>
      <c r="L2515" s="65"/>
    </row>
    <row r="2516" spans="11:12">
      <c r="K2516" s="65"/>
      <c r="L2516" s="65"/>
    </row>
    <row r="2517" spans="11:12">
      <c r="K2517" s="65"/>
      <c r="L2517" s="65"/>
    </row>
    <row r="2518" spans="11:12">
      <c r="K2518" s="65"/>
      <c r="L2518" s="65"/>
    </row>
    <row r="2519" spans="11:12">
      <c r="K2519" s="65"/>
      <c r="L2519" s="65"/>
    </row>
    <row r="2520" spans="11:12">
      <c r="K2520" s="65"/>
      <c r="L2520" s="65"/>
    </row>
    <row r="2521" spans="11:12">
      <c r="K2521" s="65"/>
      <c r="L2521" s="65"/>
    </row>
    <row r="2522" spans="11:12">
      <c r="K2522" s="65"/>
      <c r="L2522" s="65"/>
    </row>
    <row r="2523" spans="11:12">
      <c r="K2523" s="65"/>
      <c r="L2523" s="65"/>
    </row>
    <row r="2524" spans="11:12">
      <c r="K2524" s="65"/>
      <c r="L2524" s="65"/>
    </row>
    <row r="2525" spans="11:12">
      <c r="K2525" s="65"/>
      <c r="L2525" s="65"/>
    </row>
    <row r="2526" spans="11:12">
      <c r="K2526" s="65"/>
      <c r="L2526" s="65"/>
    </row>
    <row r="2527" spans="11:12">
      <c r="K2527" s="65"/>
      <c r="L2527" s="65"/>
    </row>
    <row r="2528" spans="11:12">
      <c r="K2528" s="65"/>
      <c r="L2528" s="65"/>
    </row>
    <row r="2529" spans="11:12">
      <c r="K2529" s="65"/>
      <c r="L2529" s="65"/>
    </row>
    <row r="2530" spans="11:12">
      <c r="K2530" s="65"/>
      <c r="L2530" s="65"/>
    </row>
    <row r="2531" spans="11:12">
      <c r="K2531" s="65"/>
      <c r="L2531" s="65"/>
    </row>
    <row r="2532" spans="11:12">
      <c r="K2532" s="65"/>
      <c r="L2532" s="65"/>
    </row>
    <row r="2533" spans="11:12">
      <c r="K2533" s="65"/>
      <c r="L2533" s="65"/>
    </row>
    <row r="2534" spans="11:12">
      <c r="K2534" s="65"/>
      <c r="L2534" s="65"/>
    </row>
    <row r="2535" spans="11:12">
      <c r="K2535" s="65"/>
      <c r="L2535" s="65"/>
    </row>
    <row r="2536" spans="11:12">
      <c r="K2536" s="65"/>
      <c r="L2536" s="65"/>
    </row>
    <row r="2537" spans="11:12">
      <c r="K2537" s="65"/>
      <c r="L2537" s="65"/>
    </row>
    <row r="2538" spans="11:12">
      <c r="K2538" s="65"/>
      <c r="L2538" s="65"/>
    </row>
    <row r="2539" spans="11:12">
      <c r="K2539" s="65"/>
      <c r="L2539" s="65"/>
    </row>
    <row r="2540" spans="11:12">
      <c r="K2540" s="65"/>
      <c r="L2540" s="65"/>
    </row>
    <row r="2541" spans="11:12">
      <c r="K2541" s="65"/>
      <c r="L2541" s="65"/>
    </row>
    <row r="2542" spans="11:12">
      <c r="K2542" s="65"/>
      <c r="L2542" s="65"/>
    </row>
    <row r="2543" spans="11:12">
      <c r="K2543" s="65"/>
      <c r="L2543" s="65"/>
    </row>
    <row r="2544" spans="11:12">
      <c r="K2544" s="65"/>
      <c r="L2544" s="65"/>
    </row>
    <row r="2545" spans="11:12">
      <c r="K2545" s="65"/>
      <c r="L2545" s="65"/>
    </row>
    <row r="2546" spans="11:12">
      <c r="K2546" s="65"/>
      <c r="L2546" s="65"/>
    </row>
    <row r="2547" spans="11:12">
      <c r="K2547" s="65"/>
      <c r="L2547" s="65"/>
    </row>
    <row r="2548" spans="11:12">
      <c r="K2548" s="65"/>
      <c r="L2548" s="65"/>
    </row>
    <row r="2549" spans="11:12">
      <c r="K2549" s="65"/>
      <c r="L2549" s="65"/>
    </row>
    <row r="2550" spans="11:12">
      <c r="K2550" s="65"/>
      <c r="L2550" s="65"/>
    </row>
    <row r="2551" spans="11:12">
      <c r="K2551" s="65"/>
      <c r="L2551" s="65"/>
    </row>
    <row r="2552" spans="11:12">
      <c r="K2552" s="65"/>
      <c r="L2552" s="65"/>
    </row>
    <row r="2553" spans="11:12">
      <c r="K2553" s="65"/>
      <c r="L2553" s="65"/>
    </row>
    <row r="2554" spans="11:12">
      <c r="K2554" s="65"/>
      <c r="L2554" s="65"/>
    </row>
    <row r="2555" spans="11:12">
      <c r="K2555" s="65"/>
      <c r="L2555" s="65"/>
    </row>
    <row r="2556" spans="11:12">
      <c r="K2556" s="65"/>
      <c r="L2556" s="65"/>
    </row>
    <row r="2557" spans="11:12">
      <c r="K2557" s="65"/>
      <c r="L2557" s="65"/>
    </row>
    <row r="2558" spans="11:12">
      <c r="K2558" s="65"/>
      <c r="L2558" s="65"/>
    </row>
    <row r="2559" spans="11:12">
      <c r="K2559" s="65"/>
      <c r="L2559" s="65"/>
    </row>
    <row r="2560" spans="11:12">
      <c r="K2560" s="65"/>
      <c r="L2560" s="65"/>
    </row>
    <row r="2561" spans="11:12">
      <c r="K2561" s="65"/>
      <c r="L2561" s="65"/>
    </row>
    <row r="2562" spans="11:12">
      <c r="K2562" s="65"/>
      <c r="L2562" s="65"/>
    </row>
    <row r="2563" spans="11:12">
      <c r="K2563" s="65"/>
      <c r="L2563" s="65"/>
    </row>
    <row r="2564" spans="11:12">
      <c r="K2564" s="65"/>
      <c r="L2564" s="65"/>
    </row>
    <row r="2565" spans="11:12">
      <c r="K2565" s="65"/>
      <c r="L2565" s="65"/>
    </row>
    <row r="2566" spans="11:12">
      <c r="K2566" s="65"/>
      <c r="L2566" s="65"/>
    </row>
    <row r="2567" spans="11:12">
      <c r="K2567" s="65"/>
      <c r="L2567" s="65"/>
    </row>
    <row r="2568" spans="11:12">
      <c r="K2568" s="65"/>
      <c r="L2568" s="65"/>
    </row>
    <row r="2569" spans="11:12">
      <c r="K2569" s="65"/>
      <c r="L2569" s="65"/>
    </row>
    <row r="2570" spans="11:12">
      <c r="K2570" s="65"/>
      <c r="L2570" s="65"/>
    </row>
    <row r="2571" spans="11:12">
      <c r="K2571" s="65"/>
      <c r="L2571" s="65"/>
    </row>
    <row r="2572" spans="11:12">
      <c r="K2572" s="65"/>
      <c r="L2572" s="65"/>
    </row>
    <row r="2573" spans="11:12">
      <c r="K2573" s="65"/>
      <c r="L2573" s="65"/>
    </row>
    <row r="2574" spans="11:12">
      <c r="K2574" s="65"/>
      <c r="L2574" s="65"/>
    </row>
    <row r="2575" spans="11:12">
      <c r="K2575" s="65"/>
      <c r="L2575" s="65"/>
    </row>
    <row r="2576" spans="11:12">
      <c r="K2576" s="65"/>
      <c r="L2576" s="65"/>
    </row>
    <row r="2577" spans="11:12">
      <c r="K2577" s="65"/>
      <c r="L2577" s="65"/>
    </row>
    <row r="2578" spans="11:12">
      <c r="K2578" s="65"/>
      <c r="L2578" s="65"/>
    </row>
    <row r="2579" spans="11:12">
      <c r="K2579" s="65"/>
      <c r="L2579" s="65"/>
    </row>
    <row r="2580" spans="11:12">
      <c r="K2580" s="65"/>
      <c r="L2580" s="65"/>
    </row>
    <row r="2581" spans="11:12">
      <c r="K2581" s="65"/>
      <c r="L2581" s="65"/>
    </row>
    <row r="2582" spans="11:12">
      <c r="K2582" s="65"/>
      <c r="L2582" s="65"/>
    </row>
    <row r="2583" spans="11:12">
      <c r="K2583" s="65"/>
      <c r="L2583" s="65"/>
    </row>
    <row r="2584" spans="11:12">
      <c r="K2584" s="65"/>
      <c r="L2584" s="65"/>
    </row>
    <row r="2585" spans="11:12">
      <c r="K2585" s="65"/>
      <c r="L2585" s="65"/>
    </row>
    <row r="2586" spans="11:12">
      <c r="K2586" s="65"/>
      <c r="L2586" s="65"/>
    </row>
    <row r="2587" spans="11:12">
      <c r="K2587" s="65"/>
      <c r="L2587" s="65"/>
    </row>
    <row r="2588" spans="11:12">
      <c r="K2588" s="65"/>
      <c r="L2588" s="65"/>
    </row>
    <row r="2589" spans="11:12">
      <c r="K2589" s="65"/>
      <c r="L2589" s="65"/>
    </row>
    <row r="2590" spans="11:12">
      <c r="K2590" s="65"/>
      <c r="L2590" s="65"/>
    </row>
    <row r="2591" spans="11:12">
      <c r="K2591" s="65"/>
      <c r="L2591" s="65"/>
    </row>
    <row r="2592" spans="11:12">
      <c r="K2592" s="65"/>
      <c r="L2592" s="65"/>
    </row>
    <row r="2593" spans="11:12">
      <c r="K2593" s="65"/>
      <c r="L2593" s="65"/>
    </row>
    <row r="2594" spans="11:12">
      <c r="K2594" s="65"/>
      <c r="L2594" s="65"/>
    </row>
    <row r="2595" spans="11:12">
      <c r="K2595" s="65"/>
      <c r="L2595" s="65"/>
    </row>
    <row r="2596" spans="11:12">
      <c r="K2596" s="65"/>
      <c r="L2596" s="65"/>
    </row>
    <row r="2597" spans="11:12">
      <c r="K2597" s="65"/>
      <c r="L2597" s="65"/>
    </row>
    <row r="2598" spans="11:12">
      <c r="K2598" s="65"/>
      <c r="L2598" s="65"/>
    </row>
    <row r="2599" spans="11:12">
      <c r="K2599" s="65"/>
      <c r="L2599" s="65"/>
    </row>
    <row r="2600" spans="11:12">
      <c r="K2600" s="65"/>
      <c r="L2600" s="65"/>
    </row>
    <row r="2601" spans="11:12">
      <c r="K2601" s="65"/>
      <c r="L2601" s="65"/>
    </row>
    <row r="2602" spans="11:12">
      <c r="K2602" s="65"/>
      <c r="L2602" s="65"/>
    </row>
    <row r="2603" spans="11:12">
      <c r="K2603" s="65"/>
      <c r="L2603" s="65"/>
    </row>
    <row r="2604" spans="11:12">
      <c r="K2604" s="65"/>
      <c r="L2604" s="65"/>
    </row>
    <row r="2605" spans="11:12">
      <c r="K2605" s="65"/>
      <c r="L2605" s="65"/>
    </row>
    <row r="2606" spans="11:12">
      <c r="K2606" s="65"/>
      <c r="L2606" s="65"/>
    </row>
    <row r="2607" spans="11:12">
      <c r="K2607" s="65"/>
      <c r="L2607" s="65"/>
    </row>
    <row r="2608" spans="11:12">
      <c r="K2608" s="65"/>
      <c r="L2608" s="65"/>
    </row>
    <row r="2609" spans="11:12">
      <c r="K2609" s="65"/>
      <c r="L2609" s="65"/>
    </row>
    <row r="2610" spans="11:12">
      <c r="K2610" s="65"/>
      <c r="L2610" s="65"/>
    </row>
    <row r="2611" spans="11:12">
      <c r="K2611" s="65"/>
      <c r="L2611" s="65"/>
    </row>
    <row r="2612" spans="11:12">
      <c r="K2612" s="65"/>
      <c r="L2612" s="65"/>
    </row>
    <row r="2613" spans="11:12">
      <c r="K2613" s="65"/>
      <c r="L2613" s="65"/>
    </row>
    <row r="2614" spans="11:12">
      <c r="K2614" s="65"/>
      <c r="L2614" s="65"/>
    </row>
    <row r="2615" spans="11:12">
      <c r="K2615" s="65"/>
      <c r="L2615" s="65"/>
    </row>
    <row r="2616" spans="11:12">
      <c r="K2616" s="65"/>
      <c r="L2616" s="65"/>
    </row>
    <row r="2617" spans="11:12">
      <c r="K2617" s="65"/>
      <c r="L2617" s="65"/>
    </row>
    <row r="2618" spans="11:12">
      <c r="K2618" s="65"/>
      <c r="L2618" s="65"/>
    </row>
    <row r="2619" spans="11:12">
      <c r="K2619" s="65"/>
      <c r="L2619" s="65"/>
    </row>
    <row r="2620" spans="11:12">
      <c r="K2620" s="65"/>
      <c r="L2620" s="65"/>
    </row>
    <row r="2621" spans="11:12">
      <c r="K2621" s="65"/>
      <c r="L2621" s="65"/>
    </row>
    <row r="2622" spans="11:12">
      <c r="K2622" s="65"/>
      <c r="L2622" s="65"/>
    </row>
    <row r="2623" spans="11:12">
      <c r="K2623" s="65"/>
      <c r="L2623" s="65"/>
    </row>
    <row r="2624" spans="11:12">
      <c r="K2624" s="65"/>
      <c r="L2624" s="65"/>
    </row>
    <row r="2625" spans="11:12">
      <c r="K2625" s="65"/>
      <c r="L2625" s="65"/>
    </row>
    <row r="2626" spans="11:12">
      <c r="K2626" s="65"/>
      <c r="L2626" s="65"/>
    </row>
    <row r="2627" spans="11:12">
      <c r="K2627" s="65"/>
      <c r="L2627" s="65"/>
    </row>
    <row r="2628" spans="11:12">
      <c r="K2628" s="65"/>
      <c r="L2628" s="65"/>
    </row>
    <row r="2629" spans="11:12">
      <c r="K2629" s="65"/>
      <c r="L2629" s="65"/>
    </row>
    <row r="2630" spans="11:12">
      <c r="K2630" s="65"/>
      <c r="L2630" s="65"/>
    </row>
    <row r="2631" spans="11:12">
      <c r="K2631" s="65"/>
      <c r="L2631" s="65"/>
    </row>
    <row r="2632" spans="11:12">
      <c r="K2632" s="65"/>
      <c r="L2632" s="65"/>
    </row>
    <row r="2633" spans="11:12">
      <c r="K2633" s="65"/>
      <c r="L2633" s="65"/>
    </row>
    <row r="2634" spans="11:12">
      <c r="K2634" s="65"/>
      <c r="L2634" s="65"/>
    </row>
    <row r="2635" spans="11:12">
      <c r="K2635" s="65"/>
      <c r="L2635" s="65"/>
    </row>
    <row r="2636" spans="11:12">
      <c r="K2636" s="65"/>
      <c r="L2636" s="65"/>
    </row>
    <row r="2637" spans="11:12">
      <c r="K2637" s="65"/>
      <c r="L2637" s="65"/>
    </row>
    <row r="2638" spans="11:12">
      <c r="K2638" s="65"/>
      <c r="L2638" s="65"/>
    </row>
    <row r="2639" spans="11:12">
      <c r="K2639" s="65"/>
      <c r="L2639" s="65"/>
    </row>
    <row r="2640" spans="11:12">
      <c r="K2640" s="65"/>
      <c r="L2640" s="65"/>
    </row>
    <row r="2641" spans="11:12">
      <c r="K2641" s="65"/>
      <c r="L2641" s="65"/>
    </row>
    <row r="2642" spans="11:12">
      <c r="K2642" s="65"/>
      <c r="L2642" s="65"/>
    </row>
    <row r="2643" spans="11:12">
      <c r="K2643" s="65"/>
      <c r="L2643" s="65"/>
    </row>
    <row r="2644" spans="11:12">
      <c r="K2644" s="65"/>
      <c r="L2644" s="65"/>
    </row>
    <row r="2645" spans="11:12">
      <c r="K2645" s="65"/>
      <c r="L2645" s="65"/>
    </row>
    <row r="2646" spans="11:12">
      <c r="K2646" s="65"/>
      <c r="L2646" s="65"/>
    </row>
    <row r="2647" spans="11:12">
      <c r="K2647" s="65"/>
      <c r="L2647" s="65"/>
    </row>
    <row r="2648" spans="11:12">
      <c r="K2648" s="65"/>
      <c r="L2648" s="65"/>
    </row>
    <row r="2649" spans="11:12">
      <c r="K2649" s="65"/>
      <c r="L2649" s="65"/>
    </row>
    <row r="2650" spans="11:12">
      <c r="K2650" s="65"/>
      <c r="L2650" s="65"/>
    </row>
    <row r="2651" spans="11:12">
      <c r="K2651" s="65"/>
      <c r="L2651" s="65"/>
    </row>
    <row r="2652" spans="11:12">
      <c r="K2652" s="65"/>
      <c r="L2652" s="65"/>
    </row>
    <row r="2653" spans="11:12">
      <c r="K2653" s="65"/>
      <c r="L2653" s="65"/>
    </row>
    <row r="2654" spans="11:12">
      <c r="K2654" s="65"/>
      <c r="L2654" s="65"/>
    </row>
    <row r="2655" spans="11:12">
      <c r="K2655" s="65"/>
      <c r="L2655" s="65"/>
    </row>
    <row r="2656" spans="11:12">
      <c r="K2656" s="65"/>
      <c r="L2656" s="65"/>
    </row>
    <row r="2657" spans="11:12">
      <c r="K2657" s="65"/>
      <c r="L2657" s="65"/>
    </row>
    <row r="2658" spans="11:12">
      <c r="K2658" s="65"/>
      <c r="L2658" s="65"/>
    </row>
    <row r="2659" spans="11:12">
      <c r="K2659" s="65"/>
      <c r="L2659" s="65"/>
    </row>
    <row r="2660" spans="11:12">
      <c r="K2660" s="65"/>
      <c r="L2660" s="65"/>
    </row>
    <row r="2661" spans="11:12">
      <c r="K2661" s="65"/>
      <c r="L2661" s="65"/>
    </row>
    <row r="2662" spans="11:12">
      <c r="K2662" s="65"/>
      <c r="L2662" s="65"/>
    </row>
    <row r="2663" spans="11:12">
      <c r="K2663" s="65"/>
      <c r="L2663" s="65"/>
    </row>
    <row r="2664" spans="11:12">
      <c r="K2664" s="65"/>
      <c r="L2664" s="65"/>
    </row>
    <row r="2665" spans="11:12">
      <c r="K2665" s="65"/>
      <c r="L2665" s="65"/>
    </row>
    <row r="2666" spans="11:12">
      <c r="K2666" s="65"/>
      <c r="L2666" s="65"/>
    </row>
    <row r="2667" spans="11:12">
      <c r="K2667" s="65"/>
      <c r="L2667" s="65"/>
    </row>
    <row r="2668" spans="11:12">
      <c r="K2668" s="65"/>
      <c r="L2668" s="65"/>
    </row>
    <row r="2669" spans="11:12">
      <c r="K2669" s="65"/>
      <c r="L2669" s="65"/>
    </row>
    <row r="2670" spans="11:12">
      <c r="K2670" s="65"/>
      <c r="L2670" s="65"/>
    </row>
    <row r="2671" spans="11:12">
      <c r="K2671" s="65"/>
      <c r="L2671" s="65"/>
    </row>
    <row r="2672" spans="11:12">
      <c r="K2672" s="65"/>
      <c r="L2672" s="65"/>
    </row>
    <row r="2673" spans="11:12">
      <c r="K2673" s="65"/>
      <c r="L2673" s="65"/>
    </row>
    <row r="2674" spans="11:12">
      <c r="K2674" s="65"/>
      <c r="L2674" s="65"/>
    </row>
    <row r="2675" spans="11:12">
      <c r="K2675" s="65"/>
      <c r="L2675" s="65"/>
    </row>
    <row r="2676" spans="11:12">
      <c r="K2676" s="65"/>
      <c r="L2676" s="65"/>
    </row>
    <row r="2677" spans="11:12">
      <c r="K2677" s="65"/>
      <c r="L2677" s="65"/>
    </row>
    <row r="2678" spans="11:12">
      <c r="K2678" s="65"/>
      <c r="L2678" s="65"/>
    </row>
    <row r="2679" spans="11:12">
      <c r="K2679" s="65"/>
      <c r="L2679" s="65"/>
    </row>
    <row r="2680" spans="11:12">
      <c r="K2680" s="65"/>
      <c r="L2680" s="65"/>
    </row>
    <row r="2681" spans="11:12">
      <c r="K2681" s="65"/>
      <c r="L2681" s="65"/>
    </row>
    <row r="2682" spans="11:12">
      <c r="K2682" s="65"/>
      <c r="L2682" s="65"/>
    </row>
    <row r="2683" spans="11:12">
      <c r="K2683" s="65"/>
      <c r="L2683" s="65"/>
    </row>
    <row r="2684" spans="11:12">
      <c r="K2684" s="65"/>
      <c r="L2684" s="65"/>
    </row>
    <row r="2685" spans="11:12">
      <c r="K2685" s="65"/>
      <c r="L2685" s="65"/>
    </row>
    <row r="2686" spans="11:12">
      <c r="K2686" s="65"/>
      <c r="L2686" s="65"/>
    </row>
    <row r="2687" spans="11:12">
      <c r="K2687" s="65"/>
      <c r="L2687" s="65"/>
    </row>
    <row r="2688" spans="11:12">
      <c r="K2688" s="65"/>
      <c r="L2688" s="65"/>
    </row>
    <row r="2689" spans="11:12">
      <c r="K2689" s="65"/>
      <c r="L2689" s="65"/>
    </row>
    <row r="2690" spans="11:12">
      <c r="K2690" s="65"/>
      <c r="L2690" s="65"/>
    </row>
    <row r="2691" spans="11:12">
      <c r="K2691" s="65"/>
      <c r="L2691" s="65"/>
    </row>
    <row r="2692" spans="11:12">
      <c r="K2692" s="65"/>
      <c r="L2692" s="65"/>
    </row>
    <row r="2693" spans="11:12">
      <c r="K2693" s="65"/>
      <c r="L2693" s="65"/>
    </row>
    <row r="2694" spans="11:12">
      <c r="K2694" s="65"/>
      <c r="L2694" s="65"/>
    </row>
    <row r="2695" spans="11:12">
      <c r="K2695" s="65"/>
      <c r="L2695" s="65"/>
    </row>
    <row r="2696" spans="11:12">
      <c r="K2696" s="65"/>
      <c r="L2696" s="65"/>
    </row>
    <row r="2697" spans="11:12">
      <c r="K2697" s="65"/>
      <c r="L2697" s="65"/>
    </row>
    <row r="2698" spans="11:12">
      <c r="K2698" s="65"/>
      <c r="L2698" s="65"/>
    </row>
    <row r="2699" spans="11:12">
      <c r="K2699" s="65"/>
      <c r="L2699" s="65"/>
    </row>
    <row r="2700" spans="11:12">
      <c r="K2700" s="65"/>
      <c r="L2700" s="65"/>
    </row>
    <row r="2701" spans="11:12">
      <c r="K2701" s="65"/>
      <c r="L2701" s="65"/>
    </row>
    <row r="2702" spans="11:12">
      <c r="K2702" s="65"/>
      <c r="L2702" s="65"/>
    </row>
    <row r="2703" spans="11:12">
      <c r="K2703" s="65"/>
      <c r="L2703" s="65"/>
    </row>
    <row r="2704" spans="11:12">
      <c r="K2704" s="65"/>
      <c r="L2704" s="65"/>
    </row>
    <row r="2705" spans="11:12">
      <c r="K2705" s="65"/>
      <c r="L2705" s="65"/>
    </row>
    <row r="2706" spans="11:12">
      <c r="K2706" s="65"/>
      <c r="L2706" s="65"/>
    </row>
    <row r="2707" spans="11:12">
      <c r="K2707" s="65"/>
      <c r="L2707" s="65"/>
    </row>
    <row r="2708" spans="11:12">
      <c r="K2708" s="65"/>
      <c r="L2708" s="65"/>
    </row>
    <row r="2709" spans="11:12">
      <c r="K2709" s="65"/>
      <c r="L2709" s="65"/>
    </row>
    <row r="2710" spans="11:12">
      <c r="K2710" s="65"/>
      <c r="L2710" s="65"/>
    </row>
    <row r="2711" spans="11:12">
      <c r="K2711" s="65"/>
      <c r="L2711" s="65"/>
    </row>
    <row r="2712" spans="11:12">
      <c r="K2712" s="65"/>
      <c r="L2712" s="65"/>
    </row>
    <row r="2713" spans="11:12">
      <c r="K2713" s="65"/>
      <c r="L2713" s="65"/>
    </row>
    <row r="2714" spans="11:12">
      <c r="K2714" s="65"/>
      <c r="L2714" s="65"/>
    </row>
    <row r="2715" spans="11:12">
      <c r="K2715" s="65"/>
      <c r="L2715" s="65"/>
    </row>
    <row r="2716" spans="11:12">
      <c r="K2716" s="65"/>
      <c r="L2716" s="65"/>
    </row>
    <row r="2717" spans="11:12">
      <c r="K2717" s="65"/>
      <c r="L2717" s="65"/>
    </row>
    <row r="2718" spans="11:12">
      <c r="K2718" s="65"/>
      <c r="L2718" s="65"/>
    </row>
    <row r="2719" spans="11:12">
      <c r="K2719" s="65"/>
      <c r="L2719" s="65"/>
    </row>
    <row r="2720" spans="11:12">
      <c r="K2720" s="65"/>
      <c r="L2720" s="65"/>
    </row>
    <row r="2721" spans="11:12">
      <c r="K2721" s="65"/>
      <c r="L2721" s="65"/>
    </row>
    <row r="2722" spans="11:12">
      <c r="K2722" s="65"/>
      <c r="L2722" s="65"/>
    </row>
    <row r="2723" spans="11:12">
      <c r="K2723" s="65"/>
      <c r="L2723" s="65"/>
    </row>
    <row r="2724" spans="11:12">
      <c r="K2724" s="65"/>
      <c r="L2724" s="65"/>
    </row>
    <row r="2725" spans="11:12">
      <c r="K2725" s="65"/>
      <c r="L2725" s="65"/>
    </row>
    <row r="2726" spans="11:12">
      <c r="K2726" s="65"/>
      <c r="L2726" s="65"/>
    </row>
    <row r="2727" spans="11:12">
      <c r="K2727" s="65"/>
      <c r="L2727" s="65"/>
    </row>
    <row r="2728" spans="11:12">
      <c r="K2728" s="65"/>
      <c r="L2728" s="65"/>
    </row>
    <row r="2729" spans="11:12">
      <c r="K2729" s="65"/>
      <c r="L2729" s="65"/>
    </row>
    <row r="2730" spans="11:12">
      <c r="K2730" s="65"/>
      <c r="L2730" s="65"/>
    </row>
    <row r="2731" spans="11:12">
      <c r="K2731" s="65"/>
      <c r="L2731" s="65"/>
    </row>
    <row r="2732" spans="11:12">
      <c r="K2732" s="65"/>
      <c r="L2732" s="65"/>
    </row>
    <row r="2733" spans="11:12">
      <c r="K2733" s="65"/>
      <c r="L2733" s="65"/>
    </row>
    <row r="2734" spans="11:12">
      <c r="K2734" s="65"/>
      <c r="L2734" s="65"/>
    </row>
    <row r="2735" spans="11:12">
      <c r="K2735" s="65"/>
      <c r="L2735" s="65"/>
    </row>
    <row r="2736" spans="11:12">
      <c r="K2736" s="65"/>
      <c r="L2736" s="65"/>
    </row>
    <row r="2737" spans="11:12">
      <c r="K2737" s="65"/>
      <c r="L2737" s="65"/>
    </row>
    <row r="2738" spans="11:12">
      <c r="K2738" s="65"/>
      <c r="L2738" s="65"/>
    </row>
    <row r="2739" spans="11:12">
      <c r="K2739" s="65"/>
      <c r="L2739" s="65"/>
    </row>
    <row r="2740" spans="11:12">
      <c r="K2740" s="65"/>
      <c r="L2740" s="65"/>
    </row>
    <row r="2741" spans="11:12">
      <c r="K2741" s="65"/>
      <c r="L2741" s="65"/>
    </row>
    <row r="2742" spans="11:12">
      <c r="K2742" s="65"/>
      <c r="L2742" s="65"/>
    </row>
    <row r="2743" spans="11:12">
      <c r="K2743" s="65"/>
      <c r="L2743" s="65"/>
    </row>
    <row r="2744" spans="11:12">
      <c r="K2744" s="65"/>
      <c r="L2744" s="65"/>
    </row>
    <row r="2745" spans="11:12">
      <c r="K2745" s="65"/>
      <c r="L2745" s="65"/>
    </row>
    <row r="2746" spans="11:12">
      <c r="K2746" s="65"/>
      <c r="L2746" s="65"/>
    </row>
    <row r="2747" spans="11:12">
      <c r="K2747" s="65"/>
      <c r="L2747" s="65"/>
    </row>
    <row r="2748" spans="11:12">
      <c r="K2748" s="65"/>
      <c r="L2748" s="65"/>
    </row>
    <row r="2749" spans="11:12">
      <c r="K2749" s="65"/>
      <c r="L2749" s="65"/>
    </row>
    <row r="2750" spans="11:12">
      <c r="K2750" s="65"/>
      <c r="L2750" s="65"/>
    </row>
    <row r="2751" spans="11:12">
      <c r="K2751" s="65"/>
      <c r="L2751" s="65"/>
    </row>
    <row r="2752" spans="11:12">
      <c r="K2752" s="65"/>
      <c r="L2752" s="65"/>
    </row>
    <row r="2753" spans="11:12">
      <c r="K2753" s="65"/>
      <c r="L2753" s="65"/>
    </row>
    <row r="2754" spans="11:12">
      <c r="K2754" s="65"/>
      <c r="L2754" s="65"/>
    </row>
    <row r="2755" spans="11:12">
      <c r="K2755" s="65"/>
      <c r="L2755" s="65"/>
    </row>
    <row r="2756" spans="11:12">
      <c r="K2756" s="65"/>
      <c r="L2756" s="65"/>
    </row>
    <row r="2757" spans="11:12">
      <c r="K2757" s="65"/>
      <c r="L2757" s="65"/>
    </row>
    <row r="2758" spans="11:12">
      <c r="K2758" s="65"/>
      <c r="L2758" s="65"/>
    </row>
    <row r="2759" spans="11:12">
      <c r="K2759" s="65"/>
      <c r="L2759" s="65"/>
    </row>
    <row r="2760" spans="11:12">
      <c r="K2760" s="65"/>
      <c r="L2760" s="65"/>
    </row>
    <row r="2761" spans="11:12">
      <c r="K2761" s="65"/>
      <c r="L2761" s="65"/>
    </row>
    <row r="2762" spans="11:12">
      <c r="K2762" s="65"/>
      <c r="L2762" s="65"/>
    </row>
    <row r="2763" spans="11:12">
      <c r="K2763" s="65"/>
      <c r="L2763" s="65"/>
    </row>
    <row r="2764" spans="11:12">
      <c r="K2764" s="65"/>
      <c r="L2764" s="65"/>
    </row>
    <row r="2765" spans="11:12">
      <c r="K2765" s="65"/>
      <c r="L2765" s="65"/>
    </row>
    <row r="2766" spans="11:12">
      <c r="K2766" s="65"/>
      <c r="L2766" s="65"/>
    </row>
    <row r="2767" spans="11:12">
      <c r="K2767" s="65"/>
      <c r="L2767" s="65"/>
    </row>
    <row r="2768" spans="11:12">
      <c r="K2768" s="65"/>
      <c r="L2768" s="65"/>
    </row>
    <row r="2769" spans="11:12">
      <c r="K2769" s="65"/>
      <c r="L2769" s="65"/>
    </row>
    <row r="2770" spans="11:12">
      <c r="K2770" s="65"/>
      <c r="L2770" s="65"/>
    </row>
    <row r="2771" spans="11:12">
      <c r="K2771" s="65"/>
      <c r="L2771" s="65"/>
    </row>
    <row r="2772" spans="11:12">
      <c r="K2772" s="65"/>
      <c r="L2772" s="65"/>
    </row>
    <row r="2773" spans="11:12">
      <c r="K2773" s="65"/>
      <c r="L2773" s="65"/>
    </row>
    <row r="2774" spans="11:12">
      <c r="K2774" s="65"/>
      <c r="L2774" s="65"/>
    </row>
    <row r="2775" spans="11:12">
      <c r="K2775" s="65"/>
      <c r="L2775" s="65"/>
    </row>
    <row r="2776" spans="11:12">
      <c r="K2776" s="65"/>
      <c r="L2776" s="65"/>
    </row>
    <row r="2777" spans="11:12">
      <c r="K2777" s="65"/>
      <c r="L2777" s="65"/>
    </row>
    <row r="2778" spans="11:12">
      <c r="K2778" s="65"/>
      <c r="L2778" s="65"/>
    </row>
    <row r="2779" spans="11:12">
      <c r="K2779" s="65"/>
      <c r="L2779" s="65"/>
    </row>
    <row r="2780" spans="11:12">
      <c r="K2780" s="65"/>
      <c r="L2780" s="65"/>
    </row>
    <row r="2781" spans="11:12">
      <c r="K2781" s="65"/>
      <c r="L2781" s="65"/>
    </row>
    <row r="2782" spans="11:12">
      <c r="K2782" s="65"/>
      <c r="L2782" s="65"/>
    </row>
    <row r="2783" spans="11:12">
      <c r="K2783" s="65"/>
      <c r="L2783" s="65"/>
    </row>
    <row r="2784" spans="11:12">
      <c r="K2784" s="65"/>
      <c r="L2784" s="65"/>
    </row>
    <row r="2785" spans="11:12">
      <c r="K2785" s="65"/>
      <c r="L2785" s="65"/>
    </row>
    <row r="2786" spans="11:12">
      <c r="K2786" s="65"/>
      <c r="L2786" s="65"/>
    </row>
    <row r="2787" spans="11:12">
      <c r="K2787" s="65"/>
      <c r="L2787" s="65"/>
    </row>
    <row r="2788" spans="11:12">
      <c r="K2788" s="65"/>
      <c r="L2788" s="65"/>
    </row>
    <row r="2789" spans="11:12">
      <c r="K2789" s="65"/>
      <c r="L2789" s="65"/>
    </row>
    <row r="2790" spans="11:12">
      <c r="K2790" s="65"/>
      <c r="L2790" s="65"/>
    </row>
    <row r="2791" spans="11:12">
      <c r="K2791" s="65"/>
      <c r="L2791" s="65"/>
    </row>
    <row r="2792" spans="11:12">
      <c r="K2792" s="65"/>
      <c r="L2792" s="65"/>
    </row>
    <row r="2793" spans="11:12">
      <c r="K2793" s="65"/>
      <c r="L2793" s="65"/>
    </row>
    <row r="2794" spans="11:12">
      <c r="K2794" s="65"/>
      <c r="L2794" s="65"/>
    </row>
    <row r="2795" spans="11:12">
      <c r="K2795" s="65"/>
      <c r="L2795" s="65"/>
    </row>
    <row r="2796" spans="11:12">
      <c r="K2796" s="65"/>
      <c r="L2796" s="65"/>
    </row>
    <row r="2797" spans="11:12">
      <c r="K2797" s="65"/>
      <c r="L2797" s="65"/>
    </row>
    <row r="2798" spans="11:12">
      <c r="K2798" s="65"/>
      <c r="L2798" s="65"/>
    </row>
    <row r="2799" spans="11:12">
      <c r="K2799" s="65"/>
      <c r="L2799" s="65"/>
    </row>
    <row r="2800" spans="11:12">
      <c r="K2800" s="65"/>
      <c r="L2800" s="65"/>
    </row>
    <row r="2801" spans="11:12">
      <c r="K2801" s="65"/>
      <c r="L2801" s="65"/>
    </row>
    <row r="2802" spans="11:12">
      <c r="K2802" s="65"/>
      <c r="L2802" s="65"/>
    </row>
    <row r="2803" spans="11:12">
      <c r="K2803" s="65"/>
      <c r="L2803" s="65"/>
    </row>
    <row r="2804" spans="11:12">
      <c r="K2804" s="65"/>
      <c r="L2804" s="65"/>
    </row>
    <row r="2805" spans="11:12">
      <c r="K2805" s="65"/>
      <c r="L2805" s="65"/>
    </row>
    <row r="2806" spans="11:12">
      <c r="K2806" s="65"/>
      <c r="L2806" s="65"/>
    </row>
    <row r="2807" spans="11:12">
      <c r="K2807" s="65"/>
      <c r="L2807" s="65"/>
    </row>
    <row r="2808" spans="11:12">
      <c r="K2808" s="65"/>
      <c r="L2808" s="65"/>
    </row>
    <row r="2809" spans="11:12">
      <c r="K2809" s="65"/>
      <c r="L2809" s="65"/>
    </row>
    <row r="2810" spans="11:12">
      <c r="K2810" s="65"/>
      <c r="L2810" s="65"/>
    </row>
    <row r="2811" spans="11:12">
      <c r="K2811" s="65"/>
      <c r="L2811" s="65"/>
    </row>
    <row r="2812" spans="11:12">
      <c r="K2812" s="65"/>
      <c r="L2812" s="65"/>
    </row>
    <row r="2813" spans="11:12">
      <c r="K2813" s="65"/>
      <c r="L2813" s="65"/>
    </row>
    <row r="2814" spans="11:12">
      <c r="K2814" s="65"/>
      <c r="L2814" s="65"/>
    </row>
    <row r="2815" spans="11:12">
      <c r="K2815" s="65"/>
      <c r="L2815" s="65"/>
    </row>
    <row r="2816" spans="11:12">
      <c r="K2816" s="65"/>
      <c r="L2816" s="65"/>
    </row>
    <row r="2817" spans="11:12">
      <c r="K2817" s="65"/>
      <c r="L2817" s="65"/>
    </row>
    <row r="2818" spans="11:12">
      <c r="K2818" s="65"/>
      <c r="L2818" s="65"/>
    </row>
    <row r="2819" spans="11:12">
      <c r="K2819" s="65"/>
      <c r="L2819" s="65"/>
    </row>
    <row r="2820" spans="11:12">
      <c r="K2820" s="65"/>
      <c r="L2820" s="65"/>
    </row>
    <row r="2821" spans="11:12">
      <c r="K2821" s="65"/>
      <c r="L2821" s="65"/>
    </row>
    <row r="2822" spans="11:12">
      <c r="K2822" s="65"/>
      <c r="L2822" s="65"/>
    </row>
    <row r="2823" spans="11:12">
      <c r="K2823" s="65"/>
      <c r="L2823" s="65"/>
    </row>
    <row r="2824" spans="11:12">
      <c r="K2824" s="65"/>
      <c r="L2824" s="65"/>
    </row>
    <row r="2825" spans="11:12">
      <c r="K2825" s="65"/>
      <c r="L2825" s="65"/>
    </row>
    <row r="2826" spans="11:12">
      <c r="K2826" s="65"/>
      <c r="L2826" s="65"/>
    </row>
    <row r="2827" spans="11:12">
      <c r="K2827" s="65"/>
      <c r="L2827" s="65"/>
    </row>
    <row r="2828" spans="11:12">
      <c r="K2828" s="65"/>
      <c r="L2828" s="65"/>
    </row>
    <row r="2829" spans="11:12">
      <c r="K2829" s="65"/>
      <c r="L2829" s="65"/>
    </row>
    <row r="2830" spans="11:12">
      <c r="K2830" s="65"/>
      <c r="L2830" s="65"/>
    </row>
    <row r="2831" spans="11:12">
      <c r="K2831" s="65"/>
      <c r="L2831" s="65"/>
    </row>
    <row r="2832" spans="11:12">
      <c r="K2832" s="65"/>
      <c r="L2832" s="65"/>
    </row>
    <row r="2833" spans="11:12">
      <c r="K2833" s="65"/>
      <c r="L2833" s="65"/>
    </row>
    <row r="2834" spans="11:12">
      <c r="K2834" s="65"/>
      <c r="L2834" s="65"/>
    </row>
    <row r="2835" spans="11:12">
      <c r="K2835" s="65"/>
      <c r="L2835" s="65"/>
    </row>
    <row r="2836" spans="11:12">
      <c r="K2836" s="65"/>
      <c r="L2836" s="65"/>
    </row>
    <row r="2837" spans="11:12">
      <c r="K2837" s="65"/>
      <c r="L2837" s="65"/>
    </row>
    <row r="2838" spans="11:12">
      <c r="K2838" s="65"/>
      <c r="L2838" s="65"/>
    </row>
    <row r="2839" spans="11:12">
      <c r="K2839" s="65"/>
      <c r="L2839" s="65"/>
    </row>
    <row r="2840" spans="11:12">
      <c r="K2840" s="65"/>
      <c r="L2840" s="65"/>
    </row>
    <row r="2841" spans="11:12">
      <c r="K2841" s="65"/>
      <c r="L2841" s="65"/>
    </row>
    <row r="2842" spans="11:12">
      <c r="K2842" s="65"/>
      <c r="L2842" s="65"/>
    </row>
    <row r="2843" spans="11:12">
      <c r="K2843" s="65"/>
      <c r="L2843" s="65"/>
    </row>
    <row r="2844" spans="11:12">
      <c r="K2844" s="65"/>
      <c r="L2844" s="65"/>
    </row>
    <row r="2845" spans="11:12">
      <c r="K2845" s="65"/>
      <c r="L2845" s="65"/>
    </row>
    <row r="2846" spans="11:12">
      <c r="K2846" s="65"/>
      <c r="L2846" s="65"/>
    </row>
    <row r="2847" spans="11:12">
      <c r="K2847" s="65"/>
      <c r="L2847" s="65"/>
    </row>
    <row r="2848" spans="11:12">
      <c r="K2848" s="65"/>
      <c r="L2848" s="65"/>
    </row>
    <row r="2849" spans="11:12">
      <c r="K2849" s="65"/>
      <c r="L2849" s="65"/>
    </row>
    <row r="2850" spans="11:12">
      <c r="K2850" s="65"/>
      <c r="L2850" s="65"/>
    </row>
    <row r="2851" spans="11:12">
      <c r="K2851" s="65"/>
      <c r="L2851" s="65"/>
    </row>
    <row r="2852" spans="11:12">
      <c r="K2852" s="65"/>
      <c r="L2852" s="65"/>
    </row>
    <row r="2853" spans="11:12">
      <c r="K2853" s="65"/>
      <c r="L2853" s="65"/>
    </row>
    <row r="2854" spans="11:12">
      <c r="K2854" s="65"/>
      <c r="L2854" s="65"/>
    </row>
    <row r="2855" spans="11:12">
      <c r="K2855" s="65"/>
      <c r="L2855" s="65"/>
    </row>
    <row r="2856" spans="11:12">
      <c r="K2856" s="65"/>
      <c r="L2856" s="65"/>
    </row>
    <row r="2857" spans="11:12">
      <c r="K2857" s="65"/>
      <c r="L2857" s="65"/>
    </row>
    <row r="2858" spans="11:12">
      <c r="K2858" s="65"/>
      <c r="L2858" s="65"/>
    </row>
    <row r="2859" spans="11:12">
      <c r="K2859" s="65"/>
      <c r="L2859" s="65"/>
    </row>
    <row r="2860" spans="11:12">
      <c r="K2860" s="65"/>
      <c r="L2860" s="65"/>
    </row>
    <row r="2861" spans="11:12">
      <c r="K2861" s="65"/>
      <c r="L2861" s="65"/>
    </row>
    <row r="2862" spans="11:12">
      <c r="K2862" s="65"/>
      <c r="L2862" s="65"/>
    </row>
    <row r="2863" spans="11:12">
      <c r="K2863" s="65"/>
      <c r="L2863" s="65"/>
    </row>
    <row r="2864" spans="11:12">
      <c r="K2864" s="65"/>
      <c r="L2864" s="65"/>
    </row>
    <row r="2865" spans="11:12">
      <c r="K2865" s="65"/>
      <c r="L2865" s="65"/>
    </row>
    <row r="2866" spans="11:12">
      <c r="K2866" s="65"/>
      <c r="L2866" s="65"/>
    </row>
    <row r="2867" spans="11:12">
      <c r="K2867" s="65"/>
      <c r="L2867" s="65"/>
    </row>
    <row r="2868" spans="11:12">
      <c r="K2868" s="65"/>
      <c r="L2868" s="65"/>
    </row>
    <row r="2869" spans="11:12">
      <c r="K2869" s="65"/>
      <c r="L2869" s="65"/>
    </row>
    <row r="2870" spans="11:12">
      <c r="K2870" s="65"/>
      <c r="L2870" s="65"/>
    </row>
    <row r="2871" spans="11:12">
      <c r="K2871" s="65"/>
      <c r="L2871" s="65"/>
    </row>
    <row r="2872" spans="11:12">
      <c r="K2872" s="65"/>
      <c r="L2872" s="65"/>
    </row>
    <row r="2873" spans="11:12">
      <c r="K2873" s="65"/>
      <c r="L2873" s="65"/>
    </row>
    <row r="2874" spans="11:12">
      <c r="K2874" s="65"/>
      <c r="L2874" s="65"/>
    </row>
    <row r="2875" spans="11:12">
      <c r="K2875" s="65"/>
      <c r="L2875" s="65"/>
    </row>
    <row r="2876" spans="11:12">
      <c r="K2876" s="65"/>
      <c r="L2876" s="65"/>
    </row>
    <row r="2877" spans="11:12">
      <c r="K2877" s="65"/>
      <c r="L2877" s="65"/>
    </row>
    <row r="2878" spans="11:12">
      <c r="K2878" s="65"/>
      <c r="L2878" s="65"/>
    </row>
    <row r="2879" spans="11:12">
      <c r="K2879" s="65"/>
      <c r="L2879" s="65"/>
    </row>
    <row r="2880" spans="11:12">
      <c r="K2880" s="65"/>
      <c r="L2880" s="65"/>
    </row>
    <row r="2881" spans="11:12">
      <c r="K2881" s="65"/>
      <c r="L2881" s="65"/>
    </row>
    <row r="2882" spans="11:12">
      <c r="K2882" s="65"/>
      <c r="L2882" s="65"/>
    </row>
    <row r="2883" spans="11:12">
      <c r="K2883" s="65"/>
      <c r="L2883" s="65"/>
    </row>
    <row r="2884" spans="11:12">
      <c r="K2884" s="65"/>
      <c r="L2884" s="65"/>
    </row>
    <row r="2885" spans="11:12">
      <c r="K2885" s="65"/>
      <c r="L2885" s="65"/>
    </row>
    <row r="2886" spans="11:12">
      <c r="K2886" s="65"/>
      <c r="L2886" s="65"/>
    </row>
    <row r="2887" spans="11:12">
      <c r="K2887" s="65"/>
      <c r="L2887" s="65"/>
    </row>
    <row r="2888" spans="11:12">
      <c r="K2888" s="65"/>
      <c r="L2888" s="65"/>
    </row>
    <row r="2889" spans="11:12">
      <c r="K2889" s="65"/>
      <c r="L2889" s="65"/>
    </row>
    <row r="2890" spans="11:12">
      <c r="K2890" s="65"/>
      <c r="L2890" s="65"/>
    </row>
    <row r="2891" spans="11:12">
      <c r="K2891" s="65"/>
      <c r="L2891" s="65"/>
    </row>
    <row r="2892" spans="11:12">
      <c r="K2892" s="65"/>
      <c r="L2892" s="65"/>
    </row>
    <row r="2893" spans="11:12">
      <c r="K2893" s="65"/>
      <c r="L2893" s="65"/>
    </row>
    <row r="2894" spans="11:12">
      <c r="K2894" s="65"/>
      <c r="L2894" s="65"/>
    </row>
    <row r="2895" spans="11:12">
      <c r="K2895" s="65"/>
      <c r="L2895" s="65"/>
    </row>
    <row r="2896" spans="11:12">
      <c r="K2896" s="65"/>
      <c r="L2896" s="65"/>
    </row>
    <row r="2897" spans="11:12">
      <c r="K2897" s="65"/>
      <c r="L2897" s="65"/>
    </row>
    <row r="2898" spans="11:12">
      <c r="K2898" s="65"/>
      <c r="L2898" s="65"/>
    </row>
    <row r="2899" spans="11:12">
      <c r="K2899" s="65"/>
      <c r="L2899" s="65"/>
    </row>
    <row r="2900" spans="11:12">
      <c r="K2900" s="65"/>
      <c r="L2900" s="65"/>
    </row>
    <row r="2901" spans="11:12">
      <c r="K2901" s="65"/>
      <c r="L2901" s="65"/>
    </row>
    <row r="2902" spans="11:12">
      <c r="K2902" s="65"/>
      <c r="L2902" s="65"/>
    </row>
    <row r="2903" spans="11:12">
      <c r="K2903" s="65"/>
      <c r="L2903" s="65"/>
    </row>
    <row r="2904" spans="11:12">
      <c r="K2904" s="65"/>
      <c r="L2904" s="65"/>
    </row>
    <row r="2905" spans="11:12">
      <c r="K2905" s="65"/>
      <c r="L2905" s="65"/>
    </row>
    <row r="2906" spans="11:12">
      <c r="K2906" s="65"/>
      <c r="L2906" s="65"/>
    </row>
    <row r="2907" spans="11:12">
      <c r="K2907" s="65"/>
      <c r="L2907" s="65"/>
    </row>
    <row r="2908" spans="11:12">
      <c r="K2908" s="65"/>
      <c r="L2908" s="65"/>
    </row>
    <row r="2909" spans="11:12">
      <c r="K2909" s="65"/>
      <c r="L2909" s="65"/>
    </row>
    <row r="2910" spans="11:12">
      <c r="K2910" s="65"/>
      <c r="L2910" s="65"/>
    </row>
    <row r="2911" spans="11:12">
      <c r="K2911" s="65"/>
      <c r="L2911" s="65"/>
    </row>
    <row r="2912" spans="11:12">
      <c r="K2912" s="65"/>
      <c r="L2912" s="65"/>
    </row>
    <row r="2913" spans="11:12">
      <c r="K2913" s="65"/>
      <c r="L2913" s="65"/>
    </row>
    <row r="2914" spans="11:12">
      <c r="K2914" s="65"/>
      <c r="L2914" s="65"/>
    </row>
    <row r="2915" spans="11:12">
      <c r="K2915" s="65"/>
      <c r="L2915" s="65"/>
    </row>
    <row r="2916" spans="11:12">
      <c r="K2916" s="65"/>
      <c r="L2916" s="65"/>
    </row>
    <row r="2917" spans="11:12">
      <c r="K2917" s="65"/>
      <c r="L2917" s="65"/>
    </row>
    <row r="2918" spans="11:12">
      <c r="K2918" s="65"/>
      <c r="L2918" s="65"/>
    </row>
    <row r="2919" spans="11:12">
      <c r="K2919" s="65"/>
      <c r="L2919" s="65"/>
    </row>
    <row r="2920" spans="11:12">
      <c r="K2920" s="65"/>
      <c r="L2920" s="65"/>
    </row>
    <row r="2921" spans="11:12">
      <c r="K2921" s="65"/>
      <c r="L2921" s="65"/>
    </row>
    <row r="2922" spans="11:12">
      <c r="K2922" s="65"/>
      <c r="L2922" s="65"/>
    </row>
    <row r="2923" spans="11:12">
      <c r="K2923" s="65"/>
      <c r="L2923" s="65"/>
    </row>
    <row r="2924" spans="11:12">
      <c r="K2924" s="65"/>
      <c r="L2924" s="65"/>
    </row>
    <row r="2925" spans="11:12">
      <c r="K2925" s="65"/>
      <c r="L2925" s="65"/>
    </row>
    <row r="2926" spans="11:12">
      <c r="K2926" s="65"/>
      <c r="L2926" s="65"/>
    </row>
    <row r="2927" spans="11:12">
      <c r="K2927" s="65"/>
      <c r="L2927" s="65"/>
    </row>
    <row r="2928" spans="11:12">
      <c r="K2928" s="65"/>
      <c r="L2928" s="65"/>
    </row>
    <row r="2929" spans="11:12">
      <c r="K2929" s="65"/>
      <c r="L2929" s="65"/>
    </row>
    <row r="2930" spans="11:12">
      <c r="K2930" s="65"/>
      <c r="L2930" s="65"/>
    </row>
    <row r="2931" spans="11:12">
      <c r="K2931" s="65"/>
      <c r="L2931" s="65"/>
    </row>
    <row r="2932" spans="11:12">
      <c r="K2932" s="65"/>
      <c r="L2932" s="65"/>
    </row>
    <row r="2933" spans="11:12">
      <c r="K2933" s="65"/>
      <c r="L2933" s="65"/>
    </row>
    <row r="2934" spans="11:12">
      <c r="K2934" s="65"/>
      <c r="L2934" s="65"/>
    </row>
    <row r="2935" spans="11:12">
      <c r="K2935" s="65"/>
      <c r="L2935" s="65"/>
    </row>
    <row r="2936" spans="11:12">
      <c r="K2936" s="65"/>
      <c r="L2936" s="65"/>
    </row>
    <row r="2937" spans="11:12">
      <c r="K2937" s="65"/>
      <c r="L2937" s="65"/>
    </row>
    <row r="2938" spans="11:12">
      <c r="K2938" s="65"/>
      <c r="L2938" s="65"/>
    </row>
    <row r="2939" spans="11:12">
      <c r="K2939" s="65"/>
      <c r="L2939" s="65"/>
    </row>
    <row r="2940" spans="11:12">
      <c r="K2940" s="65"/>
      <c r="L2940" s="65"/>
    </row>
    <row r="2941" spans="11:12">
      <c r="K2941" s="65"/>
      <c r="L2941" s="65"/>
    </row>
    <row r="2942" spans="11:12">
      <c r="K2942" s="65"/>
      <c r="L2942" s="65"/>
    </row>
    <row r="2943" spans="11:12">
      <c r="K2943" s="65"/>
      <c r="L2943" s="65"/>
    </row>
    <row r="2944" spans="11:12">
      <c r="K2944" s="65"/>
      <c r="L2944" s="65"/>
    </row>
    <row r="2945" spans="11:12">
      <c r="K2945" s="65"/>
      <c r="L2945" s="65"/>
    </row>
    <row r="2946" spans="11:12">
      <c r="K2946" s="65"/>
      <c r="L2946" s="65"/>
    </row>
    <row r="2947" spans="11:12">
      <c r="K2947" s="65"/>
      <c r="L2947" s="65"/>
    </row>
    <row r="2948" spans="11:12">
      <c r="K2948" s="65"/>
      <c r="L2948" s="65"/>
    </row>
    <row r="2949" spans="11:12">
      <c r="K2949" s="65"/>
      <c r="L2949" s="65"/>
    </row>
    <row r="2950" spans="11:12">
      <c r="K2950" s="65"/>
      <c r="L2950" s="65"/>
    </row>
    <row r="2951" spans="11:12">
      <c r="K2951" s="65"/>
      <c r="L2951" s="65"/>
    </row>
    <row r="2952" spans="11:12">
      <c r="K2952" s="65"/>
      <c r="L2952" s="65"/>
    </row>
    <row r="2953" spans="11:12">
      <c r="K2953" s="65"/>
      <c r="L2953" s="65"/>
    </row>
    <row r="2954" spans="11:12">
      <c r="K2954" s="65"/>
      <c r="L2954" s="65"/>
    </row>
    <row r="2955" spans="11:12">
      <c r="K2955" s="65"/>
      <c r="L2955" s="65"/>
    </row>
    <row r="2956" spans="11:12">
      <c r="K2956" s="65"/>
      <c r="L2956" s="65"/>
    </row>
    <row r="2957" spans="11:12">
      <c r="K2957" s="65"/>
      <c r="L2957" s="65"/>
    </row>
    <row r="2958" spans="11:12">
      <c r="K2958" s="65"/>
      <c r="L2958" s="65"/>
    </row>
    <row r="2959" spans="11:12">
      <c r="K2959" s="65"/>
      <c r="L2959" s="65"/>
    </row>
    <row r="2960" spans="11:12">
      <c r="K2960" s="65"/>
      <c r="L2960" s="65"/>
    </row>
    <row r="2961" spans="11:12">
      <c r="K2961" s="65"/>
      <c r="L2961" s="65"/>
    </row>
    <row r="2962" spans="11:12">
      <c r="K2962" s="65"/>
      <c r="L2962" s="65"/>
    </row>
    <row r="2963" spans="11:12">
      <c r="K2963" s="65"/>
      <c r="L2963" s="65"/>
    </row>
    <row r="2964" spans="11:12">
      <c r="K2964" s="65"/>
      <c r="L2964" s="65"/>
    </row>
    <row r="2965" spans="11:12">
      <c r="K2965" s="65"/>
      <c r="L2965" s="65"/>
    </row>
    <row r="2966" spans="11:12">
      <c r="K2966" s="65"/>
      <c r="L2966" s="65"/>
    </row>
    <row r="2967" spans="11:12">
      <c r="K2967" s="65"/>
      <c r="L2967" s="65"/>
    </row>
    <row r="2968" spans="11:12">
      <c r="K2968" s="65"/>
      <c r="L2968" s="65"/>
    </row>
    <row r="2969" spans="11:12">
      <c r="K2969" s="65"/>
      <c r="L2969" s="65"/>
    </row>
    <row r="2970" spans="11:12">
      <c r="K2970" s="65"/>
      <c r="L2970" s="65"/>
    </row>
    <row r="2971" spans="11:12">
      <c r="K2971" s="65"/>
      <c r="L2971" s="65"/>
    </row>
    <row r="2972" spans="11:12">
      <c r="K2972" s="65"/>
      <c r="L2972" s="65"/>
    </row>
    <row r="2973" spans="11:12">
      <c r="K2973" s="65"/>
      <c r="L2973" s="65"/>
    </row>
    <row r="2974" spans="11:12">
      <c r="K2974" s="65"/>
      <c r="L2974" s="65"/>
    </row>
    <row r="2975" spans="11:12">
      <c r="K2975" s="65"/>
      <c r="L2975" s="65"/>
    </row>
    <row r="2976" spans="11:12">
      <c r="K2976" s="65"/>
      <c r="L2976" s="65"/>
    </row>
    <row r="2977" spans="11:12">
      <c r="K2977" s="65"/>
      <c r="L2977" s="65"/>
    </row>
    <row r="2978" spans="11:12">
      <c r="K2978" s="65"/>
      <c r="L2978" s="65"/>
    </row>
    <row r="2979" spans="11:12">
      <c r="K2979" s="65"/>
      <c r="L2979" s="65"/>
    </row>
    <row r="2980" spans="11:12">
      <c r="K2980" s="65"/>
      <c r="L2980" s="65"/>
    </row>
    <row r="2981" spans="11:12">
      <c r="K2981" s="65"/>
      <c r="L2981" s="65"/>
    </row>
    <row r="2982" spans="11:12">
      <c r="K2982" s="65"/>
      <c r="L2982" s="65"/>
    </row>
    <row r="2983" spans="11:12">
      <c r="K2983" s="65"/>
      <c r="L2983" s="65"/>
    </row>
    <row r="2984" spans="11:12">
      <c r="K2984" s="65"/>
      <c r="L2984" s="65"/>
    </row>
    <row r="2985" spans="11:12">
      <c r="K2985" s="65"/>
      <c r="L2985" s="65"/>
    </row>
    <row r="2986" spans="11:12">
      <c r="K2986" s="65"/>
      <c r="L2986" s="65"/>
    </row>
    <row r="2987" spans="11:12">
      <c r="K2987" s="65"/>
      <c r="L2987" s="65"/>
    </row>
    <row r="2988" spans="11:12">
      <c r="K2988" s="65"/>
      <c r="L2988" s="65"/>
    </row>
    <row r="2989" spans="11:12">
      <c r="K2989" s="65"/>
      <c r="L2989" s="65"/>
    </row>
    <row r="2990" spans="11:12">
      <c r="K2990" s="65"/>
      <c r="L2990" s="65"/>
    </row>
    <row r="2991" spans="11:12">
      <c r="K2991" s="65"/>
      <c r="L2991" s="65"/>
    </row>
    <row r="2992" spans="11:12">
      <c r="K2992" s="65"/>
      <c r="L2992" s="65"/>
    </row>
    <row r="2993" spans="11:12">
      <c r="K2993" s="65"/>
      <c r="L2993" s="65"/>
    </row>
    <row r="2994" spans="11:12">
      <c r="K2994" s="65"/>
      <c r="L2994" s="65"/>
    </row>
    <row r="2995" spans="11:12">
      <c r="K2995" s="65"/>
      <c r="L2995" s="65"/>
    </row>
    <row r="2996" spans="11:12">
      <c r="K2996" s="65"/>
      <c r="L2996" s="65"/>
    </row>
    <row r="2997" spans="11:12">
      <c r="K2997" s="65"/>
      <c r="L2997" s="65"/>
    </row>
    <row r="2998" spans="11:12">
      <c r="K2998" s="65"/>
      <c r="L2998" s="65"/>
    </row>
    <row r="2999" spans="11:12">
      <c r="K2999" s="65"/>
      <c r="L2999" s="65"/>
    </row>
    <row r="3000" spans="11:12">
      <c r="K3000" s="65"/>
      <c r="L3000" s="65"/>
    </row>
    <row r="3001" spans="11:12">
      <c r="K3001" s="65"/>
      <c r="L3001" s="65"/>
    </row>
    <row r="3002" spans="11:12">
      <c r="K3002" s="65"/>
      <c r="L3002" s="65"/>
    </row>
    <row r="3003" spans="11:12">
      <c r="K3003" s="65"/>
      <c r="L3003" s="65"/>
    </row>
    <row r="3004" spans="11:12">
      <c r="K3004" s="65"/>
      <c r="L3004" s="65"/>
    </row>
    <row r="3005" spans="11:12">
      <c r="K3005" s="65"/>
      <c r="L3005" s="65"/>
    </row>
    <row r="3006" spans="11:12">
      <c r="K3006" s="65"/>
      <c r="L3006" s="65"/>
    </row>
    <row r="3007" spans="11:12">
      <c r="K3007" s="65"/>
      <c r="L3007" s="65"/>
    </row>
    <row r="3008" spans="11:12">
      <c r="K3008" s="65"/>
      <c r="L3008" s="65"/>
    </row>
    <row r="3009" spans="11:12">
      <c r="K3009" s="65"/>
      <c r="L3009" s="65"/>
    </row>
    <row r="3010" spans="11:12">
      <c r="K3010" s="65"/>
      <c r="L3010" s="65"/>
    </row>
    <row r="3011" spans="11:12">
      <c r="K3011" s="65"/>
      <c r="L3011" s="65"/>
    </row>
    <row r="3012" spans="11:12">
      <c r="K3012" s="65"/>
      <c r="L3012" s="65"/>
    </row>
    <row r="3013" spans="11:12">
      <c r="K3013" s="65"/>
      <c r="L3013" s="65"/>
    </row>
    <row r="3014" spans="11:12">
      <c r="K3014" s="65"/>
      <c r="L3014" s="65"/>
    </row>
    <row r="3015" spans="11:12">
      <c r="K3015" s="65"/>
      <c r="L3015" s="65"/>
    </row>
    <row r="3016" spans="11:12">
      <c r="K3016" s="65"/>
      <c r="L3016" s="65"/>
    </row>
    <row r="3017" spans="11:12">
      <c r="K3017" s="65"/>
      <c r="L3017" s="65"/>
    </row>
    <row r="3018" spans="11:12">
      <c r="K3018" s="65"/>
      <c r="L3018" s="65"/>
    </row>
    <row r="3019" spans="11:12">
      <c r="K3019" s="65"/>
      <c r="L3019" s="65"/>
    </row>
    <row r="3020" spans="11:12">
      <c r="K3020" s="65"/>
      <c r="L3020" s="65"/>
    </row>
    <row r="3021" spans="11:12">
      <c r="K3021" s="65"/>
      <c r="L3021" s="65"/>
    </row>
    <row r="3022" spans="11:12">
      <c r="K3022" s="65"/>
      <c r="L3022" s="65"/>
    </row>
    <row r="3023" spans="11:12">
      <c r="K3023" s="65"/>
      <c r="L3023" s="65"/>
    </row>
    <row r="3024" spans="11:12">
      <c r="K3024" s="65"/>
      <c r="L3024" s="65"/>
    </row>
    <row r="3025" spans="11:12">
      <c r="K3025" s="65"/>
      <c r="L3025" s="65"/>
    </row>
    <row r="3026" spans="11:12">
      <c r="K3026" s="65"/>
      <c r="L3026" s="65"/>
    </row>
    <row r="3027" spans="11:12">
      <c r="K3027" s="65"/>
      <c r="L3027" s="65"/>
    </row>
    <row r="3028" spans="11:12">
      <c r="K3028" s="65"/>
      <c r="L3028" s="65"/>
    </row>
    <row r="3029" spans="11:12">
      <c r="K3029" s="65"/>
      <c r="L3029" s="65"/>
    </row>
    <row r="3030" spans="11:12">
      <c r="K3030" s="65"/>
      <c r="L3030" s="65"/>
    </row>
    <row r="3031" spans="11:12">
      <c r="K3031" s="65"/>
      <c r="L3031" s="65"/>
    </row>
    <row r="3032" spans="11:12">
      <c r="K3032" s="65"/>
      <c r="L3032" s="65"/>
    </row>
    <row r="3033" spans="11:12">
      <c r="K3033" s="65"/>
      <c r="L3033" s="65"/>
    </row>
    <row r="3034" spans="11:12">
      <c r="K3034" s="65"/>
      <c r="L3034" s="65"/>
    </row>
    <row r="3035" spans="11:12">
      <c r="K3035" s="65"/>
      <c r="L3035" s="65"/>
    </row>
    <row r="3036" spans="11:12">
      <c r="K3036" s="65"/>
      <c r="L3036" s="65"/>
    </row>
    <row r="3037" spans="11:12">
      <c r="K3037" s="65"/>
      <c r="L3037" s="65"/>
    </row>
    <row r="3038" spans="11:12">
      <c r="K3038" s="65"/>
      <c r="L3038" s="65"/>
    </row>
    <row r="3039" spans="11:12">
      <c r="K3039" s="65"/>
      <c r="L3039" s="65"/>
    </row>
    <row r="3040" spans="11:12">
      <c r="K3040" s="65"/>
      <c r="L3040" s="65"/>
    </row>
    <row r="3041" spans="11:12">
      <c r="K3041" s="65"/>
      <c r="L3041" s="65"/>
    </row>
    <row r="3042" spans="11:12">
      <c r="K3042" s="65"/>
      <c r="L3042" s="65"/>
    </row>
    <row r="3043" spans="11:12">
      <c r="K3043" s="65"/>
      <c r="L3043" s="65"/>
    </row>
    <row r="3044" spans="11:12">
      <c r="K3044" s="65"/>
      <c r="L3044" s="65"/>
    </row>
    <row r="3045" spans="11:12">
      <c r="K3045" s="65"/>
      <c r="L3045" s="65"/>
    </row>
    <row r="3046" spans="11:12">
      <c r="K3046" s="65"/>
      <c r="L3046" s="65"/>
    </row>
    <row r="3047" spans="11:12">
      <c r="K3047" s="65"/>
      <c r="L3047" s="65"/>
    </row>
    <row r="3048" spans="11:12">
      <c r="K3048" s="65"/>
      <c r="L3048" s="65"/>
    </row>
    <row r="3049" spans="11:12">
      <c r="K3049" s="65"/>
      <c r="L3049" s="65"/>
    </row>
    <row r="3050" spans="11:12">
      <c r="K3050" s="65"/>
      <c r="L3050" s="65"/>
    </row>
    <row r="3051" spans="11:12">
      <c r="K3051" s="65"/>
      <c r="L3051" s="65"/>
    </row>
    <row r="3052" spans="11:12">
      <c r="K3052" s="65"/>
      <c r="L3052" s="65"/>
    </row>
    <row r="3053" spans="11:12">
      <c r="K3053" s="65"/>
      <c r="L3053" s="65"/>
    </row>
    <row r="3054" spans="11:12">
      <c r="K3054" s="65"/>
      <c r="L3054" s="65"/>
    </row>
    <row r="3055" spans="11:12">
      <c r="K3055" s="65"/>
      <c r="L3055" s="65"/>
    </row>
    <row r="3056" spans="11:12">
      <c r="K3056" s="65"/>
      <c r="L3056" s="65"/>
    </row>
    <row r="3057" spans="11:12">
      <c r="K3057" s="65"/>
      <c r="L3057" s="65"/>
    </row>
    <row r="3058" spans="11:12">
      <c r="K3058" s="65"/>
      <c r="L3058" s="65"/>
    </row>
    <row r="3059" spans="11:12">
      <c r="K3059" s="65"/>
      <c r="L3059" s="65"/>
    </row>
    <row r="3060" spans="11:12">
      <c r="K3060" s="65"/>
      <c r="L3060" s="65"/>
    </row>
    <row r="3061" spans="11:12">
      <c r="K3061" s="65"/>
      <c r="L3061" s="65"/>
    </row>
    <row r="3062" spans="11:12">
      <c r="K3062" s="65"/>
      <c r="L3062" s="65"/>
    </row>
    <row r="3063" spans="11:12">
      <c r="K3063" s="65"/>
      <c r="L3063" s="65"/>
    </row>
    <row r="3064" spans="11:12">
      <c r="K3064" s="65"/>
      <c r="L3064" s="65"/>
    </row>
    <row r="3065" spans="11:12">
      <c r="K3065" s="65"/>
      <c r="L3065" s="65"/>
    </row>
    <row r="3066" spans="11:12">
      <c r="K3066" s="65"/>
      <c r="L3066" s="65"/>
    </row>
    <row r="3067" spans="11:12">
      <c r="K3067" s="65"/>
      <c r="L3067" s="65"/>
    </row>
    <row r="3068" spans="11:12">
      <c r="K3068" s="65"/>
      <c r="L3068" s="65"/>
    </row>
    <row r="3069" spans="11:12">
      <c r="K3069" s="65"/>
      <c r="L3069" s="65"/>
    </row>
    <row r="3070" spans="11:12">
      <c r="K3070" s="65"/>
      <c r="L3070" s="65"/>
    </row>
    <row r="3071" spans="11:12">
      <c r="K3071" s="65"/>
      <c r="L3071" s="65"/>
    </row>
    <row r="3072" spans="11:12">
      <c r="K3072" s="65"/>
      <c r="L3072" s="65"/>
    </row>
    <row r="3073" spans="11:12">
      <c r="K3073" s="65"/>
      <c r="L3073" s="65"/>
    </row>
    <row r="3074" spans="11:12">
      <c r="K3074" s="65"/>
      <c r="L3074" s="65"/>
    </row>
    <row r="3075" spans="11:12">
      <c r="K3075" s="65"/>
      <c r="L3075" s="65"/>
    </row>
    <row r="3076" spans="11:12">
      <c r="K3076" s="65"/>
      <c r="L3076" s="65"/>
    </row>
    <row r="3077" spans="11:12">
      <c r="K3077" s="65"/>
      <c r="L3077" s="65"/>
    </row>
    <row r="3078" spans="11:12">
      <c r="K3078" s="65"/>
      <c r="L3078" s="65"/>
    </row>
    <row r="3079" spans="11:12">
      <c r="K3079" s="65"/>
      <c r="L3079" s="65"/>
    </row>
    <row r="3080" spans="11:12">
      <c r="K3080" s="65"/>
      <c r="L3080" s="65"/>
    </row>
    <row r="3081" spans="11:12">
      <c r="K3081" s="65"/>
      <c r="L3081" s="65"/>
    </row>
    <row r="3082" spans="11:12">
      <c r="K3082" s="65"/>
      <c r="L3082" s="65"/>
    </row>
    <row r="3083" spans="11:12">
      <c r="K3083" s="65"/>
      <c r="L3083" s="65"/>
    </row>
    <row r="3084" spans="11:12">
      <c r="K3084" s="65"/>
      <c r="L3084" s="65"/>
    </row>
    <row r="3085" spans="11:12">
      <c r="K3085" s="65"/>
      <c r="L3085" s="65"/>
    </row>
    <row r="3086" spans="11:12">
      <c r="K3086" s="65"/>
      <c r="L3086" s="65"/>
    </row>
    <row r="3087" spans="11:12">
      <c r="K3087" s="65"/>
      <c r="L3087" s="65"/>
    </row>
    <row r="3088" spans="11:12">
      <c r="K3088" s="65"/>
      <c r="L3088" s="65"/>
    </row>
    <row r="3089" spans="11:12">
      <c r="K3089" s="65"/>
      <c r="L3089" s="65"/>
    </row>
    <row r="3090" spans="11:12">
      <c r="K3090" s="65"/>
      <c r="L3090" s="65"/>
    </row>
    <row r="3091" spans="11:12">
      <c r="K3091" s="65"/>
      <c r="L3091" s="65"/>
    </row>
    <row r="3092" spans="11:12">
      <c r="K3092" s="65"/>
      <c r="L3092" s="65"/>
    </row>
    <row r="3093" spans="11:12">
      <c r="K3093" s="65"/>
      <c r="L3093" s="65"/>
    </row>
    <row r="3094" spans="11:12">
      <c r="K3094" s="65"/>
      <c r="L3094" s="65"/>
    </row>
    <row r="3095" spans="11:12">
      <c r="K3095" s="65"/>
      <c r="L3095" s="65"/>
    </row>
    <row r="3096" spans="11:12">
      <c r="K3096" s="65"/>
      <c r="L3096" s="65"/>
    </row>
    <row r="3097" spans="11:12">
      <c r="K3097" s="65"/>
      <c r="L3097" s="65"/>
    </row>
    <row r="3098" spans="11:12">
      <c r="K3098" s="65"/>
      <c r="L3098" s="65"/>
    </row>
    <row r="3099" spans="11:12">
      <c r="K3099" s="65"/>
      <c r="L3099" s="65"/>
    </row>
    <row r="3100" spans="11:12">
      <c r="K3100" s="65"/>
      <c r="L3100" s="65"/>
    </row>
    <row r="3101" spans="11:12">
      <c r="K3101" s="65"/>
      <c r="L3101" s="65"/>
    </row>
    <row r="3102" spans="11:12">
      <c r="K3102" s="65"/>
      <c r="L3102" s="65"/>
    </row>
    <row r="3103" spans="11:12">
      <c r="K3103" s="65"/>
      <c r="L3103" s="65"/>
    </row>
    <row r="3104" spans="11:12">
      <c r="K3104" s="65"/>
      <c r="L3104" s="65"/>
    </row>
    <row r="3105" spans="11:12">
      <c r="K3105" s="65"/>
      <c r="L3105" s="65"/>
    </row>
    <row r="3106" spans="11:12">
      <c r="K3106" s="65"/>
      <c r="L3106" s="65"/>
    </row>
    <row r="3107" spans="11:12">
      <c r="K3107" s="65"/>
      <c r="L3107" s="65"/>
    </row>
    <row r="3108" spans="11:12">
      <c r="K3108" s="65"/>
      <c r="L3108" s="65"/>
    </row>
    <row r="3109" spans="11:12">
      <c r="K3109" s="65"/>
      <c r="L3109" s="65"/>
    </row>
    <row r="3110" spans="11:12">
      <c r="K3110" s="65"/>
      <c r="L3110" s="65"/>
    </row>
    <row r="3111" spans="11:12">
      <c r="K3111" s="65"/>
      <c r="L3111" s="65"/>
    </row>
    <row r="3112" spans="11:12">
      <c r="K3112" s="65"/>
      <c r="L3112" s="65"/>
    </row>
    <row r="3113" spans="11:12">
      <c r="K3113" s="65"/>
      <c r="L3113" s="65"/>
    </row>
    <row r="3114" spans="11:12">
      <c r="K3114" s="65"/>
      <c r="L3114" s="65"/>
    </row>
    <row r="3115" spans="11:12">
      <c r="K3115" s="65"/>
      <c r="L3115" s="65"/>
    </row>
    <row r="3116" spans="11:12">
      <c r="K3116" s="65"/>
      <c r="L3116" s="65"/>
    </row>
    <row r="3117" spans="11:12">
      <c r="K3117" s="65"/>
      <c r="L3117" s="65"/>
    </row>
    <row r="3118" spans="11:12">
      <c r="K3118" s="65"/>
      <c r="L3118" s="65"/>
    </row>
    <row r="3119" spans="11:12">
      <c r="K3119" s="65"/>
      <c r="L3119" s="65"/>
    </row>
    <row r="3120" spans="11:12">
      <c r="K3120" s="65"/>
      <c r="L3120" s="65"/>
    </row>
    <row r="3121" spans="11:12">
      <c r="K3121" s="65"/>
      <c r="L3121" s="65"/>
    </row>
    <row r="3122" spans="11:12">
      <c r="K3122" s="65"/>
      <c r="L3122" s="65"/>
    </row>
    <row r="3123" spans="11:12">
      <c r="K3123" s="65"/>
      <c r="L3123" s="65"/>
    </row>
    <row r="3124" spans="11:12">
      <c r="K3124" s="65"/>
      <c r="L3124" s="65"/>
    </row>
    <row r="3125" spans="11:12">
      <c r="K3125" s="65"/>
      <c r="L3125" s="65"/>
    </row>
    <row r="3126" spans="11:12">
      <c r="K3126" s="65"/>
      <c r="L3126" s="65"/>
    </row>
    <row r="3127" spans="11:12">
      <c r="K3127" s="65"/>
      <c r="L3127" s="65"/>
    </row>
    <row r="3128" spans="11:12">
      <c r="K3128" s="65"/>
      <c r="L3128" s="65"/>
    </row>
    <row r="3129" spans="11:12">
      <c r="K3129" s="65"/>
      <c r="L3129" s="65"/>
    </row>
    <row r="3130" spans="11:12">
      <c r="K3130" s="65"/>
      <c r="L3130" s="65"/>
    </row>
    <row r="3131" spans="11:12">
      <c r="K3131" s="65"/>
      <c r="L3131" s="65"/>
    </row>
    <row r="3132" spans="11:12">
      <c r="K3132" s="65"/>
      <c r="L3132" s="65"/>
    </row>
    <row r="3133" spans="11:12">
      <c r="K3133" s="65"/>
      <c r="L3133" s="65"/>
    </row>
    <row r="3134" spans="11:12">
      <c r="K3134" s="65"/>
      <c r="L3134" s="65"/>
    </row>
    <row r="3135" spans="11:12">
      <c r="K3135" s="65"/>
      <c r="L3135" s="65"/>
    </row>
    <row r="3136" spans="11:12">
      <c r="K3136" s="65"/>
      <c r="L3136" s="65"/>
    </row>
    <row r="3137" spans="11:12">
      <c r="K3137" s="65"/>
      <c r="L3137" s="65"/>
    </row>
    <row r="3138" spans="11:12">
      <c r="K3138" s="65"/>
      <c r="L3138" s="65"/>
    </row>
    <row r="3139" spans="11:12">
      <c r="K3139" s="65"/>
      <c r="L3139" s="65"/>
    </row>
    <row r="3140" spans="11:12">
      <c r="K3140" s="65"/>
      <c r="L3140" s="65"/>
    </row>
    <row r="3141" spans="11:12">
      <c r="K3141" s="65"/>
      <c r="L3141" s="65"/>
    </row>
    <row r="3142" spans="11:12">
      <c r="K3142" s="65"/>
      <c r="L3142" s="65"/>
    </row>
    <row r="3143" spans="11:12">
      <c r="K3143" s="65"/>
      <c r="L3143" s="65"/>
    </row>
    <row r="3144" spans="11:12">
      <c r="K3144" s="65"/>
      <c r="L3144" s="65"/>
    </row>
    <row r="3145" spans="11:12">
      <c r="K3145" s="65"/>
      <c r="L3145" s="65"/>
    </row>
    <row r="3146" spans="11:12">
      <c r="K3146" s="65"/>
      <c r="L3146" s="65"/>
    </row>
    <row r="3147" spans="11:12">
      <c r="K3147" s="65"/>
      <c r="L3147" s="65"/>
    </row>
    <row r="3148" spans="11:12">
      <c r="K3148" s="65"/>
      <c r="L3148" s="65"/>
    </row>
    <row r="3149" spans="11:12">
      <c r="K3149" s="65"/>
      <c r="L3149" s="65"/>
    </row>
    <row r="3150" spans="11:12">
      <c r="K3150" s="65"/>
      <c r="L3150" s="65"/>
    </row>
    <row r="3151" spans="11:12">
      <c r="K3151" s="65"/>
      <c r="L3151" s="65"/>
    </row>
    <row r="3152" spans="11:12">
      <c r="K3152" s="65"/>
      <c r="L3152" s="65"/>
    </row>
    <row r="3153" spans="11:12">
      <c r="K3153" s="65"/>
      <c r="L3153" s="65"/>
    </row>
    <row r="3154" spans="11:12">
      <c r="K3154" s="65"/>
      <c r="L3154" s="65"/>
    </row>
    <row r="3155" spans="11:12">
      <c r="K3155" s="65"/>
      <c r="L3155" s="65"/>
    </row>
    <row r="3156" spans="11:12">
      <c r="K3156" s="65"/>
      <c r="L3156" s="65"/>
    </row>
    <row r="3157" spans="11:12">
      <c r="K3157" s="65"/>
      <c r="L3157" s="65"/>
    </row>
    <row r="3158" spans="11:12">
      <c r="K3158" s="65"/>
      <c r="L3158" s="65"/>
    </row>
    <row r="3159" spans="11:12">
      <c r="K3159" s="65"/>
      <c r="L3159" s="65"/>
    </row>
    <row r="3160" spans="11:12">
      <c r="K3160" s="65"/>
      <c r="L3160" s="65"/>
    </row>
    <row r="3161" spans="11:12">
      <c r="K3161" s="65"/>
      <c r="L3161" s="65"/>
    </row>
    <row r="3162" spans="11:12">
      <c r="K3162" s="65"/>
      <c r="L3162" s="65"/>
    </row>
    <row r="3163" spans="11:12">
      <c r="K3163" s="65"/>
      <c r="L3163" s="65"/>
    </row>
    <row r="3164" spans="11:12">
      <c r="K3164" s="65"/>
      <c r="L3164" s="65"/>
    </row>
    <row r="3165" spans="11:12">
      <c r="K3165" s="65"/>
      <c r="L3165" s="65"/>
    </row>
    <row r="3166" spans="11:12">
      <c r="K3166" s="65"/>
      <c r="L3166" s="65"/>
    </row>
    <row r="3167" spans="11:12">
      <c r="K3167" s="65"/>
      <c r="L3167" s="65"/>
    </row>
    <row r="3168" spans="11:12">
      <c r="K3168" s="65"/>
      <c r="L3168" s="65"/>
    </row>
    <row r="3169" spans="11:12">
      <c r="K3169" s="65"/>
      <c r="L3169" s="65"/>
    </row>
    <row r="3170" spans="11:12">
      <c r="K3170" s="65"/>
      <c r="L3170" s="65"/>
    </row>
    <row r="3171" spans="11:12">
      <c r="K3171" s="65"/>
      <c r="L3171" s="65"/>
    </row>
    <row r="3172" spans="11:12">
      <c r="K3172" s="65"/>
      <c r="L3172" s="65"/>
    </row>
    <row r="3173" spans="11:12">
      <c r="K3173" s="65"/>
      <c r="L3173" s="65"/>
    </row>
    <row r="3174" spans="11:12">
      <c r="K3174" s="65"/>
      <c r="L3174" s="65"/>
    </row>
    <row r="3175" spans="11:12">
      <c r="K3175" s="65"/>
      <c r="L3175" s="65"/>
    </row>
    <row r="3176" spans="11:12">
      <c r="K3176" s="65"/>
      <c r="L3176" s="65"/>
    </row>
    <row r="3177" spans="11:12">
      <c r="K3177" s="65"/>
      <c r="L3177" s="65"/>
    </row>
    <row r="3178" spans="11:12">
      <c r="K3178" s="65"/>
      <c r="L3178" s="65"/>
    </row>
    <row r="3179" spans="11:12">
      <c r="K3179" s="65"/>
      <c r="L3179" s="65"/>
    </row>
    <row r="3180" spans="11:12">
      <c r="K3180" s="65"/>
      <c r="L3180" s="65"/>
    </row>
    <row r="3181" spans="11:12">
      <c r="K3181" s="65"/>
      <c r="L3181" s="65"/>
    </row>
    <row r="3182" spans="11:12">
      <c r="K3182" s="65"/>
      <c r="L3182" s="65"/>
    </row>
    <row r="3183" spans="11:12">
      <c r="K3183" s="65"/>
      <c r="L3183" s="65"/>
    </row>
    <row r="3184" spans="11:12">
      <c r="K3184" s="65"/>
      <c r="L3184" s="65"/>
    </row>
    <row r="3185" spans="11:12">
      <c r="K3185" s="65"/>
      <c r="L3185" s="65"/>
    </row>
    <row r="3186" spans="11:12">
      <c r="K3186" s="65"/>
      <c r="L3186" s="65"/>
    </row>
    <row r="3187" spans="11:12">
      <c r="K3187" s="65"/>
      <c r="L3187" s="65"/>
    </row>
    <row r="3188" spans="11:12">
      <c r="K3188" s="65"/>
      <c r="L3188" s="65"/>
    </row>
    <row r="3189" spans="11:12">
      <c r="K3189" s="65"/>
      <c r="L3189" s="65"/>
    </row>
    <row r="3190" spans="11:12">
      <c r="K3190" s="65"/>
      <c r="L3190" s="65"/>
    </row>
    <row r="3191" spans="11:12">
      <c r="K3191" s="65"/>
      <c r="L3191" s="65"/>
    </row>
    <row r="3192" spans="11:12">
      <c r="K3192" s="65"/>
      <c r="L3192" s="65"/>
    </row>
    <row r="3193" spans="11:12">
      <c r="K3193" s="65"/>
      <c r="L3193" s="65"/>
    </row>
    <row r="3194" spans="11:12">
      <c r="K3194" s="65"/>
      <c r="L3194" s="65"/>
    </row>
    <row r="3195" spans="11:12">
      <c r="K3195" s="65"/>
      <c r="L3195" s="65"/>
    </row>
    <row r="3196" spans="11:12">
      <c r="K3196" s="65"/>
      <c r="L3196" s="65"/>
    </row>
    <row r="3197" spans="11:12">
      <c r="K3197" s="65"/>
      <c r="L3197" s="65"/>
    </row>
    <row r="3198" spans="11:12">
      <c r="K3198" s="65"/>
      <c r="L3198" s="65"/>
    </row>
    <row r="3199" spans="11:12">
      <c r="K3199" s="65"/>
      <c r="L3199" s="65"/>
    </row>
    <row r="3200" spans="11:12">
      <c r="K3200" s="65"/>
      <c r="L3200" s="65"/>
    </row>
    <row r="3201" spans="11:12">
      <c r="K3201" s="65"/>
      <c r="L3201" s="65"/>
    </row>
    <row r="3202" spans="11:12">
      <c r="K3202" s="65"/>
      <c r="L3202" s="65"/>
    </row>
    <row r="3203" spans="11:12">
      <c r="K3203" s="65"/>
      <c r="L3203" s="65"/>
    </row>
    <row r="3204" spans="11:12">
      <c r="K3204" s="65"/>
      <c r="L3204" s="65"/>
    </row>
    <row r="3205" spans="11:12">
      <c r="K3205" s="65"/>
      <c r="L3205" s="65"/>
    </row>
    <row r="3206" spans="11:12">
      <c r="K3206" s="65"/>
      <c r="L3206" s="65"/>
    </row>
    <row r="3207" spans="11:12">
      <c r="K3207" s="65"/>
      <c r="L3207" s="65"/>
    </row>
    <row r="3208" spans="11:12">
      <c r="K3208" s="65"/>
      <c r="L3208" s="65"/>
    </row>
    <row r="3209" spans="11:12">
      <c r="K3209" s="65"/>
      <c r="L3209" s="65"/>
    </row>
    <row r="3210" spans="11:12">
      <c r="K3210" s="65"/>
      <c r="L3210" s="65"/>
    </row>
    <row r="3211" spans="11:12">
      <c r="K3211" s="65"/>
      <c r="L3211" s="65"/>
    </row>
    <row r="3212" spans="11:12">
      <c r="K3212" s="65"/>
      <c r="L3212" s="65"/>
    </row>
    <row r="3213" spans="11:12">
      <c r="K3213" s="65"/>
      <c r="L3213" s="65"/>
    </row>
    <row r="3214" spans="11:12">
      <c r="K3214" s="65"/>
      <c r="L3214" s="65"/>
    </row>
    <row r="3215" spans="11:12">
      <c r="K3215" s="65"/>
      <c r="L3215" s="65"/>
    </row>
    <row r="3216" spans="11:12">
      <c r="K3216" s="65"/>
      <c r="L3216" s="65"/>
    </row>
    <row r="3217" spans="11:12">
      <c r="K3217" s="65"/>
      <c r="L3217" s="65"/>
    </row>
    <row r="3218" spans="11:12">
      <c r="K3218" s="65"/>
      <c r="L3218" s="65"/>
    </row>
    <row r="3219" spans="11:12">
      <c r="K3219" s="65"/>
      <c r="L3219" s="65"/>
    </row>
    <row r="3220" spans="11:12">
      <c r="K3220" s="65"/>
      <c r="L3220" s="65"/>
    </row>
    <row r="3221" spans="11:12">
      <c r="K3221" s="65"/>
      <c r="L3221" s="65"/>
    </row>
    <row r="3222" spans="11:12">
      <c r="K3222" s="65"/>
      <c r="L3222" s="65"/>
    </row>
    <row r="3223" spans="11:12">
      <c r="K3223" s="65"/>
      <c r="L3223" s="65"/>
    </row>
    <row r="3224" spans="11:12">
      <c r="K3224" s="65"/>
      <c r="L3224" s="65"/>
    </row>
    <row r="3225" spans="11:12">
      <c r="K3225" s="65"/>
      <c r="L3225" s="65"/>
    </row>
    <row r="3226" spans="11:12">
      <c r="K3226" s="65"/>
      <c r="L3226" s="65"/>
    </row>
    <row r="3227" spans="11:12">
      <c r="K3227" s="65"/>
      <c r="L3227" s="65"/>
    </row>
    <row r="3228" spans="11:12">
      <c r="K3228" s="65"/>
      <c r="L3228" s="65"/>
    </row>
    <row r="3229" spans="11:12">
      <c r="K3229" s="65"/>
      <c r="L3229" s="65"/>
    </row>
    <row r="3230" spans="11:12">
      <c r="K3230" s="65"/>
      <c r="L3230" s="65"/>
    </row>
    <row r="3231" spans="11:12">
      <c r="K3231" s="65"/>
      <c r="L3231" s="65"/>
    </row>
    <row r="3232" spans="11:12">
      <c r="K3232" s="65"/>
      <c r="L3232" s="65"/>
    </row>
    <row r="3233" spans="11:12">
      <c r="K3233" s="65"/>
      <c r="L3233" s="65"/>
    </row>
    <row r="3234" spans="11:12">
      <c r="K3234" s="65"/>
      <c r="L3234" s="65"/>
    </row>
    <row r="3235" spans="11:12">
      <c r="K3235" s="65"/>
      <c r="L3235" s="65"/>
    </row>
    <row r="3236" spans="11:12">
      <c r="K3236" s="65"/>
      <c r="L3236" s="65"/>
    </row>
    <row r="3237" spans="11:12">
      <c r="K3237" s="65"/>
      <c r="L3237" s="65"/>
    </row>
    <row r="3238" spans="11:12">
      <c r="K3238" s="65"/>
      <c r="L3238" s="65"/>
    </row>
    <row r="3239" spans="11:12">
      <c r="K3239" s="65"/>
      <c r="L3239" s="65"/>
    </row>
    <row r="3240" spans="11:12">
      <c r="K3240" s="65"/>
      <c r="L3240" s="65"/>
    </row>
    <row r="3241" spans="11:12">
      <c r="K3241" s="65"/>
      <c r="L3241" s="65"/>
    </row>
    <row r="3242" spans="11:12">
      <c r="K3242" s="65"/>
      <c r="L3242" s="65"/>
    </row>
    <row r="3243" spans="11:12">
      <c r="K3243" s="65"/>
      <c r="L3243" s="65"/>
    </row>
    <row r="3244" spans="11:12">
      <c r="K3244" s="65"/>
      <c r="L3244" s="65"/>
    </row>
    <row r="3245" spans="11:12">
      <c r="K3245" s="65"/>
      <c r="L3245" s="65"/>
    </row>
    <row r="3246" spans="11:12">
      <c r="K3246" s="65"/>
      <c r="L3246" s="65"/>
    </row>
    <row r="3247" spans="11:12">
      <c r="K3247" s="65"/>
      <c r="L3247" s="65"/>
    </row>
    <row r="3248" spans="11:12">
      <c r="K3248" s="65"/>
      <c r="L3248" s="65"/>
    </row>
    <row r="3249" spans="11:12">
      <c r="K3249" s="65"/>
      <c r="L3249" s="65"/>
    </row>
    <row r="3250" spans="11:12">
      <c r="K3250" s="65"/>
      <c r="L3250" s="65"/>
    </row>
    <row r="3251" spans="11:12">
      <c r="K3251" s="65"/>
      <c r="L3251" s="65"/>
    </row>
    <row r="3252" spans="11:12">
      <c r="K3252" s="65"/>
      <c r="L3252" s="65"/>
    </row>
    <row r="3253" spans="11:12">
      <c r="K3253" s="65"/>
      <c r="L3253" s="65"/>
    </row>
    <row r="3254" spans="11:12">
      <c r="K3254" s="65"/>
      <c r="L3254" s="65"/>
    </row>
    <row r="3255" spans="11:12">
      <c r="K3255" s="65"/>
      <c r="L3255" s="65"/>
    </row>
    <row r="3256" spans="11:12">
      <c r="K3256" s="65"/>
      <c r="L3256" s="65"/>
    </row>
    <row r="3257" spans="11:12">
      <c r="K3257" s="65"/>
      <c r="L3257" s="65"/>
    </row>
    <row r="3258" spans="11:12">
      <c r="K3258" s="65"/>
      <c r="L3258" s="65"/>
    </row>
    <row r="3259" spans="11:12">
      <c r="K3259" s="65"/>
      <c r="L3259" s="65"/>
    </row>
    <row r="3260" spans="11:12">
      <c r="K3260" s="65"/>
      <c r="L3260" s="65"/>
    </row>
    <row r="3261" spans="11:12">
      <c r="K3261" s="65"/>
      <c r="L3261" s="65"/>
    </row>
    <row r="3262" spans="11:12">
      <c r="K3262" s="65"/>
      <c r="L3262" s="65"/>
    </row>
    <row r="3263" spans="11:12">
      <c r="K3263" s="65"/>
      <c r="L3263" s="65"/>
    </row>
    <row r="3264" spans="11:12">
      <c r="K3264" s="65"/>
      <c r="L3264" s="65"/>
    </row>
    <row r="3265" spans="11:12">
      <c r="K3265" s="65"/>
      <c r="L3265" s="65"/>
    </row>
    <row r="3266" spans="11:12">
      <c r="K3266" s="65"/>
      <c r="L3266" s="65"/>
    </row>
    <row r="3267" spans="11:12">
      <c r="K3267" s="65"/>
      <c r="L3267" s="65"/>
    </row>
    <row r="3268" spans="11:12">
      <c r="K3268" s="65"/>
      <c r="L3268" s="65"/>
    </row>
    <row r="3269" spans="11:12">
      <c r="K3269" s="65"/>
      <c r="L3269" s="65"/>
    </row>
    <row r="3270" spans="11:12">
      <c r="K3270" s="65"/>
      <c r="L3270" s="65"/>
    </row>
    <row r="3271" spans="11:12">
      <c r="K3271" s="65"/>
      <c r="L3271" s="65"/>
    </row>
    <row r="3272" spans="11:12">
      <c r="K3272" s="65"/>
      <c r="L3272" s="65"/>
    </row>
    <row r="3273" spans="11:12">
      <c r="K3273" s="65"/>
      <c r="L3273" s="65"/>
    </row>
    <row r="3274" spans="11:12">
      <c r="K3274" s="65"/>
      <c r="L3274" s="65"/>
    </row>
    <row r="3275" spans="11:12">
      <c r="K3275" s="65"/>
      <c r="L3275" s="65"/>
    </row>
    <row r="3276" spans="11:12">
      <c r="K3276" s="65"/>
      <c r="L3276" s="65"/>
    </row>
    <row r="3277" spans="11:12">
      <c r="K3277" s="65"/>
      <c r="L3277" s="65"/>
    </row>
    <row r="3278" spans="11:12">
      <c r="K3278" s="65"/>
      <c r="L3278" s="65"/>
    </row>
    <row r="3279" spans="11:12">
      <c r="K3279" s="65"/>
      <c r="L3279" s="65"/>
    </row>
    <row r="3280" spans="11:12">
      <c r="K3280" s="65"/>
      <c r="L3280" s="65"/>
    </row>
    <row r="3281" spans="11:12">
      <c r="K3281" s="65"/>
      <c r="L3281" s="65"/>
    </row>
    <row r="3282" spans="11:12">
      <c r="K3282" s="65"/>
      <c r="L3282" s="65"/>
    </row>
    <row r="3283" spans="11:12">
      <c r="K3283" s="65"/>
      <c r="L3283" s="65"/>
    </row>
    <row r="3284" spans="11:12">
      <c r="K3284" s="65"/>
      <c r="L3284" s="65"/>
    </row>
    <row r="3285" spans="11:12">
      <c r="K3285" s="65"/>
      <c r="L3285" s="65"/>
    </row>
    <row r="3286" spans="11:12">
      <c r="K3286" s="65"/>
      <c r="L3286" s="65"/>
    </row>
    <row r="3287" spans="11:12">
      <c r="K3287" s="65"/>
      <c r="L3287" s="65"/>
    </row>
    <row r="3288" spans="11:12">
      <c r="K3288" s="65"/>
      <c r="L3288" s="65"/>
    </row>
    <row r="3289" spans="11:12">
      <c r="K3289" s="65"/>
      <c r="L3289" s="65"/>
    </row>
    <row r="3290" spans="11:12">
      <c r="K3290" s="65"/>
      <c r="L3290" s="65"/>
    </row>
    <row r="3291" spans="11:12">
      <c r="K3291" s="65"/>
      <c r="L3291" s="65"/>
    </row>
    <row r="3292" spans="11:12">
      <c r="K3292" s="65"/>
      <c r="L3292" s="65"/>
    </row>
    <row r="3293" spans="11:12">
      <c r="K3293" s="65"/>
      <c r="L3293" s="65"/>
    </row>
    <row r="3294" spans="11:12">
      <c r="K3294" s="65"/>
      <c r="L3294" s="65"/>
    </row>
    <row r="3295" spans="11:12">
      <c r="K3295" s="65"/>
      <c r="L3295" s="65"/>
    </row>
    <row r="3296" spans="11:12">
      <c r="K3296" s="65"/>
      <c r="L3296" s="65"/>
    </row>
    <row r="3297" spans="11:12">
      <c r="K3297" s="65"/>
      <c r="L3297" s="65"/>
    </row>
    <row r="3298" spans="11:12">
      <c r="K3298" s="65"/>
      <c r="L3298" s="65"/>
    </row>
    <row r="3299" spans="11:12">
      <c r="K3299" s="65"/>
      <c r="L3299" s="65"/>
    </row>
    <row r="3300" spans="11:12">
      <c r="K3300" s="65"/>
      <c r="L3300" s="65"/>
    </row>
    <row r="3301" spans="11:12">
      <c r="K3301" s="65"/>
      <c r="L3301" s="65"/>
    </row>
    <row r="3302" spans="11:12">
      <c r="K3302" s="65"/>
      <c r="L3302" s="65"/>
    </row>
    <row r="3303" spans="11:12">
      <c r="K3303" s="65"/>
      <c r="L3303" s="65"/>
    </row>
    <row r="3304" spans="11:12">
      <c r="K3304" s="65"/>
      <c r="L3304" s="65"/>
    </row>
    <row r="3305" spans="11:12">
      <c r="K3305" s="65"/>
      <c r="L3305" s="65"/>
    </row>
    <row r="3306" spans="11:12">
      <c r="K3306" s="65"/>
      <c r="L3306" s="65"/>
    </row>
    <row r="3307" spans="11:12">
      <c r="K3307" s="65"/>
      <c r="L3307" s="65"/>
    </row>
    <row r="3308" spans="11:12">
      <c r="K3308" s="65"/>
      <c r="L3308" s="65"/>
    </row>
    <row r="3309" spans="11:12">
      <c r="K3309" s="65"/>
      <c r="L3309" s="65"/>
    </row>
    <row r="3310" spans="11:12">
      <c r="K3310" s="65"/>
      <c r="L3310" s="65"/>
    </row>
    <row r="3311" spans="11:12">
      <c r="K3311" s="65"/>
      <c r="L3311" s="65"/>
    </row>
    <row r="3312" spans="11:12">
      <c r="K3312" s="65"/>
      <c r="L3312" s="65"/>
    </row>
    <row r="3313" spans="11:12">
      <c r="K3313" s="65"/>
      <c r="L3313" s="65"/>
    </row>
    <row r="3314" spans="11:12">
      <c r="K3314" s="65"/>
      <c r="L3314" s="65"/>
    </row>
    <row r="3315" spans="11:12">
      <c r="K3315" s="65"/>
      <c r="L3315" s="65"/>
    </row>
    <row r="3316" spans="11:12">
      <c r="K3316" s="65"/>
      <c r="L3316" s="65"/>
    </row>
    <row r="3317" spans="11:12">
      <c r="K3317" s="65"/>
      <c r="L3317" s="65"/>
    </row>
    <row r="3318" spans="11:12">
      <c r="K3318" s="65"/>
      <c r="L3318" s="65"/>
    </row>
    <row r="3319" spans="11:12">
      <c r="K3319" s="65"/>
      <c r="L3319" s="65"/>
    </row>
    <row r="3320" spans="11:12">
      <c r="K3320" s="65"/>
      <c r="L3320" s="65"/>
    </row>
    <row r="3321" spans="11:12">
      <c r="K3321" s="65"/>
      <c r="L3321" s="65"/>
    </row>
    <row r="3322" spans="11:12">
      <c r="K3322" s="65"/>
      <c r="L3322" s="65"/>
    </row>
    <row r="3323" spans="11:12">
      <c r="K3323" s="65"/>
      <c r="L3323" s="65"/>
    </row>
    <row r="3324" spans="11:12">
      <c r="K3324" s="65"/>
      <c r="L3324" s="65"/>
    </row>
    <row r="3325" spans="11:12">
      <c r="K3325" s="65"/>
      <c r="L3325" s="65"/>
    </row>
    <row r="3326" spans="11:12">
      <c r="K3326" s="65"/>
      <c r="L3326" s="65"/>
    </row>
    <row r="3327" spans="11:12">
      <c r="K3327" s="65"/>
      <c r="L3327" s="65"/>
    </row>
    <row r="3328" spans="11:12">
      <c r="K3328" s="65"/>
      <c r="L3328" s="65"/>
    </row>
    <row r="3329" spans="11:12">
      <c r="K3329" s="65"/>
      <c r="L3329" s="65"/>
    </row>
    <row r="3330" spans="11:12">
      <c r="K3330" s="65"/>
      <c r="L3330" s="65"/>
    </row>
    <row r="3331" spans="11:12">
      <c r="K3331" s="65"/>
      <c r="L3331" s="65"/>
    </row>
    <row r="3332" spans="11:12">
      <c r="K3332" s="65"/>
      <c r="L3332" s="65"/>
    </row>
    <row r="3333" spans="11:12">
      <c r="K3333" s="65"/>
      <c r="L3333" s="65"/>
    </row>
    <row r="3334" spans="11:12">
      <c r="K3334" s="65"/>
      <c r="L3334" s="65"/>
    </row>
    <row r="3335" spans="11:12">
      <c r="K3335" s="65"/>
      <c r="L3335" s="65"/>
    </row>
    <row r="3336" spans="11:12">
      <c r="K3336" s="65"/>
      <c r="L3336" s="65"/>
    </row>
    <row r="3337" spans="11:12">
      <c r="K3337" s="65"/>
      <c r="L3337" s="65"/>
    </row>
    <row r="3338" spans="11:12">
      <c r="K3338" s="65"/>
      <c r="L3338" s="65"/>
    </row>
    <row r="3339" spans="11:12">
      <c r="K3339" s="65"/>
      <c r="L3339" s="65"/>
    </row>
    <row r="3340" spans="11:12">
      <c r="K3340" s="65"/>
      <c r="L3340" s="65"/>
    </row>
    <row r="3341" spans="11:12">
      <c r="K3341" s="65"/>
      <c r="L3341" s="65"/>
    </row>
    <row r="3342" spans="11:12">
      <c r="K3342" s="65"/>
      <c r="L3342" s="65"/>
    </row>
    <row r="3343" spans="11:12">
      <c r="K3343" s="65"/>
      <c r="L3343" s="65"/>
    </row>
    <row r="3344" spans="11:12">
      <c r="K3344" s="65"/>
      <c r="L3344" s="65"/>
    </row>
    <row r="3345" spans="11:12">
      <c r="K3345" s="65"/>
      <c r="L3345" s="65"/>
    </row>
    <row r="3346" spans="11:12">
      <c r="K3346" s="65"/>
      <c r="L3346" s="65"/>
    </row>
    <row r="3347" spans="11:12">
      <c r="K3347" s="65"/>
      <c r="L3347" s="65"/>
    </row>
    <row r="3348" spans="11:12">
      <c r="K3348" s="65"/>
      <c r="L3348" s="65"/>
    </row>
    <row r="3349" spans="11:12">
      <c r="K3349" s="65"/>
      <c r="L3349" s="65"/>
    </row>
    <row r="3350" spans="11:12">
      <c r="K3350" s="65"/>
      <c r="L3350" s="65"/>
    </row>
    <row r="3351" spans="11:12">
      <c r="K3351" s="65"/>
      <c r="L3351" s="65"/>
    </row>
    <row r="3352" spans="11:12">
      <c r="K3352" s="65"/>
      <c r="L3352" s="65"/>
    </row>
    <row r="3353" spans="11:12">
      <c r="K3353" s="65"/>
      <c r="L3353" s="65"/>
    </row>
    <row r="3354" spans="11:12">
      <c r="K3354" s="65"/>
      <c r="L3354" s="65"/>
    </row>
    <row r="3355" spans="11:12">
      <c r="K3355" s="65"/>
      <c r="L3355" s="65"/>
    </row>
    <row r="3356" spans="11:12">
      <c r="K3356" s="65"/>
      <c r="L3356" s="65"/>
    </row>
    <row r="3357" spans="11:12">
      <c r="K3357" s="65"/>
      <c r="L3357" s="65"/>
    </row>
    <row r="3358" spans="11:12">
      <c r="K3358" s="65"/>
      <c r="L3358" s="65"/>
    </row>
    <row r="3359" spans="11:12">
      <c r="K3359" s="65"/>
      <c r="L3359" s="65"/>
    </row>
    <row r="3360" spans="11:12">
      <c r="K3360" s="65"/>
      <c r="L3360" s="65"/>
    </row>
    <row r="3361" spans="11:12">
      <c r="K3361" s="65"/>
      <c r="L3361" s="65"/>
    </row>
    <row r="3362" spans="11:12">
      <c r="K3362" s="65"/>
      <c r="L3362" s="65"/>
    </row>
    <row r="3363" spans="11:12">
      <c r="K3363" s="65"/>
      <c r="L3363" s="65"/>
    </row>
    <row r="3364" spans="11:12">
      <c r="K3364" s="65"/>
      <c r="L3364" s="65"/>
    </row>
    <row r="3365" spans="11:12">
      <c r="K3365" s="65"/>
      <c r="L3365" s="65"/>
    </row>
    <row r="3366" spans="11:12">
      <c r="K3366" s="65"/>
      <c r="L3366" s="65"/>
    </row>
    <row r="3367" spans="11:12">
      <c r="K3367" s="65"/>
      <c r="L3367" s="65"/>
    </row>
    <row r="3368" spans="11:12">
      <c r="K3368" s="65"/>
      <c r="L3368" s="65"/>
    </row>
    <row r="3369" spans="11:12">
      <c r="K3369" s="65"/>
      <c r="L3369" s="65"/>
    </row>
    <row r="3370" spans="11:12">
      <c r="K3370" s="65"/>
      <c r="L3370" s="65"/>
    </row>
    <row r="3371" spans="11:12">
      <c r="K3371" s="65"/>
      <c r="L3371" s="65"/>
    </row>
    <row r="3372" spans="11:12">
      <c r="K3372" s="65"/>
      <c r="L3372" s="65"/>
    </row>
    <row r="3373" spans="11:12">
      <c r="K3373" s="65"/>
      <c r="L3373" s="65"/>
    </row>
    <row r="3374" spans="11:12">
      <c r="K3374" s="65"/>
      <c r="L3374" s="65"/>
    </row>
    <row r="3375" spans="11:12">
      <c r="K3375" s="65"/>
      <c r="L3375" s="65"/>
    </row>
    <row r="3376" spans="11:12">
      <c r="K3376" s="65"/>
      <c r="L3376" s="65"/>
    </row>
    <row r="3377" spans="11:12">
      <c r="K3377" s="65"/>
      <c r="L3377" s="65"/>
    </row>
    <row r="3378" spans="11:12">
      <c r="K3378" s="65"/>
      <c r="L3378" s="65"/>
    </row>
    <row r="3379" spans="11:12">
      <c r="K3379" s="65"/>
      <c r="L3379" s="65"/>
    </row>
    <row r="3380" spans="11:12">
      <c r="K3380" s="65"/>
      <c r="L3380" s="65"/>
    </row>
    <row r="3381" spans="11:12">
      <c r="K3381" s="65"/>
      <c r="L3381" s="65"/>
    </row>
    <row r="3382" spans="11:12">
      <c r="K3382" s="65"/>
      <c r="L3382" s="65"/>
    </row>
    <row r="3383" spans="11:12">
      <c r="K3383" s="65"/>
      <c r="L3383" s="65"/>
    </row>
    <row r="3384" spans="11:12">
      <c r="K3384" s="65"/>
      <c r="L3384" s="65"/>
    </row>
    <row r="3385" spans="11:12">
      <c r="K3385" s="65"/>
      <c r="L3385" s="65"/>
    </row>
    <row r="3386" spans="11:12">
      <c r="K3386" s="65"/>
      <c r="L3386" s="65"/>
    </row>
    <row r="3387" spans="11:12">
      <c r="K3387" s="65"/>
      <c r="L3387" s="65"/>
    </row>
    <row r="3388" spans="11:12">
      <c r="K3388" s="65"/>
      <c r="L3388" s="65"/>
    </row>
    <row r="3389" spans="11:12">
      <c r="K3389" s="65"/>
      <c r="L3389" s="65"/>
    </row>
    <row r="3390" spans="11:12">
      <c r="K3390" s="65"/>
      <c r="L3390" s="65"/>
    </row>
    <row r="3391" spans="11:12">
      <c r="K3391" s="65"/>
      <c r="L3391" s="65"/>
    </row>
    <row r="3392" spans="11:12">
      <c r="K3392" s="65"/>
      <c r="L3392" s="65"/>
    </row>
    <row r="3393" spans="11:12">
      <c r="K3393" s="65"/>
      <c r="L3393" s="65"/>
    </row>
    <row r="3394" spans="11:12">
      <c r="K3394" s="65"/>
      <c r="L3394" s="65"/>
    </row>
    <row r="3395" spans="11:12">
      <c r="K3395" s="65"/>
      <c r="L3395" s="65"/>
    </row>
    <row r="3396" spans="11:12">
      <c r="K3396" s="65"/>
      <c r="L3396" s="65"/>
    </row>
    <row r="3397" spans="11:12">
      <c r="K3397" s="65"/>
      <c r="L3397" s="65"/>
    </row>
    <row r="3398" spans="11:12">
      <c r="K3398" s="65"/>
      <c r="L3398" s="65"/>
    </row>
    <row r="3399" spans="11:12">
      <c r="K3399" s="65"/>
      <c r="L3399" s="65"/>
    </row>
    <row r="3400" spans="11:12">
      <c r="K3400" s="65"/>
      <c r="L3400" s="65"/>
    </row>
    <row r="3401" spans="11:12">
      <c r="K3401" s="65"/>
      <c r="L3401" s="65"/>
    </row>
    <row r="3402" spans="11:12">
      <c r="K3402" s="65"/>
      <c r="L3402" s="65"/>
    </row>
    <row r="3403" spans="11:12">
      <c r="K3403" s="65"/>
      <c r="L3403" s="65"/>
    </row>
    <row r="3404" spans="11:12">
      <c r="K3404" s="65"/>
      <c r="L3404" s="65"/>
    </row>
    <row r="3405" spans="11:12">
      <c r="K3405" s="65"/>
      <c r="L3405" s="65"/>
    </row>
    <row r="3406" spans="11:12">
      <c r="K3406" s="65"/>
      <c r="L3406" s="65"/>
    </row>
    <row r="3407" spans="11:12">
      <c r="K3407" s="65"/>
      <c r="L3407" s="65"/>
    </row>
    <row r="3408" spans="11:12">
      <c r="K3408" s="65"/>
      <c r="L3408" s="65"/>
    </row>
    <row r="3409" spans="11:12">
      <c r="K3409" s="65"/>
      <c r="L3409" s="65"/>
    </row>
    <row r="3410" spans="11:12">
      <c r="K3410" s="65"/>
      <c r="L3410" s="65"/>
    </row>
    <row r="3411" spans="11:12">
      <c r="K3411" s="65"/>
      <c r="L3411" s="65"/>
    </row>
    <row r="3412" spans="11:12">
      <c r="K3412" s="65"/>
      <c r="L3412" s="65"/>
    </row>
    <row r="3413" spans="11:12">
      <c r="K3413" s="65"/>
      <c r="L3413" s="65"/>
    </row>
    <row r="3414" spans="11:12">
      <c r="K3414" s="65"/>
      <c r="L3414" s="65"/>
    </row>
    <row r="3415" spans="11:12">
      <c r="K3415" s="65"/>
      <c r="L3415" s="65"/>
    </row>
    <row r="3416" spans="11:12">
      <c r="K3416" s="65"/>
      <c r="L3416" s="65"/>
    </row>
    <row r="3417" spans="11:12">
      <c r="K3417" s="65"/>
      <c r="L3417" s="65"/>
    </row>
    <row r="3418" spans="11:12">
      <c r="K3418" s="65"/>
      <c r="L3418" s="65"/>
    </row>
    <row r="3419" spans="11:12">
      <c r="K3419" s="65"/>
      <c r="L3419" s="65"/>
    </row>
    <row r="3420" spans="11:12">
      <c r="K3420" s="65"/>
      <c r="L3420" s="65"/>
    </row>
    <row r="3421" spans="11:12">
      <c r="K3421" s="65"/>
      <c r="L3421" s="65"/>
    </row>
    <row r="3422" spans="11:12">
      <c r="K3422" s="65"/>
      <c r="L3422" s="65"/>
    </row>
    <row r="3423" spans="11:12">
      <c r="K3423" s="65"/>
      <c r="L3423" s="65"/>
    </row>
    <row r="3424" spans="11:12">
      <c r="K3424" s="65"/>
      <c r="L3424" s="65"/>
    </row>
    <row r="3425" spans="11:12">
      <c r="K3425" s="65"/>
      <c r="L3425" s="65"/>
    </row>
    <row r="3426" spans="11:12">
      <c r="K3426" s="65"/>
      <c r="L3426" s="65"/>
    </row>
    <row r="3427" spans="11:12">
      <c r="K3427" s="65"/>
      <c r="L3427" s="65"/>
    </row>
    <row r="3428" spans="11:12">
      <c r="K3428" s="65"/>
      <c r="L3428" s="65"/>
    </row>
    <row r="3429" spans="11:12">
      <c r="K3429" s="65"/>
      <c r="L3429" s="65"/>
    </row>
    <row r="3430" spans="11:12">
      <c r="K3430" s="65"/>
      <c r="L3430" s="65"/>
    </row>
    <row r="3431" spans="11:12">
      <c r="K3431" s="65"/>
      <c r="L3431" s="65"/>
    </row>
    <row r="3432" spans="11:12">
      <c r="K3432" s="65"/>
      <c r="L3432" s="65"/>
    </row>
    <row r="3433" spans="11:12">
      <c r="K3433" s="65"/>
      <c r="L3433" s="65"/>
    </row>
    <row r="3434" spans="11:12">
      <c r="K3434" s="65"/>
      <c r="L3434" s="65"/>
    </row>
    <row r="3435" spans="11:12">
      <c r="K3435" s="65"/>
      <c r="L3435" s="65"/>
    </row>
    <row r="3436" spans="11:12">
      <c r="K3436" s="65"/>
      <c r="L3436" s="65"/>
    </row>
    <row r="3437" spans="11:12">
      <c r="K3437" s="65"/>
      <c r="L3437" s="65"/>
    </row>
    <row r="3438" spans="11:12">
      <c r="K3438" s="65"/>
      <c r="L3438" s="65"/>
    </row>
    <row r="3439" spans="11:12">
      <c r="K3439" s="65"/>
      <c r="L3439" s="65"/>
    </row>
    <row r="3440" spans="11:12">
      <c r="K3440" s="65"/>
      <c r="L3440" s="65"/>
    </row>
    <row r="3441" spans="11:12">
      <c r="K3441" s="65"/>
      <c r="L3441" s="65"/>
    </row>
    <row r="3442" spans="11:12">
      <c r="K3442" s="65"/>
      <c r="L3442" s="65"/>
    </row>
    <row r="3443" spans="11:12">
      <c r="K3443" s="65"/>
      <c r="L3443" s="65"/>
    </row>
    <row r="3444" spans="11:12">
      <c r="K3444" s="65"/>
      <c r="L3444" s="65"/>
    </row>
    <row r="3445" spans="11:12">
      <c r="K3445" s="65"/>
      <c r="L3445" s="65"/>
    </row>
    <row r="3446" spans="11:12">
      <c r="K3446" s="65"/>
      <c r="L3446" s="65"/>
    </row>
    <row r="3447" spans="11:12">
      <c r="K3447" s="65"/>
      <c r="L3447" s="65"/>
    </row>
    <row r="3448" spans="11:12">
      <c r="K3448" s="65"/>
      <c r="L3448" s="65"/>
    </row>
    <row r="3449" spans="11:12">
      <c r="K3449" s="65"/>
      <c r="L3449" s="65"/>
    </row>
    <row r="3450" spans="11:12">
      <c r="K3450" s="65"/>
      <c r="L3450" s="65"/>
    </row>
    <row r="3451" spans="11:12">
      <c r="K3451" s="65"/>
      <c r="L3451" s="65"/>
    </row>
    <row r="3452" spans="11:12">
      <c r="K3452" s="65"/>
      <c r="L3452" s="65"/>
    </row>
    <row r="3453" spans="11:12">
      <c r="K3453" s="65"/>
      <c r="L3453" s="65"/>
    </row>
    <row r="3454" spans="11:12">
      <c r="K3454" s="65"/>
      <c r="L3454" s="65"/>
    </row>
    <row r="3455" spans="11:12">
      <c r="K3455" s="65"/>
      <c r="L3455" s="65"/>
    </row>
    <row r="3456" spans="11:12">
      <c r="K3456" s="65"/>
      <c r="L3456" s="65"/>
    </row>
    <row r="3457" spans="11:12">
      <c r="K3457" s="65"/>
      <c r="L3457" s="65"/>
    </row>
    <row r="3458" spans="11:12">
      <c r="K3458" s="65"/>
      <c r="L3458" s="65"/>
    </row>
    <row r="3459" spans="11:12">
      <c r="K3459" s="65"/>
      <c r="L3459" s="65"/>
    </row>
    <row r="3460" spans="11:12">
      <c r="K3460" s="65"/>
      <c r="L3460" s="65"/>
    </row>
    <row r="3461" spans="11:12">
      <c r="K3461" s="65"/>
      <c r="L3461" s="65"/>
    </row>
    <row r="3462" spans="11:12">
      <c r="K3462" s="65"/>
      <c r="L3462" s="65"/>
    </row>
    <row r="3463" spans="11:12">
      <c r="K3463" s="65"/>
      <c r="L3463" s="65"/>
    </row>
    <row r="3464" spans="11:12">
      <c r="K3464" s="65"/>
      <c r="L3464" s="65"/>
    </row>
    <row r="3465" spans="11:12">
      <c r="K3465" s="65"/>
      <c r="L3465" s="65"/>
    </row>
    <row r="3466" spans="11:12">
      <c r="K3466" s="65"/>
      <c r="L3466" s="65"/>
    </row>
    <row r="3467" spans="11:12">
      <c r="K3467" s="65"/>
      <c r="L3467" s="65"/>
    </row>
    <row r="3468" spans="11:12">
      <c r="K3468" s="65"/>
      <c r="L3468" s="65"/>
    </row>
    <row r="3469" spans="11:12">
      <c r="K3469" s="65"/>
      <c r="L3469" s="65"/>
    </row>
    <row r="3470" spans="11:12">
      <c r="K3470" s="65"/>
      <c r="L3470" s="65"/>
    </row>
    <row r="3471" spans="11:12">
      <c r="K3471" s="65"/>
      <c r="L3471" s="65"/>
    </row>
    <row r="3472" spans="11:12">
      <c r="K3472" s="65"/>
      <c r="L3472" s="65"/>
    </row>
    <row r="3473" spans="11:12">
      <c r="K3473" s="65"/>
      <c r="L3473" s="65"/>
    </row>
    <row r="3474" spans="11:12">
      <c r="K3474" s="65"/>
      <c r="L3474" s="65"/>
    </row>
    <row r="3475" spans="11:12">
      <c r="K3475" s="65"/>
      <c r="L3475" s="65"/>
    </row>
    <row r="3476" spans="11:12">
      <c r="K3476" s="65"/>
      <c r="L3476" s="65"/>
    </row>
    <row r="3477" spans="11:12">
      <c r="K3477" s="65"/>
      <c r="L3477" s="65"/>
    </row>
    <row r="3478" spans="11:12">
      <c r="K3478" s="65"/>
      <c r="L3478" s="65"/>
    </row>
    <row r="3479" spans="11:12">
      <c r="K3479" s="65"/>
      <c r="L3479" s="65"/>
    </row>
    <row r="3480" spans="11:12">
      <c r="K3480" s="65"/>
      <c r="L3480" s="65"/>
    </row>
    <row r="3481" spans="11:12">
      <c r="K3481" s="65"/>
      <c r="L3481" s="65"/>
    </row>
    <row r="3482" spans="11:12">
      <c r="K3482" s="65"/>
      <c r="L3482" s="65"/>
    </row>
    <row r="3483" spans="11:12">
      <c r="K3483" s="65"/>
      <c r="L3483" s="65"/>
    </row>
    <row r="3484" spans="11:12">
      <c r="K3484" s="65"/>
      <c r="L3484" s="65"/>
    </row>
    <row r="3485" spans="11:12">
      <c r="K3485" s="65"/>
      <c r="L3485" s="65"/>
    </row>
    <row r="3486" spans="11:12">
      <c r="K3486" s="65"/>
      <c r="L3486" s="65"/>
    </row>
    <row r="3487" spans="11:12">
      <c r="K3487" s="65"/>
      <c r="L3487" s="65"/>
    </row>
    <row r="3488" spans="11:12">
      <c r="K3488" s="65"/>
      <c r="L3488" s="65"/>
    </row>
    <row r="3489" spans="11:12">
      <c r="K3489" s="65"/>
      <c r="L3489" s="65"/>
    </row>
    <row r="3490" spans="11:12">
      <c r="K3490" s="65"/>
      <c r="L3490" s="65"/>
    </row>
    <row r="3491" spans="11:12">
      <c r="K3491" s="65"/>
      <c r="L3491" s="65"/>
    </row>
    <row r="3492" spans="11:12">
      <c r="K3492" s="65"/>
      <c r="L3492" s="65"/>
    </row>
    <row r="3493" spans="11:12">
      <c r="K3493" s="65"/>
      <c r="L3493" s="65"/>
    </row>
    <row r="3494" spans="11:12">
      <c r="K3494" s="65"/>
      <c r="L3494" s="65"/>
    </row>
    <row r="3495" spans="11:12">
      <c r="K3495" s="65"/>
      <c r="L3495" s="65"/>
    </row>
    <row r="3496" spans="11:12">
      <c r="K3496" s="65"/>
      <c r="L3496" s="65"/>
    </row>
    <row r="3497" spans="11:12">
      <c r="K3497" s="65"/>
      <c r="L3497" s="65"/>
    </row>
    <row r="3498" spans="11:12">
      <c r="K3498" s="65"/>
      <c r="L3498" s="65"/>
    </row>
    <row r="3499" spans="11:12">
      <c r="K3499" s="65"/>
      <c r="L3499" s="65"/>
    </row>
    <row r="3500" spans="11:12">
      <c r="K3500" s="65"/>
      <c r="L3500" s="65"/>
    </row>
    <row r="3501" spans="11:12">
      <c r="K3501" s="65"/>
      <c r="L3501" s="65"/>
    </row>
    <row r="3502" spans="11:12">
      <c r="K3502" s="65"/>
      <c r="L3502" s="65"/>
    </row>
    <row r="3503" spans="11:12">
      <c r="K3503" s="65"/>
      <c r="L3503" s="65"/>
    </row>
    <row r="3504" spans="11:12">
      <c r="K3504" s="65"/>
      <c r="L3504" s="65"/>
    </row>
    <row r="3505" spans="11:12">
      <c r="K3505" s="65"/>
      <c r="L3505" s="65"/>
    </row>
    <row r="3506" spans="11:12">
      <c r="K3506" s="65"/>
      <c r="L3506" s="65"/>
    </row>
    <row r="3507" spans="11:12">
      <c r="K3507" s="65"/>
      <c r="L3507" s="65"/>
    </row>
    <row r="3508" spans="11:12">
      <c r="K3508" s="65"/>
      <c r="L3508" s="65"/>
    </row>
    <row r="3509" spans="11:12">
      <c r="K3509" s="65"/>
      <c r="L3509" s="65"/>
    </row>
    <row r="3510" spans="11:12">
      <c r="K3510" s="65"/>
      <c r="L3510" s="65"/>
    </row>
    <row r="3511" spans="11:12">
      <c r="K3511" s="65"/>
      <c r="L3511" s="65"/>
    </row>
    <row r="3512" spans="11:12">
      <c r="K3512" s="65"/>
      <c r="L3512" s="65"/>
    </row>
    <row r="3513" spans="11:12">
      <c r="K3513" s="65"/>
      <c r="L3513" s="65"/>
    </row>
    <row r="3514" spans="11:12">
      <c r="K3514" s="65"/>
      <c r="L3514" s="65"/>
    </row>
    <row r="3515" spans="11:12">
      <c r="K3515" s="65"/>
      <c r="L3515" s="65"/>
    </row>
    <row r="3516" spans="11:12">
      <c r="K3516" s="65"/>
      <c r="L3516" s="65"/>
    </row>
    <row r="3517" spans="11:12">
      <c r="K3517" s="65"/>
      <c r="L3517" s="65"/>
    </row>
    <row r="3518" spans="11:12">
      <c r="K3518" s="65"/>
      <c r="L3518" s="65"/>
    </row>
    <row r="3519" spans="11:12">
      <c r="K3519" s="65"/>
      <c r="L3519" s="65"/>
    </row>
    <row r="3520" spans="11:12">
      <c r="K3520" s="65"/>
      <c r="L3520" s="65"/>
    </row>
    <row r="3521" spans="11:12">
      <c r="K3521" s="65"/>
      <c r="L3521" s="65"/>
    </row>
    <row r="3522" spans="11:12">
      <c r="K3522" s="65"/>
      <c r="L3522" s="65"/>
    </row>
    <row r="3523" spans="11:12">
      <c r="K3523" s="65"/>
      <c r="L3523" s="65"/>
    </row>
    <row r="3524" spans="11:12">
      <c r="K3524" s="65"/>
      <c r="L3524" s="65"/>
    </row>
    <row r="3525" spans="11:12">
      <c r="K3525" s="65"/>
      <c r="L3525" s="65"/>
    </row>
    <row r="3526" spans="11:12">
      <c r="K3526" s="65"/>
      <c r="L3526" s="65"/>
    </row>
    <row r="3527" spans="11:12">
      <c r="K3527" s="65"/>
      <c r="L3527" s="65"/>
    </row>
    <row r="3528" spans="11:12">
      <c r="K3528" s="65"/>
      <c r="L3528" s="65"/>
    </row>
    <row r="3529" spans="11:12">
      <c r="K3529" s="65"/>
      <c r="L3529" s="65"/>
    </row>
    <row r="3530" spans="11:12">
      <c r="K3530" s="65"/>
      <c r="L3530" s="65"/>
    </row>
    <row r="3531" spans="11:12">
      <c r="K3531" s="65"/>
      <c r="L3531" s="65"/>
    </row>
    <row r="3532" spans="11:12">
      <c r="K3532" s="65"/>
      <c r="L3532" s="65"/>
    </row>
    <row r="3533" spans="11:12">
      <c r="K3533" s="65"/>
      <c r="L3533" s="65"/>
    </row>
    <row r="3534" spans="11:12">
      <c r="K3534" s="65"/>
      <c r="L3534" s="65"/>
    </row>
    <row r="3535" spans="11:12">
      <c r="K3535" s="65"/>
      <c r="L3535" s="65"/>
    </row>
    <row r="3536" spans="11:12">
      <c r="K3536" s="65"/>
      <c r="L3536" s="65"/>
    </row>
    <row r="3537" spans="11:12">
      <c r="K3537" s="65"/>
      <c r="L3537" s="65"/>
    </row>
    <row r="3538" spans="11:12">
      <c r="K3538" s="65"/>
      <c r="L3538" s="65"/>
    </row>
    <row r="3539" spans="11:12">
      <c r="K3539" s="65"/>
      <c r="L3539" s="65"/>
    </row>
    <row r="3540" spans="11:12">
      <c r="K3540" s="65"/>
      <c r="L3540" s="65"/>
    </row>
    <row r="3541" spans="11:12">
      <c r="K3541" s="65"/>
      <c r="L3541" s="65"/>
    </row>
    <row r="3542" spans="11:12">
      <c r="K3542" s="65"/>
      <c r="L3542" s="65"/>
    </row>
    <row r="3543" spans="11:12">
      <c r="K3543" s="65"/>
      <c r="L3543" s="65"/>
    </row>
    <row r="3544" spans="11:12">
      <c r="K3544" s="65"/>
      <c r="L3544" s="65"/>
    </row>
    <row r="3545" spans="11:12">
      <c r="K3545" s="65"/>
      <c r="L3545" s="65"/>
    </row>
    <row r="3546" spans="11:12">
      <c r="K3546" s="65"/>
      <c r="L3546" s="65"/>
    </row>
    <row r="3547" spans="11:12">
      <c r="K3547" s="65"/>
      <c r="L3547" s="65"/>
    </row>
    <row r="3548" spans="11:12">
      <c r="K3548" s="65"/>
      <c r="L3548" s="65"/>
    </row>
    <row r="3549" spans="11:12">
      <c r="K3549" s="65"/>
      <c r="L3549" s="65"/>
    </row>
    <row r="3550" spans="11:12">
      <c r="K3550" s="65"/>
      <c r="L3550" s="65"/>
    </row>
    <row r="3551" spans="11:12">
      <c r="K3551" s="65"/>
      <c r="L3551" s="65"/>
    </row>
    <row r="3552" spans="11:12">
      <c r="K3552" s="65"/>
      <c r="L3552" s="65"/>
    </row>
    <row r="3553" spans="11:12">
      <c r="K3553" s="65"/>
      <c r="L3553" s="65"/>
    </row>
    <row r="3554" spans="11:12">
      <c r="K3554" s="65"/>
      <c r="L3554" s="65"/>
    </row>
    <row r="3555" spans="11:12">
      <c r="K3555" s="65"/>
      <c r="L3555" s="65"/>
    </row>
    <row r="3556" spans="11:12">
      <c r="K3556" s="65"/>
      <c r="L3556" s="65"/>
    </row>
    <row r="3557" spans="11:12">
      <c r="K3557" s="65"/>
      <c r="L3557" s="65"/>
    </row>
    <row r="3558" spans="11:12">
      <c r="K3558" s="65"/>
      <c r="L3558" s="65"/>
    </row>
    <row r="3559" spans="11:12">
      <c r="K3559" s="65"/>
      <c r="L3559" s="65"/>
    </row>
    <row r="3560" spans="11:12">
      <c r="K3560" s="65"/>
      <c r="L3560" s="65"/>
    </row>
    <row r="3561" spans="11:12">
      <c r="K3561" s="65"/>
      <c r="L3561" s="65"/>
    </row>
    <row r="3562" spans="11:12">
      <c r="K3562" s="65"/>
      <c r="L3562" s="65"/>
    </row>
    <row r="3563" spans="11:12">
      <c r="K3563" s="65"/>
      <c r="L3563" s="65"/>
    </row>
    <row r="3564" spans="11:12">
      <c r="K3564" s="65"/>
      <c r="L3564" s="65"/>
    </row>
    <row r="3565" spans="11:12">
      <c r="K3565" s="65"/>
      <c r="L3565" s="65"/>
    </row>
    <row r="3566" spans="11:12">
      <c r="K3566" s="65"/>
      <c r="L3566" s="65"/>
    </row>
    <row r="3567" spans="11:12">
      <c r="K3567" s="65"/>
      <c r="L3567" s="65"/>
    </row>
    <row r="3568" spans="11:12">
      <c r="K3568" s="65"/>
      <c r="L3568" s="65"/>
    </row>
    <row r="3569" spans="11:12">
      <c r="K3569" s="65"/>
      <c r="L3569" s="65"/>
    </row>
    <row r="3570" spans="11:12">
      <c r="K3570" s="65"/>
      <c r="L3570" s="65"/>
    </row>
    <row r="3571" spans="11:12">
      <c r="K3571" s="65"/>
      <c r="L3571" s="65"/>
    </row>
    <row r="3572" spans="11:12">
      <c r="K3572" s="65"/>
      <c r="L3572" s="65"/>
    </row>
    <row r="3573" spans="11:12">
      <c r="K3573" s="65"/>
      <c r="L3573" s="65"/>
    </row>
    <row r="3574" spans="11:12">
      <c r="K3574" s="65"/>
      <c r="L3574" s="65"/>
    </row>
    <row r="3575" spans="11:12">
      <c r="K3575" s="65"/>
      <c r="L3575" s="65"/>
    </row>
    <row r="3576" spans="11:12">
      <c r="K3576" s="65"/>
      <c r="L3576" s="65"/>
    </row>
    <row r="3577" spans="11:12">
      <c r="K3577" s="65"/>
      <c r="L3577" s="65"/>
    </row>
    <row r="3578" spans="11:12">
      <c r="K3578" s="65"/>
      <c r="L3578" s="65"/>
    </row>
    <row r="3579" spans="11:12">
      <c r="K3579" s="65"/>
      <c r="L3579" s="65"/>
    </row>
    <row r="3580" spans="11:12">
      <c r="K3580" s="65"/>
      <c r="L3580" s="65"/>
    </row>
    <row r="3581" spans="11:12">
      <c r="K3581" s="65"/>
      <c r="L3581" s="65"/>
    </row>
    <row r="3582" spans="11:12">
      <c r="K3582" s="65"/>
      <c r="L3582" s="65"/>
    </row>
    <row r="3583" spans="11:12">
      <c r="K3583" s="65"/>
      <c r="L3583" s="65"/>
    </row>
    <row r="3584" spans="11:12">
      <c r="K3584" s="65"/>
      <c r="L3584" s="65"/>
    </row>
    <row r="3585" spans="11:12">
      <c r="K3585" s="65"/>
      <c r="L3585" s="65"/>
    </row>
    <row r="3586" spans="11:12">
      <c r="K3586" s="65"/>
      <c r="L3586" s="65"/>
    </row>
    <row r="3587" spans="11:12">
      <c r="K3587" s="65"/>
      <c r="L3587" s="65"/>
    </row>
    <row r="3588" spans="11:12">
      <c r="K3588" s="65"/>
      <c r="L3588" s="65"/>
    </row>
    <row r="3589" spans="11:12">
      <c r="K3589" s="65"/>
      <c r="L3589" s="65"/>
    </row>
    <row r="3590" spans="11:12">
      <c r="K3590" s="65"/>
      <c r="L3590" s="65"/>
    </row>
    <row r="3591" spans="11:12">
      <c r="K3591" s="65"/>
      <c r="L3591" s="65"/>
    </row>
    <row r="3592" spans="11:12">
      <c r="K3592" s="65"/>
      <c r="L3592" s="65"/>
    </row>
    <row r="3593" spans="11:12">
      <c r="K3593" s="65"/>
      <c r="L3593" s="65"/>
    </row>
    <row r="3594" spans="11:12">
      <c r="K3594" s="65"/>
      <c r="L3594" s="65"/>
    </row>
    <row r="3595" spans="11:12">
      <c r="K3595" s="65"/>
      <c r="L3595" s="65"/>
    </row>
    <row r="3596" spans="11:12">
      <c r="K3596" s="65"/>
      <c r="L3596" s="65"/>
    </row>
    <row r="3597" spans="11:12">
      <c r="K3597" s="65"/>
      <c r="L3597" s="65"/>
    </row>
    <row r="3598" spans="11:12">
      <c r="K3598" s="65"/>
      <c r="L3598" s="65"/>
    </row>
    <row r="3599" spans="11:12">
      <c r="K3599" s="65"/>
      <c r="L3599" s="65"/>
    </row>
    <row r="3600" spans="11:12">
      <c r="K3600" s="65"/>
      <c r="L3600" s="65"/>
    </row>
    <row r="3601" spans="11:12">
      <c r="K3601" s="65"/>
      <c r="L3601" s="65"/>
    </row>
    <row r="3602" spans="11:12">
      <c r="K3602" s="65"/>
      <c r="L3602" s="65"/>
    </row>
    <row r="3603" spans="11:12">
      <c r="K3603" s="65"/>
      <c r="L3603" s="65"/>
    </row>
    <row r="3604" spans="11:12">
      <c r="K3604" s="65"/>
      <c r="L3604" s="65"/>
    </row>
    <row r="3605" spans="11:12">
      <c r="K3605" s="65"/>
      <c r="L3605" s="65"/>
    </row>
    <row r="3606" spans="11:12">
      <c r="K3606" s="65"/>
      <c r="L3606" s="65"/>
    </row>
    <row r="3607" spans="11:12">
      <c r="K3607" s="65"/>
      <c r="L3607" s="65"/>
    </row>
    <row r="3608" spans="11:12">
      <c r="K3608" s="65"/>
      <c r="L3608" s="65"/>
    </row>
    <row r="3609" spans="11:12">
      <c r="K3609" s="65"/>
      <c r="L3609" s="65"/>
    </row>
    <row r="3610" spans="11:12">
      <c r="K3610" s="65"/>
      <c r="L3610" s="65"/>
    </row>
    <row r="3611" spans="11:12">
      <c r="K3611" s="65"/>
      <c r="L3611" s="65"/>
    </row>
    <row r="3612" spans="11:12">
      <c r="K3612" s="65"/>
      <c r="L3612" s="65"/>
    </row>
    <row r="3613" spans="11:12">
      <c r="K3613" s="65"/>
      <c r="L3613" s="65"/>
    </row>
    <row r="3614" spans="11:12">
      <c r="K3614" s="65"/>
      <c r="L3614" s="65"/>
    </row>
    <row r="3615" spans="11:12">
      <c r="K3615" s="65"/>
      <c r="L3615" s="65"/>
    </row>
    <row r="3616" spans="11:12">
      <c r="K3616" s="65"/>
      <c r="L3616" s="65"/>
    </row>
    <row r="3617" spans="11:12">
      <c r="K3617" s="65"/>
      <c r="L3617" s="65"/>
    </row>
    <row r="3618" spans="11:12">
      <c r="K3618" s="65"/>
      <c r="L3618" s="65"/>
    </row>
    <row r="3619" spans="11:12">
      <c r="K3619" s="65"/>
      <c r="L3619" s="65"/>
    </row>
    <row r="3620" spans="11:12">
      <c r="K3620" s="65"/>
      <c r="L3620" s="65"/>
    </row>
    <row r="3621" spans="11:12">
      <c r="K3621" s="65"/>
      <c r="L3621" s="65"/>
    </row>
    <row r="3622" spans="11:12">
      <c r="K3622" s="65"/>
      <c r="L3622" s="65"/>
    </row>
    <row r="3623" spans="11:12">
      <c r="K3623" s="65"/>
      <c r="L3623" s="65"/>
    </row>
    <row r="3624" spans="11:12">
      <c r="K3624" s="65"/>
      <c r="L3624" s="65"/>
    </row>
    <row r="3625" spans="11:12">
      <c r="K3625" s="65"/>
      <c r="L3625" s="65"/>
    </row>
    <row r="3626" spans="11:12">
      <c r="K3626" s="65"/>
      <c r="L3626" s="65"/>
    </row>
    <row r="3627" spans="11:12">
      <c r="K3627" s="65"/>
      <c r="L3627" s="65"/>
    </row>
    <row r="3628" spans="11:12">
      <c r="K3628" s="65"/>
      <c r="L3628" s="65"/>
    </row>
    <row r="3629" spans="11:12">
      <c r="K3629" s="65"/>
      <c r="L3629" s="65"/>
    </row>
    <row r="3630" spans="11:12">
      <c r="K3630" s="65"/>
      <c r="L3630" s="65"/>
    </row>
    <row r="3631" spans="11:12">
      <c r="K3631" s="65"/>
      <c r="L3631" s="65"/>
    </row>
    <row r="3632" spans="11:12">
      <c r="K3632" s="65"/>
      <c r="L3632" s="65"/>
    </row>
    <row r="3633" spans="11:12">
      <c r="K3633" s="65"/>
      <c r="L3633" s="65"/>
    </row>
    <row r="3634" spans="11:12">
      <c r="K3634" s="65"/>
      <c r="L3634" s="65"/>
    </row>
    <row r="3635" spans="11:12">
      <c r="K3635" s="65"/>
      <c r="L3635" s="65"/>
    </row>
    <row r="3636" spans="11:12">
      <c r="K3636" s="65"/>
      <c r="L3636" s="65"/>
    </row>
    <row r="3637" spans="11:12">
      <c r="K3637" s="65"/>
      <c r="L3637" s="65"/>
    </row>
    <row r="3638" spans="11:12">
      <c r="K3638" s="65"/>
      <c r="L3638" s="65"/>
    </row>
    <row r="3639" spans="11:12">
      <c r="K3639" s="65"/>
      <c r="L3639" s="65"/>
    </row>
    <row r="3640" spans="11:12">
      <c r="K3640" s="65"/>
      <c r="L3640" s="65"/>
    </row>
    <row r="3641" spans="11:12">
      <c r="K3641" s="65"/>
      <c r="L3641" s="65"/>
    </row>
    <row r="3642" spans="11:12">
      <c r="K3642" s="65"/>
      <c r="L3642" s="65"/>
    </row>
    <row r="3643" spans="11:12">
      <c r="K3643" s="65"/>
      <c r="L3643" s="65"/>
    </row>
    <row r="3644" spans="11:12">
      <c r="K3644" s="65"/>
      <c r="L3644" s="65"/>
    </row>
    <row r="3645" spans="11:12">
      <c r="K3645" s="65"/>
      <c r="L3645" s="65"/>
    </row>
    <row r="3646" spans="11:12">
      <c r="K3646" s="65"/>
      <c r="L3646" s="65"/>
    </row>
    <row r="3647" spans="11:12">
      <c r="K3647" s="65"/>
      <c r="L3647" s="65"/>
    </row>
    <row r="3648" spans="11:12">
      <c r="K3648" s="65"/>
      <c r="L3648" s="65"/>
    </row>
    <row r="3649" spans="11:12">
      <c r="K3649" s="65"/>
      <c r="L3649" s="65"/>
    </row>
    <row r="3650" spans="11:12">
      <c r="K3650" s="65"/>
      <c r="L3650" s="65"/>
    </row>
    <row r="3651" spans="11:12">
      <c r="K3651" s="65"/>
      <c r="L3651" s="65"/>
    </row>
    <row r="3652" spans="11:12">
      <c r="K3652" s="65"/>
      <c r="L3652" s="65"/>
    </row>
    <row r="3653" spans="11:12">
      <c r="K3653" s="65"/>
      <c r="L3653" s="65"/>
    </row>
    <row r="3654" spans="11:12">
      <c r="K3654" s="65"/>
      <c r="L3654" s="65"/>
    </row>
    <row r="3655" spans="11:12">
      <c r="K3655" s="65"/>
      <c r="L3655" s="65"/>
    </row>
    <row r="3656" spans="11:12">
      <c r="K3656" s="65"/>
      <c r="L3656" s="65"/>
    </row>
    <row r="3657" spans="11:12">
      <c r="K3657" s="65"/>
      <c r="L3657" s="65"/>
    </row>
    <row r="3658" spans="11:12">
      <c r="K3658" s="65"/>
      <c r="L3658" s="65"/>
    </row>
    <row r="3659" spans="11:12">
      <c r="K3659" s="65"/>
      <c r="L3659" s="65"/>
    </row>
    <row r="3660" spans="11:12">
      <c r="K3660" s="65"/>
      <c r="L3660" s="65"/>
    </row>
    <row r="3661" spans="11:12">
      <c r="K3661" s="65"/>
      <c r="L3661" s="65"/>
    </row>
    <row r="3662" spans="11:12">
      <c r="K3662" s="65"/>
      <c r="L3662" s="65"/>
    </row>
    <row r="3663" spans="11:12">
      <c r="K3663" s="65"/>
      <c r="L3663" s="65"/>
    </row>
    <row r="3664" spans="11:12">
      <c r="K3664" s="65"/>
      <c r="L3664" s="65"/>
    </row>
    <row r="3665" spans="11:12">
      <c r="K3665" s="65"/>
      <c r="L3665" s="65"/>
    </row>
    <row r="3666" spans="11:12">
      <c r="K3666" s="65"/>
      <c r="L3666" s="65"/>
    </row>
    <row r="3667" spans="11:12">
      <c r="K3667" s="65"/>
      <c r="L3667" s="65"/>
    </row>
    <row r="3668" spans="11:12">
      <c r="K3668" s="65"/>
      <c r="L3668" s="65"/>
    </row>
    <row r="3669" spans="11:12">
      <c r="K3669" s="65"/>
      <c r="L3669" s="65"/>
    </row>
    <row r="3670" spans="11:12">
      <c r="K3670" s="65"/>
      <c r="L3670" s="65"/>
    </row>
    <row r="3671" spans="11:12">
      <c r="K3671" s="65"/>
      <c r="L3671" s="65"/>
    </row>
    <row r="3672" spans="11:12">
      <c r="K3672" s="65"/>
      <c r="L3672" s="65"/>
    </row>
    <row r="3673" spans="11:12">
      <c r="K3673" s="65"/>
      <c r="L3673" s="65"/>
    </row>
    <row r="3674" spans="11:12">
      <c r="K3674" s="65"/>
      <c r="L3674" s="65"/>
    </row>
    <row r="3675" spans="11:12">
      <c r="K3675" s="65"/>
      <c r="L3675" s="65"/>
    </row>
    <row r="3676" spans="11:12">
      <c r="K3676" s="65"/>
      <c r="L3676" s="65"/>
    </row>
    <row r="3677" spans="11:12">
      <c r="K3677" s="65"/>
      <c r="L3677" s="65"/>
    </row>
    <row r="3678" spans="11:12">
      <c r="K3678" s="65"/>
      <c r="L3678" s="65"/>
    </row>
    <row r="3679" spans="11:12">
      <c r="K3679" s="65"/>
      <c r="L3679" s="65"/>
    </row>
    <row r="3680" spans="11:12">
      <c r="K3680" s="65"/>
      <c r="L3680" s="65"/>
    </row>
    <row r="3681" spans="11:12">
      <c r="K3681" s="65"/>
      <c r="L3681" s="65"/>
    </row>
    <row r="3682" spans="11:12">
      <c r="K3682" s="65"/>
      <c r="L3682" s="65"/>
    </row>
    <row r="3683" spans="11:12">
      <c r="K3683" s="65"/>
      <c r="L3683" s="65"/>
    </row>
    <row r="3684" spans="11:12">
      <c r="K3684" s="65"/>
      <c r="L3684" s="65"/>
    </row>
    <row r="3685" spans="11:12">
      <c r="K3685" s="65"/>
      <c r="L3685" s="65"/>
    </row>
    <row r="3686" spans="11:12">
      <c r="K3686" s="65"/>
      <c r="L3686" s="65"/>
    </row>
    <row r="3687" spans="11:12">
      <c r="K3687" s="65"/>
      <c r="L3687" s="65"/>
    </row>
    <row r="3688" spans="11:12">
      <c r="K3688" s="65"/>
      <c r="L3688" s="65"/>
    </row>
    <row r="3689" spans="11:12">
      <c r="K3689" s="65"/>
      <c r="L3689" s="65"/>
    </row>
    <row r="3690" spans="11:12">
      <c r="K3690" s="65"/>
      <c r="L3690" s="65"/>
    </row>
    <row r="3691" spans="11:12">
      <c r="K3691" s="65"/>
      <c r="L3691" s="65"/>
    </row>
    <row r="3692" spans="11:12">
      <c r="K3692" s="65"/>
      <c r="L3692" s="65"/>
    </row>
    <row r="3693" spans="11:12">
      <c r="K3693" s="65"/>
      <c r="L3693" s="65"/>
    </row>
    <row r="3694" spans="11:12">
      <c r="K3694" s="65"/>
      <c r="L3694" s="65"/>
    </row>
    <row r="3695" spans="11:12">
      <c r="K3695" s="65"/>
      <c r="L3695" s="65"/>
    </row>
    <row r="3696" spans="11:12">
      <c r="K3696" s="65"/>
      <c r="L3696" s="65"/>
    </row>
    <row r="3697" spans="11:12">
      <c r="K3697" s="65"/>
      <c r="L3697" s="65"/>
    </row>
    <row r="3698" spans="11:12">
      <c r="K3698" s="65"/>
      <c r="L3698" s="65"/>
    </row>
    <row r="3699" spans="11:12">
      <c r="K3699" s="65"/>
      <c r="L3699" s="65"/>
    </row>
    <row r="3700" spans="11:12">
      <c r="K3700" s="65"/>
      <c r="L3700" s="65"/>
    </row>
    <row r="3701" spans="11:12">
      <c r="K3701" s="65"/>
      <c r="L3701" s="65"/>
    </row>
    <row r="3702" spans="11:12">
      <c r="K3702" s="65"/>
      <c r="L3702" s="65"/>
    </row>
    <row r="3703" spans="11:12">
      <c r="K3703" s="65"/>
      <c r="L3703" s="65"/>
    </row>
    <row r="3704" spans="11:12">
      <c r="K3704" s="65"/>
      <c r="L3704" s="65"/>
    </row>
    <row r="3705" spans="11:12">
      <c r="K3705" s="65"/>
      <c r="L3705" s="65"/>
    </row>
    <row r="3706" spans="11:12">
      <c r="K3706" s="65"/>
      <c r="L3706" s="65"/>
    </row>
    <row r="3707" spans="11:12">
      <c r="K3707" s="65"/>
      <c r="L3707" s="65"/>
    </row>
    <row r="3708" spans="11:12">
      <c r="K3708" s="65"/>
      <c r="L3708" s="65"/>
    </row>
    <row r="3709" spans="11:12">
      <c r="K3709" s="65"/>
      <c r="L3709" s="65"/>
    </row>
    <row r="3710" spans="11:12">
      <c r="K3710" s="65"/>
      <c r="L3710" s="65"/>
    </row>
    <row r="3711" spans="11:12">
      <c r="K3711" s="65"/>
      <c r="L3711" s="65"/>
    </row>
    <row r="3712" spans="11:12">
      <c r="K3712" s="65"/>
      <c r="L3712" s="65"/>
    </row>
    <row r="3713" spans="11:12">
      <c r="K3713" s="65"/>
      <c r="L3713" s="65"/>
    </row>
    <row r="3714" spans="11:12">
      <c r="K3714" s="65"/>
      <c r="L3714" s="65"/>
    </row>
    <row r="3715" spans="11:12">
      <c r="K3715" s="65"/>
      <c r="L3715" s="65"/>
    </row>
    <row r="3716" spans="11:12">
      <c r="K3716" s="65"/>
      <c r="L3716" s="65"/>
    </row>
    <row r="3717" spans="11:12">
      <c r="K3717" s="65"/>
      <c r="L3717" s="65"/>
    </row>
    <row r="3718" spans="11:12">
      <c r="K3718" s="65"/>
      <c r="L3718" s="65"/>
    </row>
    <row r="3719" spans="11:12">
      <c r="K3719" s="65"/>
      <c r="L3719" s="65"/>
    </row>
    <row r="3720" spans="11:12">
      <c r="K3720" s="65"/>
      <c r="L3720" s="65"/>
    </row>
    <row r="3721" spans="11:12">
      <c r="K3721" s="65"/>
      <c r="L3721" s="65"/>
    </row>
    <row r="3722" spans="11:12">
      <c r="K3722" s="65"/>
      <c r="L3722" s="65"/>
    </row>
    <row r="3723" spans="11:12">
      <c r="K3723" s="65"/>
      <c r="L3723" s="65"/>
    </row>
    <row r="3724" spans="11:12">
      <c r="K3724" s="65"/>
      <c r="L3724" s="65"/>
    </row>
    <row r="3725" spans="11:12">
      <c r="K3725" s="65"/>
      <c r="L3725" s="65"/>
    </row>
    <row r="3726" spans="11:12">
      <c r="K3726" s="65"/>
      <c r="L3726" s="65"/>
    </row>
    <row r="3727" spans="11:12">
      <c r="K3727" s="65"/>
      <c r="L3727" s="65"/>
    </row>
    <row r="3728" spans="11:12">
      <c r="K3728" s="65"/>
      <c r="L3728" s="65"/>
    </row>
    <row r="3729" spans="11:12">
      <c r="K3729" s="65"/>
      <c r="L3729" s="65"/>
    </row>
    <row r="3730" spans="11:12">
      <c r="K3730" s="65"/>
      <c r="L3730" s="65"/>
    </row>
    <row r="3731" spans="11:12">
      <c r="K3731" s="65"/>
      <c r="L3731" s="65"/>
    </row>
    <row r="3732" spans="11:12">
      <c r="K3732" s="65"/>
      <c r="L3732" s="65"/>
    </row>
    <row r="3733" spans="11:12">
      <c r="K3733" s="65"/>
      <c r="L3733" s="65"/>
    </row>
    <row r="3734" spans="11:12">
      <c r="K3734" s="65"/>
      <c r="L3734" s="65"/>
    </row>
    <row r="3735" spans="11:12">
      <c r="K3735" s="65"/>
      <c r="L3735" s="65"/>
    </row>
    <row r="3736" spans="11:12">
      <c r="K3736" s="65"/>
      <c r="L3736" s="65"/>
    </row>
    <row r="3737" spans="11:12">
      <c r="K3737" s="65"/>
      <c r="L3737" s="65"/>
    </row>
    <row r="3738" spans="11:12">
      <c r="K3738" s="65"/>
      <c r="L3738" s="65"/>
    </row>
    <row r="3739" spans="11:12">
      <c r="K3739" s="65"/>
      <c r="L3739" s="65"/>
    </row>
    <row r="3740" spans="11:12">
      <c r="K3740" s="65"/>
      <c r="L3740" s="65"/>
    </row>
    <row r="3741" spans="11:12">
      <c r="K3741" s="65"/>
      <c r="L3741" s="65"/>
    </row>
    <row r="3742" spans="11:12">
      <c r="K3742" s="65"/>
      <c r="L3742" s="65"/>
    </row>
    <row r="3743" spans="11:12">
      <c r="K3743" s="65"/>
      <c r="L3743" s="65"/>
    </row>
    <row r="3744" spans="11:12">
      <c r="K3744" s="65"/>
      <c r="L3744" s="65"/>
    </row>
    <row r="3745" spans="11:12">
      <c r="K3745" s="65"/>
      <c r="L3745" s="65"/>
    </row>
    <row r="3746" spans="11:12">
      <c r="K3746" s="65"/>
      <c r="L3746" s="65"/>
    </row>
    <row r="3747" spans="11:12">
      <c r="K3747" s="65"/>
      <c r="L3747" s="65"/>
    </row>
    <row r="3748" spans="11:12">
      <c r="K3748" s="65"/>
      <c r="L3748" s="65"/>
    </row>
    <row r="3749" spans="11:12">
      <c r="K3749" s="65"/>
      <c r="L3749" s="65"/>
    </row>
    <row r="3750" spans="11:12">
      <c r="K3750" s="65"/>
      <c r="L3750" s="65"/>
    </row>
    <row r="3751" spans="11:12">
      <c r="K3751" s="65"/>
      <c r="L3751" s="65"/>
    </row>
    <row r="3752" spans="11:12">
      <c r="K3752" s="65"/>
      <c r="L3752" s="65"/>
    </row>
    <row r="3753" spans="11:12">
      <c r="K3753" s="65"/>
      <c r="L3753" s="65"/>
    </row>
    <row r="3754" spans="11:12">
      <c r="K3754" s="65"/>
      <c r="L3754" s="65"/>
    </row>
    <row r="3755" spans="11:12">
      <c r="K3755" s="65"/>
      <c r="L3755" s="65"/>
    </row>
    <row r="3756" spans="11:12">
      <c r="K3756" s="65"/>
      <c r="L3756" s="65"/>
    </row>
    <row r="3757" spans="11:12">
      <c r="K3757" s="65"/>
      <c r="L3757" s="65"/>
    </row>
    <row r="3758" spans="11:12">
      <c r="K3758" s="65"/>
      <c r="L3758" s="65"/>
    </row>
    <row r="3759" spans="11:12">
      <c r="K3759" s="65"/>
      <c r="L3759" s="65"/>
    </row>
    <row r="3760" spans="11:12">
      <c r="K3760" s="65"/>
      <c r="L3760" s="65"/>
    </row>
    <row r="3761" spans="11:12">
      <c r="K3761" s="65"/>
      <c r="L3761" s="65"/>
    </row>
    <row r="3762" spans="11:12">
      <c r="K3762" s="65"/>
      <c r="L3762" s="65"/>
    </row>
    <row r="3763" spans="11:12">
      <c r="K3763" s="65"/>
      <c r="L3763" s="65"/>
    </row>
    <row r="3764" spans="11:12">
      <c r="K3764" s="65"/>
      <c r="L3764" s="65"/>
    </row>
    <row r="3765" spans="11:12">
      <c r="K3765" s="65"/>
      <c r="L3765" s="65"/>
    </row>
    <row r="3766" spans="11:12">
      <c r="K3766" s="65"/>
      <c r="L3766" s="65"/>
    </row>
    <row r="3767" spans="11:12">
      <c r="K3767" s="65"/>
      <c r="L3767" s="65"/>
    </row>
    <row r="3768" spans="11:12">
      <c r="K3768" s="65"/>
      <c r="L3768" s="65"/>
    </row>
    <row r="3769" spans="11:12">
      <c r="K3769" s="65"/>
      <c r="L3769" s="65"/>
    </row>
    <row r="3770" spans="11:12">
      <c r="K3770" s="65"/>
      <c r="L3770" s="65"/>
    </row>
    <row r="3771" spans="11:12">
      <c r="K3771" s="65"/>
      <c r="L3771" s="65"/>
    </row>
    <row r="3772" spans="11:12">
      <c r="K3772" s="65"/>
      <c r="L3772" s="65"/>
    </row>
    <row r="3773" spans="11:12">
      <c r="K3773" s="65"/>
      <c r="L3773" s="65"/>
    </row>
    <row r="3774" spans="11:12">
      <c r="K3774" s="65"/>
      <c r="L3774" s="65"/>
    </row>
    <row r="3775" spans="11:12">
      <c r="K3775" s="65"/>
      <c r="L3775" s="65"/>
    </row>
    <row r="3776" spans="11:12">
      <c r="K3776" s="65"/>
      <c r="L3776" s="65"/>
    </row>
    <row r="3777" spans="11:12">
      <c r="K3777" s="65"/>
      <c r="L3777" s="65"/>
    </row>
    <row r="3778" spans="11:12">
      <c r="K3778" s="65"/>
      <c r="L3778" s="65"/>
    </row>
    <row r="3779" spans="11:12">
      <c r="K3779" s="65"/>
      <c r="L3779" s="65"/>
    </row>
    <row r="3780" spans="11:12">
      <c r="K3780" s="65"/>
      <c r="L3780" s="65"/>
    </row>
    <row r="3781" spans="11:12">
      <c r="K3781" s="65"/>
      <c r="L3781" s="65"/>
    </row>
    <row r="3782" spans="11:12">
      <c r="K3782" s="65"/>
      <c r="L3782" s="65"/>
    </row>
    <row r="3783" spans="11:12">
      <c r="K3783" s="65"/>
      <c r="L3783" s="65"/>
    </row>
    <row r="3784" spans="11:12">
      <c r="K3784" s="65"/>
      <c r="L3784" s="65"/>
    </row>
    <row r="3785" spans="11:12">
      <c r="K3785" s="65"/>
      <c r="L3785" s="65"/>
    </row>
    <row r="3786" spans="11:12">
      <c r="K3786" s="65"/>
      <c r="L3786" s="65"/>
    </row>
    <row r="3787" spans="11:12">
      <c r="K3787" s="65"/>
      <c r="L3787" s="65"/>
    </row>
    <row r="3788" spans="11:12">
      <c r="K3788" s="65"/>
      <c r="L3788" s="65"/>
    </row>
    <row r="3789" spans="11:12">
      <c r="K3789" s="65"/>
      <c r="L3789" s="65"/>
    </row>
    <row r="3790" spans="11:12">
      <c r="K3790" s="65"/>
      <c r="L3790" s="65"/>
    </row>
    <row r="3791" spans="11:12">
      <c r="K3791" s="65"/>
      <c r="L3791" s="65"/>
    </row>
    <row r="3792" spans="11:12">
      <c r="K3792" s="65"/>
      <c r="L3792" s="65"/>
    </row>
    <row r="3793" spans="11:12">
      <c r="K3793" s="65"/>
      <c r="L3793" s="65"/>
    </row>
    <row r="3794" spans="11:12">
      <c r="K3794" s="65"/>
      <c r="L3794" s="65"/>
    </row>
    <row r="3795" spans="11:12">
      <c r="K3795" s="65"/>
      <c r="L3795" s="65"/>
    </row>
    <row r="3796" spans="11:12">
      <c r="K3796" s="65"/>
      <c r="L3796" s="65"/>
    </row>
    <row r="3797" spans="11:12">
      <c r="K3797" s="65"/>
      <c r="L3797" s="65"/>
    </row>
    <row r="3798" spans="11:12">
      <c r="K3798" s="65"/>
      <c r="L3798" s="65"/>
    </row>
    <row r="3799" spans="11:12">
      <c r="K3799" s="65"/>
      <c r="L3799" s="65"/>
    </row>
    <row r="3800" spans="11:12">
      <c r="K3800" s="65"/>
      <c r="L3800" s="65"/>
    </row>
    <row r="3801" spans="11:12">
      <c r="K3801" s="65"/>
      <c r="L3801" s="65"/>
    </row>
    <row r="3802" spans="11:12">
      <c r="K3802" s="65"/>
      <c r="L3802" s="65"/>
    </row>
    <row r="3803" spans="11:12">
      <c r="K3803" s="65"/>
      <c r="L3803" s="65"/>
    </row>
    <row r="3804" spans="11:12">
      <c r="K3804" s="65"/>
      <c r="L3804" s="65"/>
    </row>
    <row r="3805" spans="11:12">
      <c r="K3805" s="65"/>
      <c r="L3805" s="65"/>
    </row>
    <row r="3806" spans="11:12">
      <c r="K3806" s="65"/>
      <c r="L3806" s="65"/>
    </row>
    <row r="3807" spans="11:12">
      <c r="K3807" s="65"/>
      <c r="L3807" s="65"/>
    </row>
    <row r="3808" spans="11:12">
      <c r="K3808" s="65"/>
      <c r="L3808" s="65"/>
    </row>
    <row r="3809" spans="11:12">
      <c r="K3809" s="65"/>
      <c r="L3809" s="65"/>
    </row>
    <row r="3810" spans="11:12">
      <c r="K3810" s="65"/>
      <c r="L3810" s="65"/>
    </row>
    <row r="3811" spans="11:12">
      <c r="K3811" s="65"/>
      <c r="L3811" s="65"/>
    </row>
    <row r="3812" spans="11:12">
      <c r="K3812" s="65"/>
      <c r="L3812" s="65"/>
    </row>
    <row r="3813" spans="11:12">
      <c r="K3813" s="65"/>
      <c r="L3813" s="65"/>
    </row>
    <row r="3814" spans="11:12">
      <c r="K3814" s="65"/>
      <c r="L3814" s="65"/>
    </row>
    <row r="3815" spans="11:12">
      <c r="K3815" s="65"/>
      <c r="L3815" s="65"/>
    </row>
    <row r="3816" spans="11:12">
      <c r="K3816" s="65"/>
      <c r="L3816" s="65"/>
    </row>
    <row r="3817" spans="11:12">
      <c r="K3817" s="65"/>
      <c r="L3817" s="65"/>
    </row>
    <row r="3818" spans="11:12">
      <c r="K3818" s="65"/>
      <c r="L3818" s="65"/>
    </row>
    <row r="3819" spans="11:12">
      <c r="K3819" s="65"/>
      <c r="L3819" s="65"/>
    </row>
    <row r="3820" spans="11:12">
      <c r="K3820" s="65"/>
      <c r="L3820" s="65"/>
    </row>
    <row r="3821" spans="11:12">
      <c r="K3821" s="65"/>
      <c r="L3821" s="65"/>
    </row>
    <row r="3822" spans="11:12">
      <c r="K3822" s="65"/>
      <c r="L3822" s="65"/>
    </row>
    <row r="3823" spans="11:12">
      <c r="K3823" s="65"/>
      <c r="L3823" s="65"/>
    </row>
    <row r="3824" spans="11:12">
      <c r="K3824" s="65"/>
      <c r="L3824" s="65"/>
    </row>
    <row r="3825" spans="11:12">
      <c r="K3825" s="65"/>
      <c r="L3825" s="65"/>
    </row>
    <row r="3826" spans="11:12">
      <c r="K3826" s="65"/>
      <c r="L3826" s="65"/>
    </row>
    <row r="3827" spans="11:12">
      <c r="K3827" s="65"/>
      <c r="L3827" s="65"/>
    </row>
    <row r="3828" spans="11:12">
      <c r="K3828" s="65"/>
      <c r="L3828" s="65"/>
    </row>
    <row r="3829" spans="11:12">
      <c r="K3829" s="65"/>
      <c r="L3829" s="65"/>
    </row>
    <row r="3830" spans="11:12">
      <c r="K3830" s="65"/>
      <c r="L3830" s="65"/>
    </row>
    <row r="3831" spans="11:12">
      <c r="K3831" s="65"/>
      <c r="L3831" s="65"/>
    </row>
    <row r="3832" spans="11:12">
      <c r="K3832" s="65"/>
      <c r="L3832" s="65"/>
    </row>
    <row r="3833" spans="11:12">
      <c r="K3833" s="65"/>
      <c r="L3833" s="65"/>
    </row>
    <row r="3834" spans="11:12">
      <c r="K3834" s="65"/>
      <c r="L3834" s="65"/>
    </row>
    <row r="3835" spans="11:12">
      <c r="K3835" s="65"/>
      <c r="L3835" s="65"/>
    </row>
    <row r="3836" spans="11:12">
      <c r="K3836" s="65"/>
      <c r="L3836" s="65"/>
    </row>
    <row r="3837" spans="11:12">
      <c r="K3837" s="65"/>
      <c r="L3837" s="65"/>
    </row>
    <row r="3838" spans="11:12">
      <c r="K3838" s="65"/>
      <c r="L3838" s="65"/>
    </row>
    <row r="3839" spans="11:12">
      <c r="K3839" s="65"/>
      <c r="L3839" s="65"/>
    </row>
    <row r="3840" spans="11:12">
      <c r="K3840" s="65"/>
      <c r="L3840" s="65"/>
    </row>
    <row r="3841" spans="11:12">
      <c r="K3841" s="65"/>
      <c r="L3841" s="65"/>
    </row>
    <row r="3842" spans="11:12">
      <c r="K3842" s="65"/>
      <c r="L3842" s="65"/>
    </row>
    <row r="3843" spans="11:12">
      <c r="K3843" s="65"/>
      <c r="L3843" s="65"/>
    </row>
    <row r="3844" spans="11:12">
      <c r="K3844" s="65"/>
      <c r="L3844" s="65"/>
    </row>
    <row r="3845" spans="11:12">
      <c r="K3845" s="65"/>
      <c r="L3845" s="65"/>
    </row>
    <row r="3846" spans="11:12">
      <c r="K3846" s="65"/>
      <c r="L3846" s="65"/>
    </row>
    <row r="3847" spans="11:12">
      <c r="K3847" s="65"/>
      <c r="L3847" s="65"/>
    </row>
    <row r="3848" spans="11:12">
      <c r="K3848" s="65"/>
      <c r="L3848" s="65"/>
    </row>
    <row r="3849" spans="11:12">
      <c r="K3849" s="65"/>
      <c r="L3849" s="65"/>
    </row>
    <row r="3850" spans="11:12">
      <c r="K3850" s="65"/>
      <c r="L3850" s="65"/>
    </row>
    <row r="3851" spans="11:12">
      <c r="K3851" s="65"/>
      <c r="L3851" s="65"/>
    </row>
    <row r="3852" spans="11:12">
      <c r="K3852" s="65"/>
      <c r="L3852" s="65"/>
    </row>
    <row r="3853" spans="11:12">
      <c r="K3853" s="65"/>
      <c r="L3853" s="65"/>
    </row>
    <row r="3854" spans="11:12">
      <c r="K3854" s="65"/>
      <c r="L3854" s="65"/>
    </row>
    <row r="3855" spans="11:12">
      <c r="K3855" s="65"/>
      <c r="L3855" s="65"/>
    </row>
    <row r="3856" spans="11:12">
      <c r="K3856" s="65"/>
      <c r="L3856" s="65"/>
    </row>
    <row r="3857" spans="11:12">
      <c r="K3857" s="65"/>
      <c r="L3857" s="65"/>
    </row>
    <row r="3858" spans="11:12">
      <c r="K3858" s="65"/>
      <c r="L3858" s="65"/>
    </row>
    <row r="3859" spans="11:12">
      <c r="K3859" s="65"/>
      <c r="L3859" s="65"/>
    </row>
    <row r="3860" spans="11:12">
      <c r="K3860" s="65"/>
      <c r="L3860" s="65"/>
    </row>
    <row r="3861" spans="11:12">
      <c r="K3861" s="65"/>
      <c r="L3861" s="65"/>
    </row>
    <row r="3862" spans="11:12">
      <c r="K3862" s="65"/>
      <c r="L3862" s="65"/>
    </row>
    <row r="3863" spans="11:12">
      <c r="K3863" s="65"/>
      <c r="L3863" s="65"/>
    </row>
    <row r="3864" spans="11:12">
      <c r="K3864" s="65"/>
      <c r="L3864" s="65"/>
    </row>
    <row r="3865" spans="11:12">
      <c r="K3865" s="65"/>
      <c r="L3865" s="65"/>
    </row>
    <row r="3866" spans="11:12">
      <c r="K3866" s="65"/>
      <c r="L3866" s="65"/>
    </row>
    <row r="3867" spans="11:12">
      <c r="K3867" s="65"/>
      <c r="L3867" s="65"/>
    </row>
    <row r="3868" spans="11:12">
      <c r="K3868" s="65"/>
      <c r="L3868" s="65"/>
    </row>
    <row r="3869" spans="11:12">
      <c r="K3869" s="65"/>
      <c r="L3869" s="65"/>
    </row>
    <row r="3870" spans="11:12">
      <c r="K3870" s="65"/>
      <c r="L3870" s="65"/>
    </row>
    <row r="3871" spans="11:12">
      <c r="K3871" s="65"/>
      <c r="L3871" s="65"/>
    </row>
    <row r="3872" spans="11:12">
      <c r="K3872" s="65"/>
      <c r="L3872" s="65"/>
    </row>
    <row r="3873" spans="11:12">
      <c r="K3873" s="65"/>
      <c r="L3873" s="65"/>
    </row>
    <row r="3874" spans="11:12">
      <c r="K3874" s="65"/>
      <c r="L3874" s="65"/>
    </row>
    <row r="3875" spans="11:12">
      <c r="K3875" s="65"/>
      <c r="L3875" s="65"/>
    </row>
    <row r="3876" spans="11:12">
      <c r="K3876" s="65"/>
      <c r="L3876" s="65"/>
    </row>
    <row r="3877" spans="11:12">
      <c r="K3877" s="65"/>
      <c r="L3877" s="65"/>
    </row>
    <row r="3878" spans="11:12">
      <c r="K3878" s="65"/>
      <c r="L3878" s="65"/>
    </row>
    <row r="3879" spans="11:12">
      <c r="K3879" s="65"/>
      <c r="L3879" s="65"/>
    </row>
    <row r="3880" spans="11:12">
      <c r="K3880" s="65"/>
      <c r="L3880" s="65"/>
    </row>
    <row r="3881" spans="11:12">
      <c r="K3881" s="65"/>
      <c r="L3881" s="65"/>
    </row>
    <row r="3882" spans="11:12">
      <c r="K3882" s="65"/>
      <c r="L3882" s="65"/>
    </row>
    <row r="3883" spans="11:12">
      <c r="K3883" s="65"/>
      <c r="L3883" s="65"/>
    </row>
    <row r="3884" spans="11:12">
      <c r="K3884" s="65"/>
      <c r="L3884" s="65"/>
    </row>
    <row r="3885" spans="11:12">
      <c r="K3885" s="65"/>
      <c r="L3885" s="65"/>
    </row>
    <row r="3886" spans="11:12">
      <c r="K3886" s="65"/>
      <c r="L3886" s="65"/>
    </row>
    <row r="3887" spans="11:12">
      <c r="K3887" s="65"/>
      <c r="L3887" s="65"/>
    </row>
    <row r="3888" spans="11:12">
      <c r="K3888" s="65"/>
      <c r="L3888" s="65"/>
    </row>
    <row r="3889" spans="11:12">
      <c r="K3889" s="65"/>
      <c r="L3889" s="65"/>
    </row>
    <row r="3890" spans="11:12">
      <c r="K3890" s="65"/>
      <c r="L3890" s="65"/>
    </row>
    <row r="3891" spans="11:12">
      <c r="K3891" s="65"/>
      <c r="L3891" s="65"/>
    </row>
    <row r="3892" spans="11:12">
      <c r="K3892" s="65"/>
      <c r="L3892" s="65"/>
    </row>
    <row r="3893" spans="11:12">
      <c r="K3893" s="65"/>
      <c r="L3893" s="65"/>
    </row>
    <row r="3894" spans="11:12">
      <c r="K3894" s="65"/>
      <c r="L3894" s="65"/>
    </row>
    <row r="3895" spans="11:12">
      <c r="K3895" s="65"/>
      <c r="L3895" s="65"/>
    </row>
    <row r="3896" spans="11:12">
      <c r="K3896" s="65"/>
      <c r="L3896" s="65"/>
    </row>
    <row r="3897" spans="11:12">
      <c r="K3897" s="65"/>
      <c r="L3897" s="65"/>
    </row>
    <row r="3898" spans="11:12">
      <c r="K3898" s="65"/>
      <c r="L3898" s="65"/>
    </row>
    <row r="3899" spans="11:12">
      <c r="K3899" s="65"/>
      <c r="L3899" s="65"/>
    </row>
    <row r="3900" spans="11:12">
      <c r="K3900" s="65"/>
      <c r="L3900" s="65"/>
    </row>
    <row r="3901" spans="11:12">
      <c r="K3901" s="65"/>
      <c r="L3901" s="65"/>
    </row>
    <row r="3902" spans="11:12">
      <c r="K3902" s="65"/>
      <c r="L3902" s="65"/>
    </row>
    <row r="3903" spans="11:12">
      <c r="K3903" s="65"/>
      <c r="L3903" s="65"/>
    </row>
    <row r="3904" spans="11:12">
      <c r="K3904" s="65"/>
      <c r="L3904" s="65"/>
    </row>
    <row r="3905" spans="11:12">
      <c r="K3905" s="65"/>
      <c r="L3905" s="65"/>
    </row>
    <row r="3906" spans="11:12">
      <c r="K3906" s="65"/>
      <c r="L3906" s="65"/>
    </row>
    <row r="3907" spans="11:12">
      <c r="K3907" s="65"/>
      <c r="L3907" s="65"/>
    </row>
    <row r="3908" spans="11:12">
      <c r="K3908" s="65"/>
      <c r="L3908" s="65"/>
    </row>
    <row r="3909" spans="11:12">
      <c r="K3909" s="65"/>
      <c r="L3909" s="65"/>
    </row>
    <row r="3910" spans="11:12">
      <c r="K3910" s="65"/>
      <c r="L3910" s="65"/>
    </row>
    <row r="3911" spans="11:12">
      <c r="K3911" s="65"/>
      <c r="L3911" s="65"/>
    </row>
    <row r="3912" spans="11:12">
      <c r="K3912" s="65"/>
      <c r="L3912" s="65"/>
    </row>
    <row r="3913" spans="11:12">
      <c r="K3913" s="65"/>
      <c r="L3913" s="65"/>
    </row>
    <row r="3914" spans="11:12">
      <c r="K3914" s="65"/>
      <c r="L3914" s="65"/>
    </row>
    <row r="3915" spans="11:12">
      <c r="K3915" s="65"/>
      <c r="L3915" s="65"/>
    </row>
    <row r="3916" spans="11:12">
      <c r="K3916" s="65"/>
      <c r="L3916" s="65"/>
    </row>
    <row r="3917" spans="11:12">
      <c r="K3917" s="65"/>
      <c r="L3917" s="65"/>
    </row>
    <row r="3918" spans="11:12">
      <c r="K3918" s="65"/>
      <c r="L3918" s="65"/>
    </row>
    <row r="3919" spans="11:12">
      <c r="K3919" s="65"/>
      <c r="L3919" s="65"/>
    </row>
    <row r="3920" spans="11:12">
      <c r="K3920" s="65"/>
      <c r="L3920" s="65"/>
    </row>
    <row r="3921" spans="11:12">
      <c r="K3921" s="65"/>
      <c r="L3921" s="65"/>
    </row>
    <row r="3922" spans="11:12">
      <c r="K3922" s="65"/>
      <c r="L3922" s="65"/>
    </row>
    <row r="3923" spans="11:12">
      <c r="K3923" s="65"/>
      <c r="L3923" s="65"/>
    </row>
    <row r="3924" spans="11:12">
      <c r="K3924" s="65"/>
      <c r="L3924" s="65"/>
    </row>
    <row r="3925" spans="11:12">
      <c r="K3925" s="65"/>
      <c r="L3925" s="65"/>
    </row>
    <row r="3926" spans="11:12">
      <c r="K3926" s="65"/>
      <c r="L3926" s="65"/>
    </row>
    <row r="3927" spans="11:12">
      <c r="K3927" s="65"/>
      <c r="L3927" s="65"/>
    </row>
    <row r="3928" spans="11:12">
      <c r="K3928" s="65"/>
      <c r="L3928" s="65"/>
    </row>
    <row r="3929" spans="11:12">
      <c r="K3929" s="65"/>
      <c r="L3929" s="65"/>
    </row>
    <row r="3930" spans="11:12">
      <c r="K3930" s="65"/>
      <c r="L3930" s="65"/>
    </row>
    <row r="3931" spans="11:12">
      <c r="K3931" s="65"/>
      <c r="L3931" s="65"/>
    </row>
    <row r="3932" spans="11:12">
      <c r="K3932" s="65"/>
      <c r="L3932" s="65"/>
    </row>
    <row r="3933" spans="11:12">
      <c r="K3933" s="65"/>
      <c r="L3933" s="65"/>
    </row>
    <row r="3934" spans="11:12">
      <c r="K3934" s="65"/>
      <c r="L3934" s="65"/>
    </row>
    <row r="3935" spans="11:12">
      <c r="K3935" s="65"/>
      <c r="L3935" s="65"/>
    </row>
    <row r="3936" spans="11:12">
      <c r="K3936" s="65"/>
      <c r="L3936" s="65"/>
    </row>
    <row r="3937" spans="11:12">
      <c r="K3937" s="65"/>
      <c r="L3937" s="65"/>
    </row>
    <row r="3938" spans="11:12">
      <c r="K3938" s="65"/>
      <c r="L3938" s="65"/>
    </row>
    <row r="3939" spans="11:12">
      <c r="K3939" s="65"/>
      <c r="L3939" s="65"/>
    </row>
    <row r="3940" spans="11:12">
      <c r="K3940" s="65"/>
      <c r="L3940" s="65"/>
    </row>
    <row r="3941" spans="11:12">
      <c r="K3941" s="65"/>
      <c r="L3941" s="65"/>
    </row>
    <row r="3942" spans="11:12">
      <c r="K3942" s="65"/>
      <c r="L3942" s="65"/>
    </row>
    <row r="3943" spans="11:12">
      <c r="K3943" s="65"/>
      <c r="L3943" s="65"/>
    </row>
    <row r="3944" spans="11:12">
      <c r="K3944" s="65"/>
      <c r="L3944" s="65"/>
    </row>
    <row r="3945" spans="11:12">
      <c r="K3945" s="65"/>
      <c r="L3945" s="65"/>
    </row>
    <row r="3946" spans="11:12">
      <c r="K3946" s="65"/>
      <c r="L3946" s="65"/>
    </row>
    <row r="3947" spans="11:12">
      <c r="K3947" s="65"/>
      <c r="L3947" s="65"/>
    </row>
    <row r="3948" spans="11:12">
      <c r="K3948" s="65"/>
      <c r="L3948" s="65"/>
    </row>
    <row r="3949" spans="11:12">
      <c r="K3949" s="65"/>
      <c r="L3949" s="65"/>
    </row>
    <row r="3950" spans="11:12">
      <c r="K3950" s="65"/>
      <c r="L3950" s="65"/>
    </row>
    <row r="3951" spans="11:12">
      <c r="K3951" s="65"/>
      <c r="L3951" s="65"/>
    </row>
    <row r="3952" spans="11:12">
      <c r="K3952" s="65"/>
      <c r="L3952" s="65"/>
    </row>
    <row r="3953" spans="11:12">
      <c r="K3953" s="65"/>
      <c r="L3953" s="65"/>
    </row>
    <row r="3954" spans="11:12">
      <c r="K3954" s="65"/>
      <c r="L3954" s="65"/>
    </row>
    <row r="3955" spans="11:12">
      <c r="K3955" s="65"/>
      <c r="L3955" s="65"/>
    </row>
    <row r="3956" spans="11:12">
      <c r="K3956" s="65"/>
      <c r="L3956" s="65"/>
    </row>
    <row r="3957" spans="11:12">
      <c r="K3957" s="65"/>
      <c r="L3957" s="65"/>
    </row>
    <row r="3958" spans="11:12">
      <c r="K3958" s="65"/>
      <c r="L3958" s="65"/>
    </row>
    <row r="3959" spans="11:12">
      <c r="K3959" s="65"/>
      <c r="L3959" s="65"/>
    </row>
    <row r="3960" spans="11:12">
      <c r="K3960" s="65"/>
      <c r="L3960" s="65"/>
    </row>
    <row r="3961" spans="11:12">
      <c r="K3961" s="65"/>
      <c r="L3961" s="65"/>
    </row>
    <row r="3962" spans="11:12">
      <c r="K3962" s="65"/>
      <c r="L3962" s="65"/>
    </row>
    <row r="3963" spans="11:12">
      <c r="K3963" s="65"/>
      <c r="L3963" s="65"/>
    </row>
    <row r="3964" spans="11:12">
      <c r="K3964" s="65"/>
      <c r="L3964" s="65"/>
    </row>
    <row r="3965" spans="11:12">
      <c r="K3965" s="65"/>
      <c r="L3965" s="65"/>
    </row>
    <row r="3966" spans="11:12">
      <c r="K3966" s="65"/>
      <c r="L3966" s="65"/>
    </row>
    <row r="3967" spans="11:12">
      <c r="K3967" s="65"/>
      <c r="L3967" s="65"/>
    </row>
    <row r="3968" spans="11:12">
      <c r="K3968" s="65"/>
      <c r="L3968" s="65"/>
    </row>
    <row r="3969" spans="11:12">
      <c r="K3969" s="65"/>
      <c r="L3969" s="65"/>
    </row>
    <row r="3970" spans="11:12">
      <c r="K3970" s="65"/>
      <c r="L3970" s="65"/>
    </row>
    <row r="3971" spans="11:12">
      <c r="K3971" s="65"/>
      <c r="L3971" s="65"/>
    </row>
    <row r="3972" spans="11:12">
      <c r="K3972" s="65"/>
      <c r="L3972" s="65"/>
    </row>
    <row r="3973" spans="11:12">
      <c r="K3973" s="65"/>
      <c r="L3973" s="65"/>
    </row>
    <row r="3974" spans="11:12">
      <c r="K3974" s="65"/>
      <c r="L3974" s="65"/>
    </row>
    <row r="3975" spans="11:12">
      <c r="K3975" s="65"/>
      <c r="L3975" s="65"/>
    </row>
    <row r="3976" spans="11:12">
      <c r="K3976" s="65"/>
      <c r="L3976" s="65"/>
    </row>
    <row r="3977" spans="11:12">
      <c r="K3977" s="65"/>
      <c r="L3977" s="65"/>
    </row>
    <row r="3978" spans="11:12">
      <c r="K3978" s="65"/>
      <c r="L3978" s="65"/>
    </row>
    <row r="3979" spans="11:12">
      <c r="K3979" s="65"/>
      <c r="L3979" s="65"/>
    </row>
    <row r="3980" spans="11:12">
      <c r="K3980" s="65"/>
      <c r="L3980" s="65"/>
    </row>
    <row r="3981" spans="11:12">
      <c r="K3981" s="65"/>
      <c r="L3981" s="65"/>
    </row>
    <row r="3982" spans="11:12">
      <c r="K3982" s="65"/>
      <c r="L3982" s="65"/>
    </row>
    <row r="3983" spans="11:12">
      <c r="K3983" s="65"/>
      <c r="L3983" s="65"/>
    </row>
    <row r="3984" spans="11:12">
      <c r="K3984" s="65"/>
      <c r="L3984" s="65"/>
    </row>
    <row r="3985" spans="11:12">
      <c r="K3985" s="65"/>
      <c r="L3985" s="65"/>
    </row>
    <row r="3986" spans="11:12">
      <c r="K3986" s="65"/>
      <c r="L3986" s="65"/>
    </row>
    <row r="3987" spans="11:12">
      <c r="K3987" s="65"/>
      <c r="L3987" s="65"/>
    </row>
    <row r="3988" spans="11:12">
      <c r="K3988" s="65"/>
      <c r="L3988" s="65"/>
    </row>
    <row r="3989" spans="11:12">
      <c r="K3989" s="65"/>
      <c r="L3989" s="65"/>
    </row>
    <row r="3990" spans="11:12">
      <c r="K3990" s="65"/>
      <c r="L3990" s="65"/>
    </row>
    <row r="3991" spans="11:12">
      <c r="K3991" s="65"/>
      <c r="L3991" s="65"/>
    </row>
    <row r="3992" spans="11:12">
      <c r="K3992" s="65"/>
      <c r="L3992" s="65"/>
    </row>
    <row r="3993" spans="11:12">
      <c r="K3993" s="65"/>
      <c r="L3993" s="65"/>
    </row>
    <row r="3994" spans="11:12">
      <c r="K3994" s="65"/>
      <c r="L3994" s="65"/>
    </row>
    <row r="3995" spans="11:12">
      <c r="K3995" s="65"/>
      <c r="L3995" s="65"/>
    </row>
    <row r="3996" spans="11:12">
      <c r="K3996" s="65"/>
      <c r="L3996" s="65"/>
    </row>
    <row r="3997" spans="11:12">
      <c r="K3997" s="65"/>
      <c r="L3997" s="65"/>
    </row>
    <row r="3998" spans="11:12">
      <c r="K3998" s="65"/>
      <c r="L3998" s="65"/>
    </row>
    <row r="3999" spans="11:12">
      <c r="K3999" s="65"/>
      <c r="L3999" s="65"/>
    </row>
    <row r="4000" spans="11:12">
      <c r="K4000" s="65"/>
      <c r="L4000" s="65"/>
    </row>
    <row r="4001" spans="11:12">
      <c r="K4001" s="65"/>
      <c r="L4001" s="65"/>
    </row>
    <row r="4002" spans="11:12">
      <c r="K4002" s="65"/>
      <c r="L4002" s="65"/>
    </row>
    <row r="4003" spans="11:12">
      <c r="K4003" s="65"/>
      <c r="L4003" s="65"/>
    </row>
    <row r="4004" spans="11:12">
      <c r="K4004" s="65"/>
      <c r="L4004" s="65"/>
    </row>
    <row r="4005" spans="11:12">
      <c r="K4005" s="65"/>
      <c r="L4005" s="65"/>
    </row>
    <row r="4006" spans="11:12">
      <c r="K4006" s="65"/>
      <c r="L4006" s="65"/>
    </row>
    <row r="4007" spans="11:12">
      <c r="K4007" s="65"/>
      <c r="L4007" s="65"/>
    </row>
    <row r="4008" spans="11:12">
      <c r="K4008" s="65"/>
      <c r="L4008" s="65"/>
    </row>
    <row r="4009" spans="11:12">
      <c r="K4009" s="65"/>
      <c r="L4009" s="65"/>
    </row>
    <row r="4010" spans="11:12">
      <c r="K4010" s="65"/>
      <c r="L4010" s="65"/>
    </row>
    <row r="4011" spans="11:12">
      <c r="K4011" s="65"/>
      <c r="L4011" s="65"/>
    </row>
    <row r="4012" spans="11:12">
      <c r="K4012" s="65"/>
      <c r="L4012" s="65"/>
    </row>
    <row r="4013" spans="11:12">
      <c r="K4013" s="65"/>
      <c r="L4013" s="65"/>
    </row>
    <row r="4014" spans="11:12">
      <c r="K4014" s="65"/>
      <c r="L4014" s="65"/>
    </row>
    <row r="4015" spans="11:12">
      <c r="K4015" s="65"/>
      <c r="L4015" s="65"/>
    </row>
    <row r="4016" spans="11:12">
      <c r="K4016" s="65"/>
      <c r="L4016" s="65"/>
    </row>
    <row r="4017" spans="11:12">
      <c r="K4017" s="65"/>
      <c r="L4017" s="65"/>
    </row>
    <row r="4018" spans="11:12">
      <c r="K4018" s="65"/>
      <c r="L4018" s="65"/>
    </row>
    <row r="4019" spans="11:12">
      <c r="K4019" s="65"/>
      <c r="L4019" s="65"/>
    </row>
    <row r="4020" spans="11:12">
      <c r="K4020" s="65"/>
      <c r="L4020" s="65"/>
    </row>
    <row r="4021" spans="11:12">
      <c r="K4021" s="65"/>
      <c r="L4021" s="65"/>
    </row>
    <row r="4022" spans="11:12">
      <c r="K4022" s="65"/>
      <c r="L4022" s="65"/>
    </row>
    <row r="4023" spans="11:12">
      <c r="K4023" s="65"/>
      <c r="L4023" s="65"/>
    </row>
    <row r="4024" spans="11:12">
      <c r="K4024" s="65"/>
      <c r="L4024" s="65"/>
    </row>
    <row r="4025" spans="11:12">
      <c r="K4025" s="65"/>
      <c r="L4025" s="65"/>
    </row>
    <row r="4026" spans="11:12">
      <c r="K4026" s="65"/>
      <c r="L4026" s="65"/>
    </row>
    <row r="4027" spans="11:12">
      <c r="K4027" s="65"/>
      <c r="L4027" s="65"/>
    </row>
    <row r="4028" spans="11:12">
      <c r="K4028" s="65"/>
      <c r="L4028" s="65"/>
    </row>
    <row r="4029" spans="11:12">
      <c r="K4029" s="65"/>
      <c r="L4029" s="65"/>
    </row>
    <row r="4030" spans="11:12">
      <c r="K4030" s="65"/>
      <c r="L4030" s="65"/>
    </row>
    <row r="4031" spans="11:12">
      <c r="K4031" s="65"/>
      <c r="L4031" s="65"/>
    </row>
    <row r="4032" spans="11:12">
      <c r="K4032" s="65"/>
      <c r="L4032" s="65"/>
    </row>
    <row r="4033" spans="11:12">
      <c r="K4033" s="65"/>
      <c r="L4033" s="65"/>
    </row>
    <row r="4034" spans="11:12">
      <c r="K4034" s="65"/>
      <c r="L4034" s="65"/>
    </row>
    <row r="4035" spans="11:12">
      <c r="K4035" s="65"/>
      <c r="L4035" s="65"/>
    </row>
    <row r="4036" spans="11:12">
      <c r="K4036" s="65"/>
      <c r="L4036" s="65"/>
    </row>
    <row r="4037" spans="11:12">
      <c r="K4037" s="65"/>
      <c r="L4037" s="65"/>
    </row>
    <row r="4038" spans="11:12">
      <c r="K4038" s="65"/>
      <c r="L4038" s="65"/>
    </row>
    <row r="4039" spans="11:12">
      <c r="K4039" s="65"/>
      <c r="L4039" s="65"/>
    </row>
    <row r="4040" spans="11:12">
      <c r="K4040" s="65"/>
      <c r="L4040" s="65"/>
    </row>
    <row r="4041" spans="11:12">
      <c r="K4041" s="65"/>
      <c r="L4041" s="65"/>
    </row>
    <row r="4042" spans="11:12">
      <c r="K4042" s="65"/>
      <c r="L4042" s="65"/>
    </row>
    <row r="4043" spans="11:12">
      <c r="K4043" s="65"/>
      <c r="L4043" s="65"/>
    </row>
    <row r="4044" spans="11:12">
      <c r="K4044" s="65"/>
      <c r="L4044" s="65"/>
    </row>
    <row r="4045" spans="11:12">
      <c r="K4045" s="65"/>
      <c r="L4045" s="65"/>
    </row>
    <row r="4046" spans="11:12">
      <c r="K4046" s="65"/>
      <c r="L4046" s="65"/>
    </row>
    <row r="4047" spans="11:12">
      <c r="K4047" s="65"/>
      <c r="L4047" s="65"/>
    </row>
    <row r="4048" spans="11:12">
      <c r="K4048" s="65"/>
      <c r="L4048" s="65"/>
    </row>
    <row r="4049" spans="11:12">
      <c r="K4049" s="65"/>
      <c r="L4049" s="65"/>
    </row>
    <row r="4050" spans="11:12">
      <c r="K4050" s="65"/>
      <c r="L4050" s="65"/>
    </row>
    <row r="4051" spans="11:12">
      <c r="K4051" s="65"/>
      <c r="L4051" s="65"/>
    </row>
    <row r="4052" spans="11:12">
      <c r="K4052" s="65"/>
      <c r="L4052" s="65"/>
    </row>
    <row r="4053" spans="11:12">
      <c r="K4053" s="65"/>
      <c r="L4053" s="65"/>
    </row>
    <row r="4054" spans="11:12">
      <c r="K4054" s="65"/>
      <c r="L4054" s="65"/>
    </row>
    <row r="4055" spans="11:12">
      <c r="K4055" s="65"/>
      <c r="L4055" s="65"/>
    </row>
    <row r="4056" spans="11:12">
      <c r="K4056" s="65"/>
      <c r="L4056" s="65"/>
    </row>
    <row r="4057" spans="11:12">
      <c r="K4057" s="65"/>
      <c r="L4057" s="65"/>
    </row>
    <row r="4058" spans="11:12">
      <c r="K4058" s="65"/>
      <c r="L4058" s="65"/>
    </row>
    <row r="4059" spans="11:12">
      <c r="K4059" s="65"/>
      <c r="L4059" s="65"/>
    </row>
    <row r="4060" spans="11:12">
      <c r="K4060" s="65"/>
      <c r="L4060" s="65"/>
    </row>
    <row r="4061" spans="11:12">
      <c r="K4061" s="65"/>
      <c r="L4061" s="65"/>
    </row>
    <row r="4062" spans="11:12">
      <c r="K4062" s="65"/>
      <c r="L4062" s="65"/>
    </row>
    <row r="4063" spans="11:12">
      <c r="K4063" s="65"/>
      <c r="L4063" s="65"/>
    </row>
    <row r="4064" spans="11:12">
      <c r="K4064" s="65"/>
      <c r="L4064" s="65"/>
    </row>
    <row r="4065" spans="11:12">
      <c r="K4065" s="65"/>
      <c r="L4065" s="65"/>
    </row>
    <row r="4066" spans="11:12">
      <c r="K4066" s="65"/>
      <c r="L4066" s="65"/>
    </row>
    <row r="4067" spans="11:12">
      <c r="K4067" s="65"/>
      <c r="L4067" s="65"/>
    </row>
    <row r="4068" spans="11:12">
      <c r="K4068" s="65"/>
      <c r="L4068" s="65"/>
    </row>
    <row r="4069" spans="11:12">
      <c r="K4069" s="65"/>
      <c r="L4069" s="65"/>
    </row>
    <row r="4070" spans="11:12">
      <c r="K4070" s="65"/>
      <c r="L4070" s="65"/>
    </row>
    <row r="4071" spans="11:12">
      <c r="K4071" s="65"/>
      <c r="L4071" s="65"/>
    </row>
    <row r="4072" spans="11:12">
      <c r="K4072" s="65"/>
      <c r="L4072" s="65"/>
    </row>
    <row r="4073" spans="11:12">
      <c r="K4073" s="65"/>
      <c r="L4073" s="65"/>
    </row>
    <row r="4074" spans="11:12">
      <c r="K4074" s="65"/>
      <c r="L4074" s="65"/>
    </row>
    <row r="4075" spans="11:12">
      <c r="K4075" s="65"/>
      <c r="L4075" s="65"/>
    </row>
    <row r="4076" spans="11:12">
      <c r="K4076" s="65"/>
      <c r="L4076" s="65"/>
    </row>
    <row r="4077" spans="11:12">
      <c r="K4077" s="65"/>
      <c r="L4077" s="65"/>
    </row>
    <row r="4078" spans="11:12">
      <c r="K4078" s="65"/>
      <c r="L4078" s="65"/>
    </row>
    <row r="4079" spans="11:12">
      <c r="K4079" s="65"/>
      <c r="L4079" s="65"/>
    </row>
    <row r="4080" spans="11:12">
      <c r="K4080" s="65"/>
      <c r="L4080" s="65"/>
    </row>
    <row r="4081" spans="11:12">
      <c r="K4081" s="65"/>
      <c r="L4081" s="65"/>
    </row>
    <row r="4082" spans="11:12">
      <c r="K4082" s="65"/>
      <c r="L4082" s="65"/>
    </row>
    <row r="4083" spans="11:12">
      <c r="K4083" s="65"/>
      <c r="L4083" s="65"/>
    </row>
    <row r="4084" spans="11:12">
      <c r="K4084" s="65"/>
      <c r="L4084" s="65"/>
    </row>
    <row r="4085" spans="11:12">
      <c r="K4085" s="65"/>
      <c r="L4085" s="65"/>
    </row>
    <row r="4086" spans="11:12">
      <c r="K4086" s="65"/>
      <c r="L4086" s="65"/>
    </row>
    <row r="4087" spans="11:12">
      <c r="K4087" s="65"/>
      <c r="L4087" s="65"/>
    </row>
    <row r="4088" spans="11:12">
      <c r="K4088" s="65"/>
      <c r="L4088" s="65"/>
    </row>
    <row r="4089" spans="11:12">
      <c r="K4089" s="65"/>
      <c r="L4089" s="65"/>
    </row>
    <row r="4090" spans="11:12">
      <c r="K4090" s="65"/>
      <c r="L4090" s="65"/>
    </row>
    <row r="4091" spans="11:12">
      <c r="K4091" s="65"/>
      <c r="L4091" s="65"/>
    </row>
    <row r="4092" spans="11:12">
      <c r="K4092" s="65"/>
      <c r="L4092" s="65"/>
    </row>
    <row r="4093" spans="11:12">
      <c r="K4093" s="65"/>
      <c r="L4093" s="65"/>
    </row>
    <row r="4094" spans="11:12">
      <c r="K4094" s="65"/>
      <c r="L4094" s="65"/>
    </row>
    <row r="4095" spans="11:12">
      <c r="K4095" s="65"/>
      <c r="L4095" s="65"/>
    </row>
    <row r="4096" spans="11:12">
      <c r="K4096" s="65"/>
      <c r="L4096" s="65"/>
    </row>
    <row r="4097" spans="11:12">
      <c r="K4097" s="65"/>
      <c r="L4097" s="65"/>
    </row>
    <row r="4098" spans="11:12">
      <c r="K4098" s="65"/>
      <c r="L4098" s="65"/>
    </row>
    <row r="4099" spans="11:12">
      <c r="K4099" s="65"/>
      <c r="L4099" s="65"/>
    </row>
    <row r="4100" spans="11:12">
      <c r="K4100" s="65"/>
      <c r="L4100" s="65"/>
    </row>
    <row r="4101" spans="11:12">
      <c r="K4101" s="65"/>
      <c r="L4101" s="65"/>
    </row>
    <row r="4102" spans="11:12">
      <c r="K4102" s="65"/>
      <c r="L4102" s="65"/>
    </row>
    <row r="4103" spans="11:12">
      <c r="K4103" s="65"/>
      <c r="L4103" s="65"/>
    </row>
    <row r="4104" spans="11:12">
      <c r="K4104" s="65"/>
      <c r="L4104" s="65"/>
    </row>
    <row r="4105" spans="11:12">
      <c r="K4105" s="65"/>
      <c r="L4105" s="65"/>
    </row>
    <row r="4106" spans="11:12">
      <c r="K4106" s="65"/>
      <c r="L4106" s="65"/>
    </row>
    <row r="4107" spans="11:12">
      <c r="K4107" s="65"/>
      <c r="L4107" s="65"/>
    </row>
    <row r="4108" spans="11:12">
      <c r="K4108" s="65"/>
      <c r="L4108" s="65"/>
    </row>
    <row r="4109" spans="11:12">
      <c r="K4109" s="65"/>
      <c r="L4109" s="65"/>
    </row>
    <row r="4110" spans="11:12">
      <c r="K4110" s="65"/>
      <c r="L4110" s="65"/>
    </row>
    <row r="4111" spans="11:12">
      <c r="K4111" s="65"/>
      <c r="L4111" s="65"/>
    </row>
    <row r="4112" spans="11:12">
      <c r="K4112" s="65"/>
      <c r="L4112" s="65"/>
    </row>
    <row r="4113" spans="11:12">
      <c r="K4113" s="65"/>
      <c r="L4113" s="65"/>
    </row>
    <row r="4114" spans="11:12">
      <c r="K4114" s="65"/>
      <c r="L4114" s="65"/>
    </row>
    <row r="4115" spans="11:12">
      <c r="K4115" s="65"/>
      <c r="L4115" s="65"/>
    </row>
    <row r="4116" spans="11:12">
      <c r="K4116" s="65"/>
      <c r="L4116" s="65"/>
    </row>
    <row r="4117" spans="11:12">
      <c r="K4117" s="65"/>
      <c r="L4117" s="65"/>
    </row>
    <row r="4118" spans="11:12">
      <c r="K4118" s="65"/>
      <c r="L4118" s="65"/>
    </row>
    <row r="4119" spans="11:12">
      <c r="K4119" s="65"/>
      <c r="L4119" s="65"/>
    </row>
    <row r="4120" spans="11:12">
      <c r="K4120" s="65"/>
      <c r="L4120" s="65"/>
    </row>
    <row r="4121" spans="11:12">
      <c r="K4121" s="65"/>
      <c r="L4121" s="65"/>
    </row>
    <row r="4122" spans="11:12">
      <c r="K4122" s="65"/>
      <c r="L4122" s="65"/>
    </row>
    <row r="4123" spans="11:12">
      <c r="K4123" s="65"/>
      <c r="L4123" s="65"/>
    </row>
    <row r="4124" spans="11:12">
      <c r="K4124" s="65"/>
      <c r="L4124" s="65"/>
    </row>
    <row r="4125" spans="11:12">
      <c r="K4125" s="65"/>
      <c r="L4125" s="65"/>
    </row>
    <row r="4126" spans="11:12">
      <c r="K4126" s="65"/>
      <c r="L4126" s="65"/>
    </row>
    <row r="4127" spans="11:12">
      <c r="K4127" s="65"/>
      <c r="L4127" s="65"/>
    </row>
    <row r="4128" spans="11:12">
      <c r="K4128" s="65"/>
      <c r="L4128" s="65"/>
    </row>
    <row r="4129" spans="11:12">
      <c r="K4129" s="65"/>
      <c r="L4129" s="65"/>
    </row>
    <row r="4130" spans="11:12">
      <c r="K4130" s="65"/>
      <c r="L4130" s="65"/>
    </row>
    <row r="4131" spans="11:12">
      <c r="K4131" s="65"/>
      <c r="L4131" s="65"/>
    </row>
    <row r="4132" spans="11:12">
      <c r="K4132" s="65"/>
      <c r="L4132" s="65"/>
    </row>
    <row r="4133" spans="11:12">
      <c r="K4133" s="65"/>
      <c r="L4133" s="65"/>
    </row>
    <row r="4134" spans="11:12">
      <c r="K4134" s="65"/>
      <c r="L4134" s="65"/>
    </row>
    <row r="4135" spans="11:12">
      <c r="K4135" s="65"/>
      <c r="L4135" s="65"/>
    </row>
    <row r="4136" spans="11:12">
      <c r="K4136" s="65"/>
      <c r="L4136" s="65"/>
    </row>
    <row r="4137" spans="11:12">
      <c r="K4137" s="65"/>
      <c r="L4137" s="65"/>
    </row>
    <row r="4138" spans="11:12">
      <c r="K4138" s="65"/>
      <c r="L4138" s="65"/>
    </row>
    <row r="4139" spans="11:12">
      <c r="K4139" s="65"/>
      <c r="L4139" s="65"/>
    </row>
    <row r="4140" spans="11:12">
      <c r="K4140" s="65"/>
      <c r="L4140" s="65"/>
    </row>
    <row r="4141" spans="11:12">
      <c r="K4141" s="65"/>
      <c r="L4141" s="65"/>
    </row>
    <row r="4142" spans="11:12">
      <c r="K4142" s="65"/>
      <c r="L4142" s="65"/>
    </row>
    <row r="4143" spans="11:12">
      <c r="K4143" s="65"/>
      <c r="L4143" s="65"/>
    </row>
    <row r="4144" spans="11:12">
      <c r="K4144" s="65"/>
      <c r="L4144" s="65"/>
    </row>
    <row r="4145" spans="11:12">
      <c r="K4145" s="65"/>
      <c r="L4145" s="65"/>
    </row>
    <row r="4146" spans="11:12">
      <c r="K4146" s="65"/>
      <c r="L4146" s="65"/>
    </row>
    <row r="4147" spans="11:12">
      <c r="K4147" s="65"/>
      <c r="L4147" s="65"/>
    </row>
    <row r="4148" spans="11:12">
      <c r="K4148" s="65"/>
      <c r="L4148" s="65"/>
    </row>
    <row r="4149" spans="11:12">
      <c r="K4149" s="65"/>
      <c r="L4149" s="65"/>
    </row>
    <row r="4150" spans="11:12">
      <c r="K4150" s="65"/>
      <c r="L4150" s="65"/>
    </row>
    <row r="4151" spans="11:12">
      <c r="K4151" s="65"/>
      <c r="L4151" s="65"/>
    </row>
    <row r="4152" spans="11:12">
      <c r="K4152" s="65"/>
      <c r="L4152" s="65"/>
    </row>
    <row r="4153" spans="11:12">
      <c r="K4153" s="65"/>
      <c r="L4153" s="65"/>
    </row>
    <row r="4154" spans="11:12">
      <c r="K4154" s="65"/>
      <c r="L4154" s="65"/>
    </row>
    <row r="4155" spans="11:12">
      <c r="K4155" s="65"/>
      <c r="L4155" s="65"/>
    </row>
    <row r="4156" spans="11:12">
      <c r="K4156" s="65"/>
      <c r="L4156" s="65"/>
    </row>
    <row r="4157" spans="11:12">
      <c r="K4157" s="65"/>
      <c r="L4157" s="65"/>
    </row>
    <row r="4158" spans="11:12">
      <c r="K4158" s="65"/>
      <c r="L4158" s="65"/>
    </row>
    <row r="4159" spans="11:12">
      <c r="K4159" s="65"/>
      <c r="L4159" s="65"/>
    </row>
    <row r="4160" spans="11:12">
      <c r="K4160" s="65"/>
      <c r="L4160" s="65"/>
    </row>
    <row r="4161" spans="11:12">
      <c r="K4161" s="65"/>
      <c r="L4161" s="65"/>
    </row>
    <row r="4162" spans="11:12">
      <c r="K4162" s="65"/>
      <c r="L4162" s="65"/>
    </row>
    <row r="4163" spans="11:12">
      <c r="K4163" s="65"/>
      <c r="L4163" s="65"/>
    </row>
    <row r="4164" spans="11:12">
      <c r="K4164" s="65"/>
      <c r="L4164" s="65"/>
    </row>
    <row r="4165" spans="11:12">
      <c r="K4165" s="65"/>
      <c r="L4165" s="65"/>
    </row>
    <row r="4166" spans="11:12">
      <c r="K4166" s="65"/>
      <c r="L4166" s="65"/>
    </row>
    <row r="4167" spans="11:12">
      <c r="K4167" s="65"/>
      <c r="L4167" s="65"/>
    </row>
    <row r="4168" spans="11:12">
      <c r="K4168" s="65"/>
      <c r="L4168" s="65"/>
    </row>
    <row r="4169" spans="11:12">
      <c r="K4169" s="65"/>
      <c r="L4169" s="65"/>
    </row>
    <row r="4170" spans="11:12">
      <c r="K4170" s="65"/>
      <c r="L4170" s="65"/>
    </row>
    <row r="4171" spans="11:12">
      <c r="K4171" s="65"/>
      <c r="L4171" s="65"/>
    </row>
    <row r="4172" spans="11:12">
      <c r="K4172" s="65"/>
      <c r="L4172" s="65"/>
    </row>
    <row r="4173" spans="11:12">
      <c r="K4173" s="65"/>
      <c r="L4173" s="65"/>
    </row>
    <row r="4174" spans="11:12">
      <c r="K4174" s="65"/>
      <c r="L4174" s="65"/>
    </row>
    <row r="4175" spans="11:12">
      <c r="K4175" s="65"/>
      <c r="L4175" s="65"/>
    </row>
    <row r="4176" spans="11:12">
      <c r="K4176" s="65"/>
      <c r="L4176" s="65"/>
    </row>
    <row r="4177" spans="11:12">
      <c r="K4177" s="65"/>
      <c r="L4177" s="65"/>
    </row>
    <row r="4178" spans="11:12">
      <c r="K4178" s="65"/>
      <c r="L4178" s="65"/>
    </row>
    <row r="4179" spans="11:12">
      <c r="K4179" s="65"/>
      <c r="L4179" s="65"/>
    </row>
    <row r="4180" spans="11:12">
      <c r="K4180" s="65"/>
      <c r="L4180" s="65"/>
    </row>
    <row r="4181" spans="11:12">
      <c r="K4181" s="65"/>
      <c r="L4181" s="65"/>
    </row>
    <row r="4182" spans="11:12">
      <c r="K4182" s="65"/>
      <c r="L4182" s="65"/>
    </row>
    <row r="4183" spans="11:12">
      <c r="K4183" s="65"/>
      <c r="L4183" s="65"/>
    </row>
    <row r="4184" spans="11:12">
      <c r="K4184" s="65"/>
      <c r="L4184" s="65"/>
    </row>
    <row r="4185" spans="11:12">
      <c r="K4185" s="65"/>
      <c r="L4185" s="65"/>
    </row>
    <row r="4186" spans="11:12">
      <c r="K4186" s="65"/>
      <c r="L4186" s="65"/>
    </row>
    <row r="4187" spans="11:12">
      <c r="K4187" s="65"/>
      <c r="L4187" s="65"/>
    </row>
    <row r="4188" spans="11:12">
      <c r="K4188" s="65"/>
      <c r="L4188" s="65"/>
    </row>
    <row r="4189" spans="11:12">
      <c r="K4189" s="65"/>
      <c r="L4189" s="65"/>
    </row>
    <row r="4190" spans="11:12">
      <c r="K4190" s="65"/>
      <c r="L4190" s="65"/>
    </row>
    <row r="4191" spans="11:12">
      <c r="K4191" s="65"/>
      <c r="L4191" s="65"/>
    </row>
    <row r="4192" spans="11:12">
      <c r="K4192" s="65"/>
      <c r="L4192" s="65"/>
    </row>
    <row r="4193" spans="11:12">
      <c r="K4193" s="65"/>
      <c r="L4193" s="65"/>
    </row>
    <row r="4194" spans="11:12">
      <c r="K4194" s="65"/>
      <c r="L4194" s="65"/>
    </row>
    <row r="4195" spans="11:12">
      <c r="K4195" s="65"/>
      <c r="L4195" s="65"/>
    </row>
    <row r="4196" spans="11:12">
      <c r="K4196" s="65"/>
      <c r="L4196" s="65"/>
    </row>
    <row r="4197" spans="11:12">
      <c r="K4197" s="65"/>
      <c r="L4197" s="65"/>
    </row>
    <row r="4198" spans="11:12">
      <c r="K4198" s="65"/>
      <c r="L4198" s="65"/>
    </row>
    <row r="4199" spans="11:12">
      <c r="K4199" s="65"/>
      <c r="L4199" s="65"/>
    </row>
    <row r="4200" spans="11:12">
      <c r="K4200" s="65"/>
      <c r="L4200" s="65"/>
    </row>
    <row r="4201" spans="11:12">
      <c r="K4201" s="65"/>
      <c r="L4201" s="65"/>
    </row>
    <row r="4202" spans="11:12">
      <c r="K4202" s="65"/>
      <c r="L4202" s="65"/>
    </row>
    <row r="4203" spans="11:12">
      <c r="K4203" s="65"/>
      <c r="L4203" s="65"/>
    </row>
    <row r="4204" spans="11:12">
      <c r="K4204" s="65"/>
      <c r="L4204" s="65"/>
    </row>
    <row r="4205" spans="11:12">
      <c r="K4205" s="65"/>
      <c r="L4205" s="65"/>
    </row>
    <row r="4206" spans="11:12">
      <c r="K4206" s="65"/>
      <c r="L4206" s="65"/>
    </row>
    <row r="4207" spans="11:12">
      <c r="K4207" s="65"/>
      <c r="L4207" s="65"/>
    </row>
    <row r="4208" spans="11:12">
      <c r="K4208" s="65"/>
      <c r="L4208" s="65"/>
    </row>
    <row r="4209" spans="11:12">
      <c r="K4209" s="65"/>
      <c r="L4209" s="65"/>
    </row>
    <row r="4210" spans="11:12">
      <c r="K4210" s="65"/>
      <c r="L4210" s="65"/>
    </row>
    <row r="4211" spans="11:12">
      <c r="K4211" s="65"/>
      <c r="L4211" s="65"/>
    </row>
    <row r="4212" spans="11:12">
      <c r="K4212" s="65"/>
      <c r="L4212" s="65"/>
    </row>
    <row r="4213" spans="11:12">
      <c r="K4213" s="65"/>
      <c r="L4213" s="65"/>
    </row>
    <row r="4214" spans="11:12">
      <c r="K4214" s="65"/>
      <c r="L4214" s="65"/>
    </row>
    <row r="4215" spans="11:12">
      <c r="K4215" s="65"/>
      <c r="L4215" s="65"/>
    </row>
    <row r="4216" spans="11:12">
      <c r="K4216" s="65"/>
      <c r="L4216" s="65"/>
    </row>
    <row r="4217" spans="11:12">
      <c r="K4217" s="65"/>
      <c r="L4217" s="65"/>
    </row>
    <row r="4218" spans="11:12">
      <c r="K4218" s="65"/>
      <c r="L4218" s="65"/>
    </row>
    <row r="4219" spans="11:12">
      <c r="K4219" s="65"/>
      <c r="L4219" s="65"/>
    </row>
    <row r="4220" spans="11:12">
      <c r="K4220" s="65"/>
      <c r="L4220" s="65"/>
    </row>
    <row r="4221" spans="11:12">
      <c r="K4221" s="65"/>
      <c r="L4221" s="65"/>
    </row>
    <row r="4222" spans="11:12">
      <c r="K4222" s="65"/>
      <c r="L4222" s="65"/>
    </row>
    <row r="4223" spans="11:12">
      <c r="K4223" s="65"/>
      <c r="L4223" s="65"/>
    </row>
    <row r="4224" spans="11:12">
      <c r="K4224" s="65"/>
      <c r="L4224" s="65"/>
    </row>
    <row r="4225" spans="11:12">
      <c r="K4225" s="65"/>
      <c r="L4225" s="65"/>
    </row>
    <row r="4226" spans="11:12">
      <c r="K4226" s="65"/>
      <c r="L4226" s="65"/>
    </row>
    <row r="4227" spans="11:12">
      <c r="K4227" s="65"/>
      <c r="L4227" s="65"/>
    </row>
    <row r="4228" spans="11:12">
      <c r="K4228" s="65"/>
      <c r="L4228" s="65"/>
    </row>
    <row r="4229" spans="11:12">
      <c r="K4229" s="65"/>
      <c r="L4229" s="65"/>
    </row>
    <row r="4230" spans="11:12">
      <c r="K4230" s="65"/>
      <c r="L4230" s="65"/>
    </row>
    <row r="4231" spans="11:12">
      <c r="K4231" s="65"/>
      <c r="L4231" s="65"/>
    </row>
    <row r="4232" spans="11:12">
      <c r="K4232" s="65"/>
      <c r="L4232" s="65"/>
    </row>
    <row r="4233" spans="11:12">
      <c r="K4233" s="65"/>
      <c r="L4233" s="65"/>
    </row>
    <row r="4234" spans="11:12">
      <c r="K4234" s="65"/>
      <c r="L4234" s="65"/>
    </row>
    <row r="4235" spans="11:12">
      <c r="K4235" s="65"/>
      <c r="L4235" s="65"/>
    </row>
    <row r="4236" spans="11:12">
      <c r="K4236" s="65"/>
      <c r="L4236" s="65"/>
    </row>
    <row r="4237" spans="11:12">
      <c r="K4237" s="65"/>
      <c r="L4237" s="65"/>
    </row>
    <row r="4238" spans="11:12">
      <c r="K4238" s="65"/>
      <c r="L4238" s="65"/>
    </row>
    <row r="4239" spans="11:12">
      <c r="K4239" s="65"/>
      <c r="L4239" s="65"/>
    </row>
    <row r="4240" spans="11:12">
      <c r="K4240" s="65"/>
      <c r="L4240" s="65"/>
    </row>
    <row r="4241" spans="11:12">
      <c r="K4241" s="65"/>
      <c r="L4241" s="65"/>
    </row>
    <row r="4242" spans="11:12">
      <c r="K4242" s="65"/>
      <c r="L4242" s="65"/>
    </row>
    <row r="4243" spans="11:12">
      <c r="K4243" s="65"/>
      <c r="L4243" s="65"/>
    </row>
    <row r="4244" spans="11:12">
      <c r="K4244" s="65"/>
      <c r="L4244" s="65"/>
    </row>
    <row r="4245" spans="11:12">
      <c r="K4245" s="65"/>
      <c r="L4245" s="65"/>
    </row>
    <row r="4246" spans="11:12">
      <c r="K4246" s="65"/>
      <c r="L4246" s="65"/>
    </row>
    <row r="4247" spans="11:12">
      <c r="K4247" s="65"/>
      <c r="L4247" s="65"/>
    </row>
    <row r="4248" spans="11:12">
      <c r="K4248" s="65"/>
      <c r="L4248" s="65"/>
    </row>
    <row r="4249" spans="11:12">
      <c r="K4249" s="65"/>
      <c r="L4249" s="65"/>
    </row>
    <row r="4250" spans="11:12">
      <c r="K4250" s="65"/>
      <c r="L4250" s="65"/>
    </row>
    <row r="4251" spans="11:12">
      <c r="K4251" s="65"/>
      <c r="L4251" s="65"/>
    </row>
    <row r="4252" spans="11:12">
      <c r="K4252" s="65"/>
      <c r="L4252" s="65"/>
    </row>
    <row r="4253" spans="11:12">
      <c r="K4253" s="65"/>
      <c r="L4253" s="65"/>
    </row>
    <row r="4254" spans="11:12">
      <c r="K4254" s="65"/>
      <c r="L4254" s="65"/>
    </row>
    <row r="4255" spans="11:12">
      <c r="K4255" s="65"/>
      <c r="L4255" s="65"/>
    </row>
    <row r="4256" spans="11:12">
      <c r="K4256" s="65"/>
      <c r="L4256" s="65"/>
    </row>
    <row r="4257" spans="11:12">
      <c r="K4257" s="65"/>
      <c r="L4257" s="65"/>
    </row>
    <row r="4258" spans="11:12">
      <c r="K4258" s="65"/>
      <c r="L4258" s="65"/>
    </row>
    <row r="4259" spans="11:12">
      <c r="K4259" s="65"/>
      <c r="L4259" s="65"/>
    </row>
    <row r="4260" spans="11:12">
      <c r="K4260" s="65"/>
      <c r="L4260" s="65"/>
    </row>
    <row r="4261" spans="11:12">
      <c r="K4261" s="65"/>
      <c r="L4261" s="65"/>
    </row>
    <row r="4262" spans="11:12">
      <c r="K4262" s="65"/>
      <c r="L4262" s="65"/>
    </row>
    <row r="4263" spans="11:12">
      <c r="K4263" s="65"/>
      <c r="L4263" s="65"/>
    </row>
    <row r="4264" spans="11:12">
      <c r="K4264" s="65"/>
      <c r="L4264" s="65"/>
    </row>
    <row r="4265" spans="11:12">
      <c r="K4265" s="65"/>
      <c r="L4265" s="65"/>
    </row>
    <row r="4266" spans="11:12">
      <c r="K4266" s="65"/>
      <c r="L4266" s="65"/>
    </row>
    <row r="4267" spans="11:12">
      <c r="K4267" s="65"/>
      <c r="L4267" s="65"/>
    </row>
    <row r="4268" spans="11:12">
      <c r="K4268" s="65"/>
      <c r="L4268" s="65"/>
    </row>
    <row r="4269" spans="11:12">
      <c r="K4269" s="65"/>
      <c r="L4269" s="65"/>
    </row>
    <row r="4270" spans="11:12">
      <c r="K4270" s="65"/>
      <c r="L4270" s="65"/>
    </row>
    <row r="4271" spans="11:12">
      <c r="K4271" s="65"/>
      <c r="L4271" s="65"/>
    </row>
    <row r="4272" spans="11:12">
      <c r="K4272" s="65"/>
      <c r="L4272" s="65"/>
    </row>
    <row r="4273" spans="11:12">
      <c r="K4273" s="65"/>
      <c r="L4273" s="65"/>
    </row>
    <row r="4274" spans="11:12">
      <c r="K4274" s="65"/>
      <c r="L4274" s="65"/>
    </row>
    <row r="4275" spans="11:12">
      <c r="K4275" s="65"/>
      <c r="L4275" s="65"/>
    </row>
    <row r="4276" spans="11:12">
      <c r="K4276" s="65"/>
      <c r="L4276" s="65"/>
    </row>
    <row r="4277" spans="11:12">
      <c r="K4277" s="65"/>
      <c r="L4277" s="65"/>
    </row>
    <row r="4278" spans="11:12">
      <c r="K4278" s="65"/>
      <c r="L4278" s="65"/>
    </row>
    <row r="4279" spans="11:12">
      <c r="K4279" s="65"/>
      <c r="L4279" s="65"/>
    </row>
    <row r="4280" spans="11:12">
      <c r="K4280" s="65"/>
      <c r="L4280" s="65"/>
    </row>
    <row r="4281" spans="11:12">
      <c r="K4281" s="65"/>
      <c r="L4281" s="65"/>
    </row>
    <row r="4282" spans="11:12">
      <c r="K4282" s="65"/>
      <c r="L4282" s="65"/>
    </row>
    <row r="4283" spans="11:12">
      <c r="K4283" s="65"/>
      <c r="L4283" s="65"/>
    </row>
    <row r="4284" spans="11:12">
      <c r="K4284" s="65"/>
      <c r="L4284" s="65"/>
    </row>
    <row r="4285" spans="11:12">
      <c r="K4285" s="65"/>
      <c r="L4285" s="65"/>
    </row>
    <row r="4286" spans="11:12">
      <c r="K4286" s="65"/>
      <c r="L4286" s="65"/>
    </row>
    <row r="4287" spans="11:12">
      <c r="K4287" s="65"/>
      <c r="L4287" s="65"/>
    </row>
    <row r="4288" spans="11:12">
      <c r="K4288" s="65"/>
      <c r="L4288" s="65"/>
    </row>
    <row r="4289" spans="11:12">
      <c r="K4289" s="65"/>
      <c r="L4289" s="65"/>
    </row>
    <row r="4290" spans="11:12">
      <c r="K4290" s="65"/>
      <c r="L4290" s="65"/>
    </row>
    <row r="4291" spans="11:12">
      <c r="K4291" s="65"/>
      <c r="L4291" s="65"/>
    </row>
    <row r="4292" spans="11:12">
      <c r="K4292" s="65"/>
      <c r="L4292" s="65"/>
    </row>
    <row r="4293" spans="11:12">
      <c r="K4293" s="65"/>
      <c r="L4293" s="65"/>
    </row>
    <row r="4294" spans="11:12">
      <c r="K4294" s="65"/>
      <c r="L4294" s="65"/>
    </row>
    <row r="4295" spans="11:12">
      <c r="K4295" s="65"/>
      <c r="L4295" s="65"/>
    </row>
    <row r="4296" spans="11:12">
      <c r="K4296" s="65"/>
      <c r="L4296" s="65"/>
    </row>
    <row r="4297" spans="11:12">
      <c r="K4297" s="65"/>
      <c r="L4297" s="65"/>
    </row>
    <row r="4298" spans="11:12">
      <c r="K4298" s="65"/>
      <c r="L4298" s="65"/>
    </row>
    <row r="4299" spans="11:12">
      <c r="K4299" s="65"/>
      <c r="L4299" s="65"/>
    </row>
    <row r="4300" spans="11:12">
      <c r="K4300" s="65"/>
      <c r="L4300" s="65"/>
    </row>
    <row r="4301" spans="11:12">
      <c r="K4301" s="65"/>
      <c r="L4301" s="65"/>
    </row>
    <row r="4302" spans="11:12">
      <c r="K4302" s="65"/>
      <c r="L4302" s="65"/>
    </row>
    <row r="4303" spans="11:12">
      <c r="K4303" s="65"/>
      <c r="L4303" s="65"/>
    </row>
    <row r="4304" spans="11:12">
      <c r="K4304" s="65"/>
      <c r="L4304" s="65"/>
    </row>
    <row r="4305" spans="11:12">
      <c r="K4305" s="65"/>
      <c r="L4305" s="65"/>
    </row>
    <row r="4306" spans="11:12">
      <c r="K4306" s="65"/>
      <c r="L4306" s="65"/>
    </row>
    <row r="4307" spans="11:12">
      <c r="K4307" s="65"/>
      <c r="L4307" s="65"/>
    </row>
    <row r="4308" spans="11:12">
      <c r="K4308" s="65"/>
      <c r="L4308" s="65"/>
    </row>
    <row r="4309" spans="11:12">
      <c r="K4309" s="65"/>
      <c r="L4309" s="65"/>
    </row>
    <row r="4310" spans="11:12">
      <c r="K4310" s="65"/>
      <c r="L4310" s="65"/>
    </row>
    <row r="4311" spans="11:12">
      <c r="K4311" s="65"/>
      <c r="L4311" s="65"/>
    </row>
    <row r="4312" spans="11:12">
      <c r="K4312" s="65"/>
      <c r="L4312" s="65"/>
    </row>
    <row r="4313" spans="11:12">
      <c r="K4313" s="65"/>
      <c r="L4313" s="65"/>
    </row>
    <row r="4314" spans="11:12">
      <c r="K4314" s="65"/>
      <c r="L4314" s="65"/>
    </row>
    <row r="4315" spans="11:12">
      <c r="K4315" s="65"/>
      <c r="L4315" s="65"/>
    </row>
    <row r="4316" spans="11:12">
      <c r="K4316" s="65"/>
      <c r="L4316" s="65"/>
    </row>
    <row r="4317" spans="11:12">
      <c r="K4317" s="65"/>
      <c r="L4317" s="65"/>
    </row>
    <row r="4318" spans="11:12">
      <c r="K4318" s="65"/>
      <c r="L4318" s="65"/>
    </row>
    <row r="4319" spans="11:12">
      <c r="K4319" s="65"/>
      <c r="L4319" s="65"/>
    </row>
    <row r="4320" spans="11:12">
      <c r="K4320" s="65"/>
      <c r="L4320" s="65"/>
    </row>
    <row r="4321" spans="11:12">
      <c r="K4321" s="65"/>
      <c r="L4321" s="65"/>
    </row>
    <row r="4322" spans="11:12">
      <c r="K4322" s="65"/>
      <c r="L4322" s="65"/>
    </row>
    <row r="4323" spans="11:12">
      <c r="K4323" s="65"/>
      <c r="L4323" s="65"/>
    </row>
    <row r="4324" spans="11:12">
      <c r="K4324" s="65"/>
      <c r="L4324" s="65"/>
    </row>
    <row r="4325" spans="11:12">
      <c r="K4325" s="65"/>
      <c r="L4325" s="65"/>
    </row>
    <row r="4326" spans="11:12">
      <c r="K4326" s="65"/>
      <c r="L4326" s="65"/>
    </row>
    <row r="4327" spans="11:12">
      <c r="K4327" s="65"/>
      <c r="L4327" s="65"/>
    </row>
    <row r="4328" spans="11:12">
      <c r="K4328" s="65"/>
      <c r="L4328" s="65"/>
    </row>
    <row r="4329" spans="11:12">
      <c r="K4329" s="65"/>
      <c r="L4329" s="65"/>
    </row>
    <row r="4330" spans="11:12">
      <c r="K4330" s="65"/>
      <c r="L4330" s="65"/>
    </row>
    <row r="4331" spans="11:12">
      <c r="K4331" s="65"/>
      <c r="L4331" s="65"/>
    </row>
    <row r="4332" spans="11:12">
      <c r="K4332" s="65"/>
      <c r="L4332" s="65"/>
    </row>
    <row r="4333" spans="11:12">
      <c r="K4333" s="65"/>
      <c r="L4333" s="65"/>
    </row>
    <row r="4334" spans="11:12">
      <c r="K4334" s="65"/>
      <c r="L4334" s="65"/>
    </row>
    <row r="4335" spans="11:12">
      <c r="K4335" s="65"/>
      <c r="L4335" s="65"/>
    </row>
    <row r="4336" spans="11:12">
      <c r="K4336" s="65"/>
      <c r="L4336" s="65"/>
    </row>
    <row r="4337" spans="11:12">
      <c r="K4337" s="65"/>
      <c r="L4337" s="65"/>
    </row>
    <row r="4338" spans="11:12">
      <c r="K4338" s="65"/>
      <c r="L4338" s="65"/>
    </row>
    <row r="4339" spans="11:12">
      <c r="K4339" s="65"/>
      <c r="L4339" s="65"/>
    </row>
    <row r="4340" spans="11:12">
      <c r="K4340" s="65"/>
      <c r="L4340" s="65"/>
    </row>
    <row r="4341" spans="11:12">
      <c r="K4341" s="65"/>
      <c r="L4341" s="65"/>
    </row>
    <row r="4342" spans="11:12">
      <c r="K4342" s="65"/>
      <c r="L4342" s="65"/>
    </row>
    <row r="4343" spans="11:12">
      <c r="K4343" s="65"/>
      <c r="L4343" s="65"/>
    </row>
    <row r="4344" spans="11:12">
      <c r="K4344" s="65"/>
      <c r="L4344" s="65"/>
    </row>
    <row r="4345" spans="11:12">
      <c r="K4345" s="65"/>
      <c r="L4345" s="65"/>
    </row>
    <row r="4346" spans="11:12">
      <c r="K4346" s="65"/>
      <c r="L4346" s="65"/>
    </row>
    <row r="4347" spans="11:12">
      <c r="K4347" s="65"/>
      <c r="L4347" s="65"/>
    </row>
    <row r="4348" spans="11:12">
      <c r="K4348" s="65"/>
      <c r="L4348" s="65"/>
    </row>
    <row r="4349" spans="11:12">
      <c r="K4349" s="65"/>
      <c r="L4349" s="65"/>
    </row>
    <row r="4350" spans="11:12">
      <c r="K4350" s="65"/>
      <c r="L4350" s="65"/>
    </row>
    <row r="4351" spans="11:12">
      <c r="K4351" s="65"/>
      <c r="L4351" s="65"/>
    </row>
    <row r="4352" spans="11:12">
      <c r="K4352" s="65"/>
      <c r="L4352" s="65"/>
    </row>
    <row r="4353" spans="11:12">
      <c r="K4353" s="65"/>
      <c r="L4353" s="65"/>
    </row>
    <row r="4354" spans="11:12">
      <c r="K4354" s="65"/>
      <c r="L4354" s="65"/>
    </row>
    <row r="4355" spans="11:12">
      <c r="K4355" s="65"/>
      <c r="L4355" s="65"/>
    </row>
    <row r="4356" spans="11:12">
      <c r="K4356" s="65"/>
      <c r="L4356" s="65"/>
    </row>
    <row r="4357" spans="11:12">
      <c r="K4357" s="65"/>
      <c r="L4357" s="65"/>
    </row>
    <row r="4358" spans="11:12">
      <c r="K4358" s="65"/>
      <c r="L4358" s="65"/>
    </row>
    <row r="4359" spans="11:12">
      <c r="K4359" s="65"/>
      <c r="L4359" s="65"/>
    </row>
    <row r="4360" spans="11:12">
      <c r="K4360" s="65"/>
      <c r="L4360" s="65"/>
    </row>
    <row r="4361" spans="11:12">
      <c r="K4361" s="65"/>
      <c r="L4361" s="65"/>
    </row>
    <row r="4362" spans="11:12">
      <c r="K4362" s="65"/>
      <c r="L4362" s="65"/>
    </row>
    <row r="4363" spans="11:12">
      <c r="K4363" s="65"/>
      <c r="L4363" s="65"/>
    </row>
    <row r="4364" spans="11:12">
      <c r="K4364" s="65"/>
      <c r="L4364" s="65"/>
    </row>
    <row r="4365" spans="11:12">
      <c r="K4365" s="65"/>
      <c r="L4365" s="65"/>
    </row>
    <row r="4366" spans="11:12">
      <c r="K4366" s="65"/>
      <c r="L4366" s="65"/>
    </row>
    <row r="4367" spans="11:12">
      <c r="K4367" s="65"/>
      <c r="L4367" s="65"/>
    </row>
    <row r="4368" spans="11:12">
      <c r="K4368" s="65"/>
      <c r="L4368" s="65"/>
    </row>
    <row r="4369" spans="11:12">
      <c r="K4369" s="65"/>
      <c r="L4369" s="65"/>
    </row>
    <row r="4370" spans="11:12">
      <c r="K4370" s="65"/>
      <c r="L4370" s="65"/>
    </row>
    <row r="4371" spans="11:12">
      <c r="K4371" s="65"/>
      <c r="L4371" s="65"/>
    </row>
    <row r="4372" spans="11:12">
      <c r="K4372" s="65"/>
      <c r="L4372" s="65"/>
    </row>
    <row r="4373" spans="11:12">
      <c r="K4373" s="65"/>
      <c r="L4373" s="65"/>
    </row>
    <row r="4374" spans="11:12">
      <c r="K4374" s="65"/>
      <c r="L4374" s="65"/>
    </row>
    <row r="4375" spans="11:12">
      <c r="K4375" s="65"/>
      <c r="L4375" s="65"/>
    </row>
    <row r="4376" spans="11:12">
      <c r="K4376" s="65"/>
      <c r="L4376" s="65"/>
    </row>
    <row r="4377" spans="11:12">
      <c r="K4377" s="65"/>
      <c r="L4377" s="65"/>
    </row>
    <row r="4378" spans="11:12">
      <c r="K4378" s="65"/>
      <c r="L4378" s="65"/>
    </row>
    <row r="4379" spans="11:12">
      <c r="K4379" s="65"/>
      <c r="L4379" s="65"/>
    </row>
    <row r="4380" spans="11:12">
      <c r="K4380" s="65"/>
      <c r="L4380" s="65"/>
    </row>
    <row r="4381" spans="11:12">
      <c r="K4381" s="65"/>
      <c r="L4381" s="65"/>
    </row>
    <row r="4382" spans="11:12">
      <c r="K4382" s="65"/>
      <c r="L4382" s="65"/>
    </row>
    <row r="4383" spans="11:12">
      <c r="K4383" s="65"/>
      <c r="L4383" s="65"/>
    </row>
    <row r="4384" spans="11:12">
      <c r="K4384" s="65"/>
      <c r="L4384" s="65"/>
    </row>
    <row r="4385" spans="11:12">
      <c r="K4385" s="65"/>
      <c r="L4385" s="65"/>
    </row>
    <row r="4386" spans="11:12">
      <c r="K4386" s="65"/>
      <c r="L4386" s="65"/>
    </row>
    <row r="4387" spans="11:12">
      <c r="K4387" s="65"/>
      <c r="L4387" s="65"/>
    </row>
    <row r="4388" spans="11:12">
      <c r="K4388" s="65"/>
      <c r="L4388" s="65"/>
    </row>
    <row r="4389" spans="11:12">
      <c r="K4389" s="65"/>
      <c r="L4389" s="65"/>
    </row>
    <row r="4390" spans="11:12">
      <c r="K4390" s="65"/>
      <c r="L4390" s="65"/>
    </row>
    <row r="4391" spans="11:12">
      <c r="K4391" s="65"/>
      <c r="L4391" s="65"/>
    </row>
    <row r="4392" spans="11:12">
      <c r="K4392" s="65"/>
      <c r="L4392" s="65"/>
    </row>
    <row r="4393" spans="11:12">
      <c r="K4393" s="65"/>
      <c r="L4393" s="65"/>
    </row>
    <row r="4394" spans="11:12">
      <c r="K4394" s="65"/>
      <c r="L4394" s="65"/>
    </row>
    <row r="4395" spans="11:12">
      <c r="K4395" s="65"/>
      <c r="L4395" s="65"/>
    </row>
    <row r="4396" spans="11:12">
      <c r="K4396" s="65"/>
      <c r="L4396" s="65"/>
    </row>
    <row r="4397" spans="11:12">
      <c r="K4397" s="65"/>
      <c r="L4397" s="65"/>
    </row>
    <row r="4398" spans="11:12">
      <c r="K4398" s="65"/>
      <c r="L4398" s="65"/>
    </row>
    <row r="4399" spans="11:12">
      <c r="K4399" s="65"/>
      <c r="L4399" s="65"/>
    </row>
    <row r="4400" spans="11:12">
      <c r="K4400" s="65"/>
      <c r="L4400" s="65"/>
    </row>
    <row r="4401" spans="11:12">
      <c r="K4401" s="65"/>
      <c r="L4401" s="65"/>
    </row>
    <row r="4402" spans="11:12">
      <c r="K4402" s="65"/>
      <c r="L4402" s="65"/>
    </row>
    <row r="4403" spans="11:12">
      <c r="K4403" s="65"/>
      <c r="L4403" s="65"/>
    </row>
    <row r="4404" spans="11:12">
      <c r="K4404" s="65"/>
      <c r="L4404" s="65"/>
    </row>
    <row r="4405" spans="11:12">
      <c r="K4405" s="65"/>
      <c r="L4405" s="65"/>
    </row>
    <row r="4406" spans="11:12">
      <c r="K4406" s="65"/>
      <c r="L4406" s="65"/>
    </row>
    <row r="4407" spans="11:12">
      <c r="K4407" s="65"/>
      <c r="L4407" s="65"/>
    </row>
    <row r="4408" spans="11:12">
      <c r="K4408" s="65"/>
      <c r="L4408" s="65"/>
    </row>
    <row r="4409" spans="11:12">
      <c r="K4409" s="65"/>
      <c r="L4409" s="65"/>
    </row>
    <row r="4410" spans="11:12">
      <c r="K4410" s="65"/>
      <c r="L4410" s="65"/>
    </row>
    <row r="4411" spans="11:12">
      <c r="K4411" s="65"/>
      <c r="L4411" s="65"/>
    </row>
    <row r="4412" spans="11:12">
      <c r="K4412" s="65"/>
      <c r="L4412" s="65"/>
    </row>
    <row r="4413" spans="11:12">
      <c r="K4413" s="65"/>
      <c r="L4413" s="65"/>
    </row>
    <row r="4414" spans="11:12">
      <c r="K4414" s="65"/>
      <c r="L4414" s="65"/>
    </row>
    <row r="4415" spans="11:12">
      <c r="K4415" s="65"/>
      <c r="L4415" s="65"/>
    </row>
    <row r="4416" spans="11:12">
      <c r="K4416" s="65"/>
      <c r="L4416" s="65"/>
    </row>
    <row r="4417" spans="11:12">
      <c r="K4417" s="65"/>
      <c r="L4417" s="65"/>
    </row>
    <row r="4418" spans="11:12">
      <c r="K4418" s="65"/>
      <c r="L4418" s="65"/>
    </row>
    <row r="4419" spans="11:12">
      <c r="K4419" s="65"/>
      <c r="L4419" s="65"/>
    </row>
    <row r="4420" spans="11:12">
      <c r="K4420" s="65"/>
      <c r="L4420" s="65"/>
    </row>
    <row r="4421" spans="11:12">
      <c r="K4421" s="65"/>
      <c r="L4421" s="65"/>
    </row>
    <row r="4422" spans="11:12">
      <c r="K4422" s="65"/>
      <c r="L4422" s="65"/>
    </row>
    <row r="4423" spans="11:12">
      <c r="K4423" s="65"/>
      <c r="L4423" s="65"/>
    </row>
    <row r="4424" spans="11:12">
      <c r="K4424" s="65"/>
      <c r="L4424" s="65"/>
    </row>
    <row r="4425" spans="11:12">
      <c r="K4425" s="65"/>
      <c r="L4425" s="65"/>
    </row>
    <row r="4426" spans="11:12">
      <c r="K4426" s="65"/>
      <c r="L4426" s="65"/>
    </row>
    <row r="4427" spans="11:12">
      <c r="K4427" s="65"/>
      <c r="L4427" s="65"/>
    </row>
    <row r="4428" spans="11:12">
      <c r="K4428" s="65"/>
      <c r="L4428" s="65"/>
    </row>
    <row r="4429" spans="11:12">
      <c r="K4429" s="65"/>
      <c r="L4429" s="65"/>
    </row>
    <row r="4430" spans="11:12">
      <c r="K4430" s="65"/>
      <c r="L4430" s="65"/>
    </row>
    <row r="4431" spans="11:12">
      <c r="K4431" s="65"/>
      <c r="L4431" s="65"/>
    </row>
    <row r="4432" spans="11:12">
      <c r="K4432" s="65"/>
      <c r="L4432" s="65"/>
    </row>
    <row r="4433" spans="11:12">
      <c r="K4433" s="65"/>
      <c r="L4433" s="65"/>
    </row>
    <row r="4434" spans="11:12">
      <c r="K4434" s="65"/>
      <c r="L4434" s="65"/>
    </row>
    <row r="4435" spans="11:12">
      <c r="K4435" s="65"/>
      <c r="L4435" s="65"/>
    </row>
    <row r="4436" spans="11:12">
      <c r="K4436" s="65"/>
      <c r="L4436" s="65"/>
    </row>
    <row r="4437" spans="11:12">
      <c r="K4437" s="65"/>
      <c r="L4437" s="65"/>
    </row>
    <row r="4438" spans="11:12">
      <c r="K4438" s="65"/>
      <c r="L4438" s="65"/>
    </row>
    <row r="4439" spans="11:12">
      <c r="K4439" s="65"/>
      <c r="L4439" s="65"/>
    </row>
    <row r="4440" spans="11:12">
      <c r="K4440" s="65"/>
      <c r="L4440" s="65"/>
    </row>
    <row r="4441" spans="11:12">
      <c r="K4441" s="65"/>
      <c r="L4441" s="65"/>
    </row>
    <row r="4442" spans="11:12">
      <c r="K4442" s="65"/>
      <c r="L4442" s="65"/>
    </row>
    <row r="4443" spans="11:12">
      <c r="K4443" s="65"/>
      <c r="L4443" s="65"/>
    </row>
    <row r="4444" spans="11:12">
      <c r="K4444" s="65"/>
      <c r="L4444" s="65"/>
    </row>
    <row r="4445" spans="11:12">
      <c r="K4445" s="65"/>
      <c r="L4445" s="65"/>
    </row>
    <row r="4446" spans="11:12">
      <c r="K4446" s="65"/>
      <c r="L4446" s="65"/>
    </row>
    <row r="4447" spans="11:12">
      <c r="K4447" s="65"/>
      <c r="L4447" s="65"/>
    </row>
    <row r="4448" spans="11:12">
      <c r="K4448" s="65"/>
      <c r="L4448" s="65"/>
    </row>
    <row r="4449" spans="11:12">
      <c r="K4449" s="65"/>
      <c r="L4449" s="65"/>
    </row>
    <row r="4450" spans="11:12">
      <c r="K4450" s="65"/>
      <c r="L4450" s="65"/>
    </row>
    <row r="4451" spans="11:12">
      <c r="K4451" s="65"/>
      <c r="L4451" s="65"/>
    </row>
    <row r="4452" spans="11:12">
      <c r="K4452" s="65"/>
      <c r="L4452" s="65"/>
    </row>
    <row r="4453" spans="11:12">
      <c r="K4453" s="65"/>
      <c r="L4453" s="65"/>
    </row>
    <row r="4454" spans="11:12">
      <c r="K4454" s="65"/>
      <c r="L4454" s="65"/>
    </row>
    <row r="4455" spans="11:12">
      <c r="K4455" s="65"/>
      <c r="L4455" s="65"/>
    </row>
    <row r="4456" spans="11:12">
      <c r="K4456" s="65"/>
      <c r="L4456" s="65"/>
    </row>
    <row r="4457" spans="11:12">
      <c r="K4457" s="65"/>
      <c r="L4457" s="65"/>
    </row>
    <row r="4458" spans="11:12">
      <c r="K4458" s="65"/>
      <c r="L4458" s="65"/>
    </row>
    <row r="4459" spans="11:12">
      <c r="K4459" s="65"/>
      <c r="L4459" s="65"/>
    </row>
    <row r="4460" spans="11:12">
      <c r="K4460" s="65"/>
      <c r="L4460" s="65"/>
    </row>
    <row r="4461" spans="11:12">
      <c r="K4461" s="65"/>
      <c r="L4461" s="65"/>
    </row>
    <row r="4462" spans="11:12">
      <c r="K4462" s="65"/>
      <c r="L4462" s="65"/>
    </row>
    <row r="4463" spans="11:12">
      <c r="K4463" s="65"/>
      <c r="L4463" s="65"/>
    </row>
    <row r="4464" spans="11:12">
      <c r="K4464" s="65"/>
      <c r="L4464" s="65"/>
    </row>
    <row r="4465" spans="11:12">
      <c r="K4465" s="65"/>
      <c r="L4465" s="65"/>
    </row>
    <row r="4466" spans="11:12">
      <c r="K4466" s="65"/>
      <c r="L4466" s="65"/>
    </row>
    <row r="4467" spans="11:12">
      <c r="K4467" s="65"/>
      <c r="L4467" s="65"/>
    </row>
    <row r="4468" spans="11:12">
      <c r="K4468" s="65"/>
      <c r="L4468" s="65"/>
    </row>
    <row r="4469" spans="11:12">
      <c r="K4469" s="65"/>
      <c r="L4469" s="65"/>
    </row>
    <row r="4470" spans="11:12">
      <c r="K4470" s="65"/>
      <c r="L4470" s="65"/>
    </row>
    <row r="4471" spans="11:12">
      <c r="K4471" s="65"/>
      <c r="L4471" s="65"/>
    </row>
    <row r="4472" spans="11:12">
      <c r="K4472" s="65"/>
      <c r="L4472" s="65"/>
    </row>
    <row r="4473" spans="11:12">
      <c r="K4473" s="65"/>
      <c r="L4473" s="65"/>
    </row>
    <row r="4474" spans="11:12">
      <c r="K4474" s="65"/>
      <c r="L4474" s="65"/>
    </row>
    <row r="4475" spans="11:12">
      <c r="K4475" s="65"/>
      <c r="L4475" s="65"/>
    </row>
    <row r="4476" spans="11:12">
      <c r="K4476" s="65"/>
      <c r="L4476" s="65"/>
    </row>
    <row r="4477" spans="11:12">
      <c r="K4477" s="65"/>
      <c r="L4477" s="65"/>
    </row>
    <row r="4478" spans="11:12">
      <c r="K4478" s="65"/>
      <c r="L4478" s="65"/>
    </row>
    <row r="4479" spans="11:12">
      <c r="K4479" s="65"/>
      <c r="L4479" s="65"/>
    </row>
    <row r="4480" spans="11:12">
      <c r="K4480" s="65"/>
      <c r="L4480" s="65"/>
    </row>
    <row r="4481" spans="11:12">
      <c r="K4481" s="65"/>
      <c r="L4481" s="65"/>
    </row>
    <row r="4482" spans="11:12">
      <c r="K4482" s="65"/>
      <c r="L4482" s="65"/>
    </row>
    <row r="4483" spans="11:12">
      <c r="K4483" s="65"/>
      <c r="L4483" s="65"/>
    </row>
    <row r="4484" spans="11:12">
      <c r="K4484" s="65"/>
      <c r="L4484" s="65"/>
    </row>
    <row r="4485" spans="11:12">
      <c r="K4485" s="65"/>
      <c r="L4485" s="65"/>
    </row>
    <row r="4486" spans="11:12">
      <c r="K4486" s="65"/>
      <c r="L4486" s="65"/>
    </row>
    <row r="4487" spans="11:12">
      <c r="K4487" s="65"/>
      <c r="L4487" s="65"/>
    </row>
    <row r="4488" spans="11:12">
      <c r="K4488" s="65"/>
      <c r="L4488" s="65"/>
    </row>
    <row r="4489" spans="11:12">
      <c r="K4489" s="65"/>
      <c r="L4489" s="65"/>
    </row>
    <row r="4490" spans="11:12">
      <c r="K4490" s="65"/>
      <c r="L4490" s="65"/>
    </row>
    <row r="4491" spans="11:12">
      <c r="K4491" s="65"/>
      <c r="L4491" s="65"/>
    </row>
    <row r="4492" spans="11:12">
      <c r="K4492" s="65"/>
      <c r="L4492" s="65"/>
    </row>
    <row r="4493" spans="11:12">
      <c r="K4493" s="65"/>
      <c r="L4493" s="65"/>
    </row>
    <row r="4494" spans="11:12">
      <c r="K4494" s="65"/>
      <c r="L4494" s="65"/>
    </row>
    <row r="4495" spans="11:12">
      <c r="K4495" s="65"/>
      <c r="L4495" s="65"/>
    </row>
    <row r="4496" spans="11:12">
      <c r="K4496" s="65"/>
      <c r="L4496" s="65"/>
    </row>
    <row r="4497" spans="11:12">
      <c r="K4497" s="65"/>
      <c r="L4497" s="65"/>
    </row>
    <row r="4498" spans="11:12">
      <c r="K4498" s="65"/>
      <c r="L4498" s="65"/>
    </row>
    <row r="4499" spans="11:12">
      <c r="K4499" s="65"/>
      <c r="L4499" s="65"/>
    </row>
    <row r="4500" spans="11:12">
      <c r="K4500" s="65"/>
      <c r="L4500" s="65"/>
    </row>
    <row r="4501" spans="11:12">
      <c r="K4501" s="65"/>
      <c r="L4501" s="65"/>
    </row>
    <row r="4502" spans="11:12">
      <c r="K4502" s="65"/>
      <c r="L4502" s="65"/>
    </row>
    <row r="4503" spans="11:12">
      <c r="K4503" s="65"/>
      <c r="L4503" s="65"/>
    </row>
    <row r="4504" spans="11:12">
      <c r="K4504" s="65"/>
      <c r="L4504" s="65"/>
    </row>
    <row r="4505" spans="11:12">
      <c r="K4505" s="65"/>
      <c r="L4505" s="65"/>
    </row>
    <row r="4506" spans="11:12">
      <c r="K4506" s="65"/>
      <c r="L4506" s="65"/>
    </row>
    <row r="4507" spans="11:12">
      <c r="K4507" s="65"/>
      <c r="L4507" s="65"/>
    </row>
    <row r="4508" spans="11:12">
      <c r="K4508" s="65"/>
      <c r="L4508" s="65"/>
    </row>
    <row r="4509" spans="11:12">
      <c r="K4509" s="65"/>
      <c r="L4509" s="65"/>
    </row>
    <row r="4510" spans="11:12">
      <c r="K4510" s="65"/>
      <c r="L4510" s="65"/>
    </row>
    <row r="4511" spans="11:12">
      <c r="K4511" s="65"/>
      <c r="L4511" s="65"/>
    </row>
    <row r="4512" spans="11:12">
      <c r="K4512" s="65"/>
      <c r="L4512" s="65"/>
    </row>
    <row r="4513" spans="11:12">
      <c r="K4513" s="65"/>
      <c r="L4513" s="65"/>
    </row>
    <row r="4514" spans="11:12">
      <c r="K4514" s="65"/>
      <c r="L4514" s="65"/>
    </row>
    <row r="4515" spans="11:12">
      <c r="K4515" s="65"/>
      <c r="L4515" s="65"/>
    </row>
    <row r="4516" spans="11:12">
      <c r="K4516" s="65"/>
      <c r="L4516" s="65"/>
    </row>
    <row r="4517" spans="11:12">
      <c r="K4517" s="65"/>
      <c r="L4517" s="65"/>
    </row>
    <row r="4518" spans="11:12">
      <c r="K4518" s="65"/>
      <c r="L4518" s="65"/>
    </row>
    <row r="4519" spans="11:12">
      <c r="K4519" s="65"/>
      <c r="L4519" s="65"/>
    </row>
    <row r="4520" spans="11:12">
      <c r="K4520" s="65"/>
      <c r="L4520" s="65"/>
    </row>
    <row r="4521" spans="11:12">
      <c r="K4521" s="65"/>
      <c r="L4521" s="65"/>
    </row>
    <row r="4522" spans="11:12">
      <c r="K4522" s="65"/>
      <c r="L4522" s="65"/>
    </row>
    <row r="4523" spans="11:12">
      <c r="K4523" s="65"/>
      <c r="L4523" s="65"/>
    </row>
    <row r="4524" spans="11:12">
      <c r="K4524" s="65"/>
      <c r="L4524" s="65"/>
    </row>
    <row r="4525" spans="11:12">
      <c r="K4525" s="65"/>
      <c r="L4525" s="65"/>
    </row>
    <row r="4526" spans="11:12">
      <c r="K4526" s="65"/>
      <c r="L4526" s="65"/>
    </row>
    <row r="4527" spans="11:12">
      <c r="K4527" s="65"/>
      <c r="L4527" s="65"/>
    </row>
    <row r="4528" spans="11:12">
      <c r="K4528" s="65"/>
      <c r="L4528" s="65"/>
    </row>
    <row r="4529" spans="11:12">
      <c r="K4529" s="65"/>
      <c r="L4529" s="65"/>
    </row>
    <row r="4530" spans="11:12">
      <c r="K4530" s="65"/>
      <c r="L4530" s="65"/>
    </row>
    <row r="4531" spans="11:12">
      <c r="K4531" s="65"/>
      <c r="L4531" s="65"/>
    </row>
    <row r="4532" spans="11:12">
      <c r="K4532" s="65"/>
      <c r="L4532" s="65"/>
    </row>
    <row r="4533" spans="11:12">
      <c r="K4533" s="65"/>
      <c r="L4533" s="65"/>
    </row>
    <row r="4534" spans="11:12">
      <c r="K4534" s="65"/>
      <c r="L4534" s="65"/>
    </row>
    <row r="4535" spans="11:12">
      <c r="K4535" s="65"/>
      <c r="L4535" s="65"/>
    </row>
    <row r="4536" spans="11:12">
      <c r="K4536" s="65"/>
      <c r="L4536" s="65"/>
    </row>
    <row r="4537" spans="11:12">
      <c r="K4537" s="65"/>
      <c r="L4537" s="65"/>
    </row>
    <row r="4538" spans="11:12">
      <c r="K4538" s="65"/>
      <c r="L4538" s="65"/>
    </row>
    <row r="4539" spans="11:12">
      <c r="K4539" s="65"/>
      <c r="L4539" s="65"/>
    </row>
    <row r="4540" spans="11:12">
      <c r="K4540" s="65"/>
      <c r="L4540" s="65"/>
    </row>
    <row r="4541" spans="11:12">
      <c r="K4541" s="65"/>
      <c r="L4541" s="65"/>
    </row>
    <row r="4542" spans="11:12">
      <c r="K4542" s="65"/>
      <c r="L4542" s="65"/>
    </row>
    <row r="4543" spans="11:12">
      <c r="K4543" s="65"/>
      <c r="L4543" s="65"/>
    </row>
    <row r="4544" spans="11:12">
      <c r="K4544" s="65"/>
      <c r="L4544" s="65"/>
    </row>
    <row r="4545" spans="11:12">
      <c r="K4545" s="65"/>
      <c r="L4545" s="65"/>
    </row>
    <row r="4546" spans="11:12">
      <c r="K4546" s="65"/>
      <c r="L4546" s="65"/>
    </row>
    <row r="4547" spans="11:12">
      <c r="K4547" s="65"/>
      <c r="L4547" s="65"/>
    </row>
    <row r="4548" spans="11:12">
      <c r="K4548" s="65"/>
      <c r="L4548" s="65"/>
    </row>
    <row r="4549" spans="11:12">
      <c r="K4549" s="65"/>
      <c r="L4549" s="65"/>
    </row>
    <row r="4550" spans="11:12">
      <c r="K4550" s="65"/>
      <c r="L4550" s="65"/>
    </row>
    <row r="4551" spans="11:12">
      <c r="K4551" s="65"/>
      <c r="L4551" s="65"/>
    </row>
    <row r="4552" spans="11:12">
      <c r="K4552" s="65"/>
      <c r="L4552" s="65"/>
    </row>
    <row r="4553" spans="11:12">
      <c r="K4553" s="65"/>
      <c r="L4553" s="65"/>
    </row>
    <row r="4554" spans="11:12">
      <c r="K4554" s="65"/>
      <c r="L4554" s="65"/>
    </row>
    <row r="4555" spans="11:12">
      <c r="K4555" s="65"/>
      <c r="L4555" s="65"/>
    </row>
    <row r="4556" spans="11:12">
      <c r="K4556" s="65"/>
      <c r="L4556" s="65"/>
    </row>
    <row r="4557" spans="11:12">
      <c r="K4557" s="65"/>
      <c r="L4557" s="65"/>
    </row>
    <row r="4558" spans="11:12">
      <c r="K4558" s="65"/>
      <c r="L4558" s="65"/>
    </row>
    <row r="4559" spans="11:12">
      <c r="K4559" s="65"/>
      <c r="L4559" s="65"/>
    </row>
    <row r="4560" spans="11:12">
      <c r="K4560" s="65"/>
      <c r="L4560" s="65"/>
    </row>
    <row r="4561" spans="11:12">
      <c r="K4561" s="65"/>
      <c r="L4561" s="65"/>
    </row>
    <row r="4562" spans="11:12">
      <c r="K4562" s="65"/>
      <c r="L4562" s="65"/>
    </row>
    <row r="4563" spans="11:12">
      <c r="K4563" s="65"/>
      <c r="L4563" s="65"/>
    </row>
    <row r="4564" spans="11:12">
      <c r="K4564" s="65"/>
      <c r="L4564" s="65"/>
    </row>
    <row r="4565" spans="11:12">
      <c r="K4565" s="65"/>
      <c r="L4565" s="65"/>
    </row>
    <row r="4566" spans="11:12">
      <c r="K4566" s="65"/>
      <c r="L4566" s="65"/>
    </row>
    <row r="4567" spans="11:12">
      <c r="K4567" s="65"/>
      <c r="L4567" s="65"/>
    </row>
    <row r="4568" spans="11:12">
      <c r="K4568" s="65"/>
      <c r="L4568" s="65"/>
    </row>
    <row r="4569" spans="11:12">
      <c r="K4569" s="65"/>
      <c r="L4569" s="65"/>
    </row>
    <row r="4570" spans="11:12">
      <c r="K4570" s="65"/>
      <c r="L4570" s="65"/>
    </row>
    <row r="4571" spans="11:12">
      <c r="K4571" s="65"/>
      <c r="L4571" s="65"/>
    </row>
    <row r="4572" spans="11:12">
      <c r="K4572" s="65"/>
      <c r="L4572" s="65"/>
    </row>
    <row r="4573" spans="11:12">
      <c r="K4573" s="65"/>
      <c r="L4573" s="65"/>
    </row>
    <row r="4574" spans="11:12">
      <c r="K4574" s="65"/>
      <c r="L4574" s="65"/>
    </row>
    <row r="4575" spans="11:12">
      <c r="K4575" s="65"/>
      <c r="L4575" s="65"/>
    </row>
    <row r="4576" spans="11:12">
      <c r="K4576" s="65"/>
      <c r="L4576" s="65"/>
    </row>
    <row r="4577" spans="11:12">
      <c r="K4577" s="65"/>
      <c r="L4577" s="65"/>
    </row>
    <row r="4578" spans="11:12">
      <c r="K4578" s="65"/>
      <c r="L4578" s="65"/>
    </row>
    <row r="4579" spans="11:12">
      <c r="K4579" s="65"/>
      <c r="L4579" s="65"/>
    </row>
    <row r="4580" spans="11:12">
      <c r="K4580" s="65"/>
      <c r="L4580" s="65"/>
    </row>
    <row r="4581" spans="11:12">
      <c r="K4581" s="65"/>
      <c r="L4581" s="65"/>
    </row>
    <row r="4582" spans="11:12">
      <c r="K4582" s="65"/>
      <c r="L4582" s="65"/>
    </row>
    <row r="4583" spans="11:12">
      <c r="K4583" s="65"/>
      <c r="L4583" s="65"/>
    </row>
    <row r="4584" spans="11:12">
      <c r="K4584" s="65"/>
      <c r="L4584" s="65"/>
    </row>
    <row r="4585" spans="11:12">
      <c r="K4585" s="65"/>
      <c r="L4585" s="65"/>
    </row>
    <row r="4586" spans="11:12">
      <c r="K4586" s="65"/>
      <c r="L4586" s="65"/>
    </row>
    <row r="4587" spans="11:12">
      <c r="K4587" s="65"/>
      <c r="L4587" s="65"/>
    </row>
    <row r="4588" spans="11:12">
      <c r="K4588" s="65"/>
      <c r="L4588" s="65"/>
    </row>
    <row r="4589" spans="11:12">
      <c r="K4589" s="65"/>
      <c r="L4589" s="65"/>
    </row>
    <row r="4590" spans="11:12">
      <c r="K4590" s="65"/>
      <c r="L4590" s="65"/>
    </row>
    <row r="4591" spans="11:12">
      <c r="K4591" s="65"/>
      <c r="L4591" s="65"/>
    </row>
    <row r="4592" spans="11:12">
      <c r="K4592" s="65"/>
      <c r="L4592" s="65"/>
    </row>
    <row r="4593" spans="11:12">
      <c r="K4593" s="65"/>
      <c r="L4593" s="65"/>
    </row>
    <row r="4594" spans="11:12">
      <c r="K4594" s="65"/>
      <c r="L4594" s="65"/>
    </row>
    <row r="4595" spans="11:12">
      <c r="K4595" s="65"/>
      <c r="L4595" s="65"/>
    </row>
    <row r="4596" spans="11:12">
      <c r="K4596" s="65"/>
      <c r="L4596" s="65"/>
    </row>
    <row r="4597" spans="11:12">
      <c r="K4597" s="65"/>
      <c r="L4597" s="65"/>
    </row>
    <row r="4598" spans="11:12">
      <c r="K4598" s="65"/>
      <c r="L4598" s="65"/>
    </row>
    <row r="4599" spans="11:12">
      <c r="K4599" s="65"/>
      <c r="L4599" s="65"/>
    </row>
    <row r="4600" spans="11:12">
      <c r="K4600" s="65"/>
      <c r="L4600" s="65"/>
    </row>
    <row r="4601" spans="11:12">
      <c r="K4601" s="65"/>
      <c r="L4601" s="65"/>
    </row>
    <row r="4602" spans="11:12">
      <c r="K4602" s="65"/>
      <c r="L4602" s="65"/>
    </row>
    <row r="4603" spans="11:12">
      <c r="K4603" s="65"/>
      <c r="L4603" s="65"/>
    </row>
    <row r="4604" spans="11:12">
      <c r="K4604" s="65"/>
      <c r="L4604" s="65"/>
    </row>
    <row r="4605" spans="11:12">
      <c r="K4605" s="65"/>
      <c r="L4605" s="65"/>
    </row>
    <row r="4606" spans="11:12">
      <c r="K4606" s="65"/>
      <c r="L4606" s="65"/>
    </row>
    <row r="4607" spans="11:12">
      <c r="K4607" s="65"/>
      <c r="L4607" s="65"/>
    </row>
    <row r="4608" spans="11:12">
      <c r="K4608" s="65"/>
      <c r="L4608" s="65"/>
    </row>
    <row r="4609" spans="11:12">
      <c r="K4609" s="65"/>
      <c r="L4609" s="65"/>
    </row>
    <row r="4610" spans="11:12">
      <c r="K4610" s="65"/>
      <c r="L4610" s="65"/>
    </row>
    <row r="4611" spans="11:12">
      <c r="K4611" s="65"/>
      <c r="L4611" s="65"/>
    </row>
    <row r="4612" spans="11:12">
      <c r="K4612" s="65"/>
      <c r="L4612" s="65"/>
    </row>
    <row r="4613" spans="11:12">
      <c r="K4613" s="65"/>
      <c r="L4613" s="65"/>
    </row>
    <row r="4614" spans="11:12">
      <c r="K4614" s="65"/>
      <c r="L4614" s="65"/>
    </row>
    <row r="4615" spans="11:12">
      <c r="K4615" s="65"/>
      <c r="L4615" s="65"/>
    </row>
    <row r="4616" spans="11:12">
      <c r="K4616" s="65"/>
      <c r="L4616" s="65"/>
    </row>
    <row r="4617" spans="11:12">
      <c r="K4617" s="65"/>
      <c r="L4617" s="65"/>
    </row>
    <row r="4618" spans="11:12">
      <c r="K4618" s="65"/>
      <c r="L4618" s="65"/>
    </row>
    <row r="4619" spans="11:12">
      <c r="K4619" s="65"/>
      <c r="L4619" s="65"/>
    </row>
    <row r="4620" spans="11:12">
      <c r="K4620" s="65"/>
      <c r="L4620" s="65"/>
    </row>
    <row r="4621" spans="11:12">
      <c r="K4621" s="65"/>
      <c r="L4621" s="65"/>
    </row>
    <row r="4622" spans="11:12">
      <c r="K4622" s="65"/>
      <c r="L4622" s="65"/>
    </row>
    <row r="4623" spans="11:12">
      <c r="K4623" s="65"/>
      <c r="L4623" s="65"/>
    </row>
    <row r="4624" spans="11:12">
      <c r="K4624" s="65"/>
      <c r="L4624" s="65"/>
    </row>
    <row r="4625" spans="11:12">
      <c r="K4625" s="65"/>
      <c r="L4625" s="65"/>
    </row>
    <row r="4626" spans="11:12">
      <c r="K4626" s="65"/>
      <c r="L4626" s="65"/>
    </row>
    <row r="4627" spans="11:12">
      <c r="K4627" s="65"/>
      <c r="L4627" s="65"/>
    </row>
    <row r="4628" spans="11:12">
      <c r="K4628" s="65"/>
      <c r="L4628" s="65"/>
    </row>
    <row r="4629" spans="11:12">
      <c r="K4629" s="65"/>
      <c r="L4629" s="65"/>
    </row>
    <row r="4630" spans="11:12">
      <c r="K4630" s="65"/>
      <c r="L4630" s="65"/>
    </row>
    <row r="4631" spans="11:12">
      <c r="K4631" s="65"/>
      <c r="L4631" s="65"/>
    </row>
    <row r="4632" spans="11:12">
      <c r="K4632" s="65"/>
      <c r="L4632" s="65"/>
    </row>
    <row r="4633" spans="11:12">
      <c r="K4633" s="65"/>
      <c r="L4633" s="65"/>
    </row>
    <row r="4634" spans="11:12">
      <c r="K4634" s="65"/>
      <c r="L4634" s="65"/>
    </row>
    <row r="4635" spans="11:12">
      <c r="K4635" s="65"/>
      <c r="L4635" s="65"/>
    </row>
    <row r="4636" spans="11:12">
      <c r="K4636" s="65"/>
      <c r="L4636" s="65"/>
    </row>
    <row r="4637" spans="11:12">
      <c r="K4637" s="65"/>
      <c r="L4637" s="65"/>
    </row>
    <row r="4638" spans="11:12">
      <c r="K4638" s="65"/>
      <c r="L4638" s="65"/>
    </row>
    <row r="4639" spans="11:12">
      <c r="K4639" s="65"/>
      <c r="L4639" s="65"/>
    </row>
    <row r="4640" spans="11:12">
      <c r="K4640" s="65"/>
      <c r="L4640" s="65"/>
    </row>
    <row r="4641" spans="11:12">
      <c r="K4641" s="65"/>
      <c r="L4641" s="65"/>
    </row>
    <row r="4642" spans="11:12">
      <c r="K4642" s="65"/>
      <c r="L4642" s="65"/>
    </row>
    <row r="4643" spans="11:12">
      <c r="K4643" s="65"/>
      <c r="L4643" s="65"/>
    </row>
    <row r="4644" spans="11:12">
      <c r="K4644" s="65"/>
      <c r="L4644" s="65"/>
    </row>
    <row r="4645" spans="11:12">
      <c r="K4645" s="65"/>
      <c r="L4645" s="65"/>
    </row>
    <row r="4646" spans="11:12">
      <c r="K4646" s="65"/>
      <c r="L4646" s="65"/>
    </row>
    <row r="4647" spans="11:12">
      <c r="K4647" s="65"/>
      <c r="L4647" s="65"/>
    </row>
    <row r="4648" spans="11:12">
      <c r="K4648" s="65"/>
      <c r="L4648" s="65"/>
    </row>
    <row r="4649" spans="11:12">
      <c r="K4649" s="65"/>
      <c r="L4649" s="65"/>
    </row>
    <row r="4650" spans="11:12">
      <c r="K4650" s="65"/>
      <c r="L4650" s="65"/>
    </row>
    <row r="4651" spans="11:12">
      <c r="K4651" s="65"/>
      <c r="L4651" s="65"/>
    </row>
    <row r="4652" spans="11:12">
      <c r="K4652" s="65"/>
      <c r="L4652" s="65"/>
    </row>
    <row r="4653" spans="11:12">
      <c r="K4653" s="65"/>
      <c r="L4653" s="65"/>
    </row>
    <row r="4654" spans="11:12">
      <c r="K4654" s="65"/>
      <c r="L4654" s="65"/>
    </row>
    <row r="4655" spans="11:12">
      <c r="K4655" s="65"/>
      <c r="L4655" s="65"/>
    </row>
    <row r="4656" spans="11:12">
      <c r="K4656" s="65"/>
      <c r="L4656" s="65"/>
    </row>
    <row r="4657" spans="11:12">
      <c r="K4657" s="65"/>
      <c r="L4657" s="65"/>
    </row>
    <row r="4658" spans="11:12">
      <c r="K4658" s="65"/>
      <c r="L4658" s="65"/>
    </row>
    <row r="4659" spans="11:12">
      <c r="K4659" s="65"/>
      <c r="L4659" s="65"/>
    </row>
    <row r="4660" spans="11:12">
      <c r="K4660" s="65"/>
      <c r="L4660" s="65"/>
    </row>
    <row r="4661" spans="11:12">
      <c r="K4661" s="65"/>
      <c r="L4661" s="65"/>
    </row>
    <row r="4662" spans="11:12">
      <c r="K4662" s="65"/>
      <c r="L4662" s="65"/>
    </row>
    <row r="4663" spans="11:12">
      <c r="K4663" s="65"/>
      <c r="L4663" s="65"/>
    </row>
    <row r="4664" spans="11:12">
      <c r="K4664" s="65"/>
      <c r="L4664" s="65"/>
    </row>
    <row r="4665" spans="11:12">
      <c r="K4665" s="65"/>
      <c r="L4665" s="65"/>
    </row>
    <row r="4666" spans="11:12">
      <c r="K4666" s="65"/>
      <c r="L4666" s="65"/>
    </row>
    <row r="4667" spans="11:12">
      <c r="K4667" s="65"/>
      <c r="L4667" s="65"/>
    </row>
    <row r="4668" spans="11:12">
      <c r="K4668" s="65"/>
      <c r="L4668" s="65"/>
    </row>
    <row r="4669" spans="11:12">
      <c r="K4669" s="65"/>
      <c r="L4669" s="65"/>
    </row>
    <row r="4670" spans="11:12">
      <c r="K4670" s="65"/>
      <c r="L4670" s="65"/>
    </row>
    <row r="4671" spans="11:12">
      <c r="K4671" s="65"/>
      <c r="L4671" s="65"/>
    </row>
    <row r="4672" spans="11:12">
      <c r="K4672" s="65"/>
      <c r="L4672" s="65"/>
    </row>
    <row r="4673" spans="11:12">
      <c r="K4673" s="65"/>
      <c r="L4673" s="65"/>
    </row>
    <row r="4674" spans="11:12">
      <c r="K4674" s="65"/>
      <c r="L4674" s="65"/>
    </row>
    <row r="4675" spans="11:12">
      <c r="K4675" s="65"/>
      <c r="L4675" s="65"/>
    </row>
    <row r="4676" spans="11:12">
      <c r="K4676" s="65"/>
      <c r="L4676" s="65"/>
    </row>
    <row r="4677" spans="11:12">
      <c r="K4677" s="65"/>
      <c r="L4677" s="65"/>
    </row>
    <row r="4678" spans="11:12">
      <c r="K4678" s="65"/>
      <c r="L4678" s="65"/>
    </row>
    <row r="4679" spans="11:12">
      <c r="K4679" s="65"/>
      <c r="L4679" s="65"/>
    </row>
    <row r="4680" spans="11:12">
      <c r="K4680" s="65"/>
      <c r="L4680" s="65"/>
    </row>
    <row r="4681" spans="11:12">
      <c r="K4681" s="65"/>
      <c r="L4681" s="65"/>
    </row>
    <row r="4682" spans="11:12">
      <c r="K4682" s="65"/>
      <c r="L4682" s="65"/>
    </row>
    <row r="4683" spans="11:12">
      <c r="K4683" s="65"/>
      <c r="L4683" s="65"/>
    </row>
    <row r="4684" spans="11:12">
      <c r="K4684" s="65"/>
      <c r="L4684" s="65"/>
    </row>
    <row r="4685" spans="11:12">
      <c r="K4685" s="65"/>
      <c r="L4685" s="65"/>
    </row>
    <row r="4686" spans="11:12">
      <c r="K4686" s="65"/>
      <c r="L4686" s="65"/>
    </row>
    <row r="4687" spans="11:12">
      <c r="K4687" s="65"/>
      <c r="L4687" s="65"/>
    </row>
    <row r="4688" spans="11:12">
      <c r="K4688" s="65"/>
      <c r="L4688" s="65"/>
    </row>
    <row r="4689" spans="11:12">
      <c r="K4689" s="65"/>
      <c r="L4689" s="65"/>
    </row>
    <row r="4690" spans="11:12">
      <c r="K4690" s="65"/>
      <c r="L4690" s="65"/>
    </row>
    <row r="4691" spans="11:12">
      <c r="K4691" s="65"/>
      <c r="L4691" s="65"/>
    </row>
    <row r="4692" spans="11:12">
      <c r="K4692" s="65"/>
      <c r="L4692" s="65"/>
    </row>
    <row r="4693" spans="11:12">
      <c r="K4693" s="65"/>
      <c r="L4693" s="65"/>
    </row>
    <row r="4694" spans="11:12">
      <c r="K4694" s="65"/>
      <c r="L4694" s="65"/>
    </row>
    <row r="4695" spans="11:12">
      <c r="K4695" s="65"/>
      <c r="L4695" s="65"/>
    </row>
    <row r="4696" spans="11:12">
      <c r="K4696" s="65"/>
      <c r="L4696" s="65"/>
    </row>
    <row r="4697" spans="11:12">
      <c r="K4697" s="65"/>
      <c r="L4697" s="65"/>
    </row>
    <row r="4698" spans="11:12">
      <c r="K4698" s="65"/>
      <c r="L4698" s="65"/>
    </row>
    <row r="4699" spans="11:12">
      <c r="K4699" s="65"/>
      <c r="L4699" s="65"/>
    </row>
    <row r="4700" spans="11:12">
      <c r="K4700" s="65"/>
      <c r="L4700" s="65"/>
    </row>
    <row r="4701" spans="11:12">
      <c r="K4701" s="65"/>
      <c r="L4701" s="65"/>
    </row>
    <row r="4702" spans="11:12">
      <c r="K4702" s="65"/>
      <c r="L4702" s="65"/>
    </row>
    <row r="4703" spans="11:12">
      <c r="K4703" s="65"/>
      <c r="L4703" s="65"/>
    </row>
    <row r="4704" spans="11:12">
      <c r="K4704" s="65"/>
      <c r="L4704" s="65"/>
    </row>
    <row r="4705" spans="11:12">
      <c r="K4705" s="65"/>
      <c r="L4705" s="65"/>
    </row>
    <row r="4706" spans="11:12">
      <c r="K4706" s="65"/>
      <c r="L4706" s="65"/>
    </row>
    <row r="4707" spans="11:12">
      <c r="K4707" s="65"/>
      <c r="L4707" s="65"/>
    </row>
    <row r="4708" spans="11:12">
      <c r="K4708" s="65"/>
      <c r="L4708" s="65"/>
    </row>
    <row r="4709" spans="11:12">
      <c r="K4709" s="65"/>
      <c r="L4709" s="65"/>
    </row>
    <row r="4710" spans="11:12">
      <c r="K4710" s="65"/>
      <c r="L4710" s="65"/>
    </row>
    <row r="4711" spans="11:12">
      <c r="K4711" s="65"/>
      <c r="L4711" s="65"/>
    </row>
    <row r="4712" spans="11:12">
      <c r="K4712" s="65"/>
      <c r="L4712" s="65"/>
    </row>
    <row r="4713" spans="11:12">
      <c r="K4713" s="65"/>
      <c r="L4713" s="65"/>
    </row>
    <row r="4714" spans="11:12">
      <c r="K4714" s="65"/>
      <c r="L4714" s="65"/>
    </row>
    <row r="4715" spans="11:12">
      <c r="K4715" s="65"/>
      <c r="L4715" s="65"/>
    </row>
    <row r="4716" spans="11:12">
      <c r="K4716" s="65"/>
      <c r="L4716" s="65"/>
    </row>
    <row r="4717" spans="11:12">
      <c r="K4717" s="65"/>
      <c r="L4717" s="65"/>
    </row>
    <row r="4718" spans="11:12">
      <c r="K4718" s="65"/>
      <c r="L4718" s="65"/>
    </row>
    <row r="4719" spans="11:12">
      <c r="K4719" s="65"/>
      <c r="L4719" s="65"/>
    </row>
    <row r="4720" spans="11:12">
      <c r="K4720" s="65"/>
      <c r="L4720" s="65"/>
    </row>
    <row r="4721" spans="11:12">
      <c r="K4721" s="65"/>
      <c r="L4721" s="65"/>
    </row>
    <row r="4722" spans="11:12">
      <c r="K4722" s="65"/>
      <c r="L4722" s="65"/>
    </row>
    <row r="4723" spans="11:12">
      <c r="K4723" s="65"/>
      <c r="L4723" s="65"/>
    </row>
    <row r="4724" spans="11:12">
      <c r="K4724" s="65"/>
      <c r="L4724" s="65"/>
    </row>
    <row r="4725" spans="11:12">
      <c r="K4725" s="65"/>
      <c r="L4725" s="65"/>
    </row>
    <row r="4726" spans="11:12">
      <c r="K4726" s="65"/>
      <c r="L4726" s="65"/>
    </row>
    <row r="4727" spans="11:12">
      <c r="K4727" s="65"/>
      <c r="L4727" s="65"/>
    </row>
    <row r="4728" spans="11:12">
      <c r="K4728" s="65"/>
      <c r="L4728" s="65"/>
    </row>
    <row r="4729" spans="11:12">
      <c r="K4729" s="65"/>
      <c r="L4729" s="65"/>
    </row>
    <row r="4730" spans="11:12">
      <c r="K4730" s="65"/>
      <c r="L4730" s="65"/>
    </row>
    <row r="4731" spans="11:12">
      <c r="K4731" s="65"/>
      <c r="L4731" s="65"/>
    </row>
    <row r="4732" spans="11:12">
      <c r="K4732" s="65"/>
      <c r="L4732" s="65"/>
    </row>
    <row r="4733" spans="11:12">
      <c r="K4733" s="65"/>
      <c r="L4733" s="65"/>
    </row>
    <row r="4734" spans="11:12">
      <c r="K4734" s="65"/>
      <c r="L4734" s="65"/>
    </row>
    <row r="4735" spans="11:12">
      <c r="K4735" s="65"/>
      <c r="L4735" s="65"/>
    </row>
    <row r="4736" spans="11:12">
      <c r="K4736" s="65"/>
      <c r="L4736" s="65"/>
    </row>
    <row r="4737" spans="11:12">
      <c r="K4737" s="65"/>
      <c r="L4737" s="65"/>
    </row>
    <row r="4738" spans="11:12">
      <c r="K4738" s="65"/>
      <c r="L4738" s="65"/>
    </row>
    <row r="4739" spans="11:12">
      <c r="K4739" s="65"/>
      <c r="L4739" s="65"/>
    </row>
    <row r="4740" spans="11:12">
      <c r="K4740" s="65"/>
      <c r="L4740" s="65"/>
    </row>
    <row r="4741" spans="11:12">
      <c r="K4741" s="65"/>
      <c r="L4741" s="65"/>
    </row>
    <row r="4742" spans="11:12">
      <c r="K4742" s="65"/>
      <c r="L4742" s="65"/>
    </row>
    <row r="4743" spans="11:12">
      <c r="K4743" s="65"/>
      <c r="L4743" s="65"/>
    </row>
    <row r="4744" spans="11:12">
      <c r="K4744" s="65"/>
      <c r="L4744" s="65"/>
    </row>
    <row r="4745" spans="11:12">
      <c r="K4745" s="65"/>
      <c r="L4745" s="65"/>
    </row>
    <row r="4746" spans="11:12">
      <c r="K4746" s="65"/>
      <c r="L4746" s="65"/>
    </row>
    <row r="4747" spans="11:12">
      <c r="K4747" s="65"/>
      <c r="L4747" s="65"/>
    </row>
    <row r="4748" spans="11:12">
      <c r="K4748" s="65"/>
      <c r="L4748" s="65"/>
    </row>
    <row r="4749" spans="11:12">
      <c r="K4749" s="65"/>
      <c r="L4749" s="65"/>
    </row>
    <row r="4750" spans="11:12">
      <c r="K4750" s="65"/>
      <c r="L4750" s="65"/>
    </row>
    <row r="4751" spans="11:12">
      <c r="K4751" s="65"/>
      <c r="L4751" s="65"/>
    </row>
    <row r="4752" spans="11:12">
      <c r="K4752" s="65"/>
      <c r="L4752" s="65"/>
    </row>
    <row r="4753" spans="11:12">
      <c r="K4753" s="65"/>
      <c r="L4753" s="65"/>
    </row>
    <row r="4754" spans="11:12">
      <c r="K4754" s="65"/>
      <c r="L4754" s="65"/>
    </row>
    <row r="4755" spans="11:12">
      <c r="K4755" s="65"/>
      <c r="L4755" s="65"/>
    </row>
    <row r="4756" spans="11:12">
      <c r="K4756" s="65"/>
      <c r="L4756" s="65"/>
    </row>
    <row r="4757" spans="11:12">
      <c r="K4757" s="65"/>
      <c r="L4757" s="65"/>
    </row>
    <row r="4758" spans="11:12">
      <c r="K4758" s="65"/>
      <c r="L4758" s="65"/>
    </row>
    <row r="4759" spans="11:12">
      <c r="K4759" s="65"/>
      <c r="L4759" s="65"/>
    </row>
    <row r="4760" spans="11:12">
      <c r="K4760" s="65"/>
      <c r="L4760" s="65"/>
    </row>
    <row r="4761" spans="11:12">
      <c r="K4761" s="65"/>
      <c r="L4761" s="65"/>
    </row>
    <row r="4762" spans="11:12">
      <c r="K4762" s="65"/>
      <c r="L4762" s="65"/>
    </row>
    <row r="4763" spans="11:12">
      <c r="K4763" s="65"/>
      <c r="L4763" s="65"/>
    </row>
    <row r="4764" spans="11:12">
      <c r="K4764" s="65"/>
      <c r="L4764" s="65"/>
    </row>
    <row r="4765" spans="11:12">
      <c r="K4765" s="65"/>
      <c r="L4765" s="65"/>
    </row>
    <row r="4766" spans="11:12">
      <c r="K4766" s="65"/>
      <c r="L4766" s="65"/>
    </row>
    <row r="4767" spans="11:12">
      <c r="K4767" s="65"/>
      <c r="L4767" s="65"/>
    </row>
    <row r="4768" spans="11:12">
      <c r="K4768" s="65"/>
      <c r="L4768" s="65"/>
    </row>
    <row r="4769" spans="11:12">
      <c r="K4769" s="65"/>
      <c r="L4769" s="65"/>
    </row>
    <row r="4770" spans="11:12">
      <c r="K4770" s="65"/>
      <c r="L4770" s="65"/>
    </row>
    <row r="4771" spans="11:12">
      <c r="K4771" s="65"/>
      <c r="L4771" s="65"/>
    </row>
    <row r="4772" spans="11:12">
      <c r="K4772" s="65"/>
      <c r="L4772" s="65"/>
    </row>
    <row r="4773" spans="11:12">
      <c r="K4773" s="65"/>
      <c r="L4773" s="65"/>
    </row>
    <row r="4774" spans="11:12">
      <c r="K4774" s="65"/>
      <c r="L4774" s="65"/>
    </row>
    <row r="4775" spans="11:12">
      <c r="K4775" s="65"/>
      <c r="L4775" s="65"/>
    </row>
    <row r="4776" spans="11:12">
      <c r="K4776" s="65"/>
      <c r="L4776" s="65"/>
    </row>
    <row r="4777" spans="11:12">
      <c r="K4777" s="65"/>
      <c r="L4777" s="65"/>
    </row>
    <row r="4778" spans="11:12">
      <c r="K4778" s="65"/>
      <c r="L4778" s="65"/>
    </row>
    <row r="4779" spans="11:12">
      <c r="K4779" s="65"/>
      <c r="L4779" s="65"/>
    </row>
    <row r="4780" spans="11:12">
      <c r="K4780" s="65"/>
      <c r="L4780" s="65"/>
    </row>
    <row r="4781" spans="11:12">
      <c r="K4781" s="65"/>
      <c r="L4781" s="65"/>
    </row>
    <row r="4782" spans="11:12">
      <c r="K4782" s="65"/>
      <c r="L4782" s="65"/>
    </row>
    <row r="4783" spans="11:12">
      <c r="K4783" s="65"/>
      <c r="L4783" s="65"/>
    </row>
    <row r="4784" spans="11:12">
      <c r="K4784" s="65"/>
      <c r="L4784" s="65"/>
    </row>
    <row r="4785" spans="11:12">
      <c r="K4785" s="65"/>
      <c r="L4785" s="65"/>
    </row>
    <row r="4786" spans="11:12">
      <c r="K4786" s="65"/>
      <c r="L4786" s="65"/>
    </row>
    <row r="4787" spans="11:12">
      <c r="K4787" s="65"/>
      <c r="L4787" s="65"/>
    </row>
    <row r="4788" spans="11:12">
      <c r="K4788" s="65"/>
      <c r="L4788" s="65"/>
    </row>
    <row r="4789" spans="11:12">
      <c r="K4789" s="65"/>
      <c r="L4789" s="65"/>
    </row>
    <row r="4790" spans="11:12">
      <c r="K4790" s="65"/>
      <c r="L4790" s="65"/>
    </row>
    <row r="4791" spans="11:12">
      <c r="K4791" s="65"/>
      <c r="L4791" s="65"/>
    </row>
    <row r="4792" spans="11:12">
      <c r="K4792" s="65"/>
      <c r="L4792" s="65"/>
    </row>
    <row r="4793" spans="11:12">
      <c r="K4793" s="65"/>
      <c r="L4793" s="65"/>
    </row>
    <row r="4794" spans="11:12">
      <c r="K4794" s="65"/>
      <c r="L4794" s="65"/>
    </row>
    <row r="4795" spans="11:12">
      <c r="K4795" s="65"/>
      <c r="L4795" s="65"/>
    </row>
    <row r="4796" spans="11:12">
      <c r="K4796" s="65"/>
      <c r="L4796" s="65"/>
    </row>
    <row r="4797" spans="11:12">
      <c r="K4797" s="65"/>
      <c r="L4797" s="65"/>
    </row>
    <row r="4798" spans="11:12">
      <c r="K4798" s="65"/>
      <c r="L4798" s="65"/>
    </row>
    <row r="4799" spans="11:12">
      <c r="K4799" s="65"/>
      <c r="L4799" s="65"/>
    </row>
    <row r="4800" spans="11:12">
      <c r="K4800" s="65"/>
      <c r="L4800" s="65"/>
    </row>
    <row r="4801" spans="11:12">
      <c r="K4801" s="65"/>
      <c r="L4801" s="65"/>
    </row>
    <row r="4802" spans="11:12">
      <c r="K4802" s="65"/>
      <c r="L4802" s="65"/>
    </row>
    <row r="4803" spans="11:12">
      <c r="K4803" s="65"/>
      <c r="L4803" s="65"/>
    </row>
    <row r="4804" spans="11:12">
      <c r="K4804" s="65"/>
      <c r="L4804" s="65"/>
    </row>
    <row r="4805" spans="11:12">
      <c r="K4805" s="65"/>
      <c r="L4805" s="65"/>
    </row>
    <row r="4806" spans="11:12">
      <c r="K4806" s="65"/>
      <c r="L4806" s="65"/>
    </row>
    <row r="4807" spans="11:12">
      <c r="K4807" s="65"/>
      <c r="L4807" s="65"/>
    </row>
    <row r="4808" spans="11:12">
      <c r="K4808" s="65"/>
      <c r="L4808" s="65"/>
    </row>
    <row r="4809" spans="11:12">
      <c r="K4809" s="65"/>
      <c r="L4809" s="65"/>
    </row>
    <row r="4810" spans="11:12">
      <c r="K4810" s="65"/>
      <c r="L4810" s="65"/>
    </row>
    <row r="4811" spans="11:12">
      <c r="K4811" s="65"/>
      <c r="L4811" s="65"/>
    </row>
    <row r="4812" spans="11:12">
      <c r="K4812" s="65"/>
      <c r="L4812" s="65"/>
    </row>
    <row r="4813" spans="11:12">
      <c r="K4813" s="65"/>
      <c r="L4813" s="65"/>
    </row>
    <row r="4814" spans="11:12">
      <c r="K4814" s="65"/>
      <c r="L4814" s="65"/>
    </row>
    <row r="4815" spans="11:12">
      <c r="K4815" s="65"/>
      <c r="L4815" s="65"/>
    </row>
    <row r="4816" spans="11:12">
      <c r="K4816" s="65"/>
      <c r="L4816" s="65"/>
    </row>
    <row r="4817" spans="11:12">
      <c r="K4817" s="65"/>
      <c r="L4817" s="65"/>
    </row>
    <row r="4818" spans="11:12">
      <c r="K4818" s="65"/>
      <c r="L4818" s="65"/>
    </row>
    <row r="4819" spans="11:12">
      <c r="K4819" s="65"/>
      <c r="L4819" s="65"/>
    </row>
    <row r="4820" spans="11:12">
      <c r="K4820" s="65"/>
      <c r="L4820" s="65"/>
    </row>
    <row r="4821" spans="11:12">
      <c r="K4821" s="65"/>
      <c r="L4821" s="65"/>
    </row>
    <row r="4822" spans="11:12">
      <c r="K4822" s="65"/>
      <c r="L4822" s="65"/>
    </row>
    <row r="4823" spans="11:12">
      <c r="K4823" s="65"/>
      <c r="L4823" s="65"/>
    </row>
    <row r="4824" spans="11:12">
      <c r="K4824" s="65"/>
      <c r="L4824" s="65"/>
    </row>
    <row r="4825" spans="11:12">
      <c r="K4825" s="65"/>
      <c r="L4825" s="65"/>
    </row>
    <row r="4826" spans="11:12">
      <c r="K4826" s="65"/>
      <c r="L4826" s="65"/>
    </row>
    <row r="4827" spans="11:12">
      <c r="K4827" s="65"/>
      <c r="L4827" s="65"/>
    </row>
    <row r="4828" spans="11:12">
      <c r="K4828" s="65"/>
      <c r="L4828" s="65"/>
    </row>
    <row r="4829" spans="11:12">
      <c r="K4829" s="65"/>
      <c r="L4829" s="65"/>
    </row>
    <row r="4830" spans="11:12">
      <c r="K4830" s="65"/>
      <c r="L4830" s="65"/>
    </row>
    <row r="4831" spans="11:12">
      <c r="K4831" s="65"/>
      <c r="L4831" s="65"/>
    </row>
    <row r="4832" spans="11:12">
      <c r="K4832" s="65"/>
      <c r="L4832" s="65"/>
    </row>
    <row r="4833" spans="11:12">
      <c r="K4833" s="65"/>
      <c r="L4833" s="65"/>
    </row>
    <row r="4834" spans="11:12">
      <c r="K4834" s="65"/>
      <c r="L4834" s="65"/>
    </row>
    <row r="4835" spans="11:12">
      <c r="K4835" s="65"/>
      <c r="L4835" s="65"/>
    </row>
    <row r="4836" spans="11:12">
      <c r="K4836" s="65"/>
      <c r="L4836" s="65"/>
    </row>
    <row r="4837" spans="11:12">
      <c r="K4837" s="65"/>
      <c r="L4837" s="65"/>
    </row>
    <row r="4838" spans="11:12">
      <c r="K4838" s="65"/>
      <c r="L4838" s="65"/>
    </row>
    <row r="4839" spans="11:12">
      <c r="K4839" s="65"/>
      <c r="L4839" s="65"/>
    </row>
    <row r="4840" spans="11:12">
      <c r="K4840" s="65"/>
      <c r="L4840" s="65"/>
    </row>
    <row r="4841" spans="11:12">
      <c r="K4841" s="65"/>
      <c r="L4841" s="65"/>
    </row>
    <row r="4842" spans="11:12">
      <c r="K4842" s="65"/>
      <c r="L4842" s="65"/>
    </row>
    <row r="4843" spans="11:12">
      <c r="K4843" s="65"/>
      <c r="L4843" s="65"/>
    </row>
    <row r="4844" spans="11:12">
      <c r="K4844" s="65"/>
      <c r="L4844" s="65"/>
    </row>
    <row r="4845" spans="11:12">
      <c r="K4845" s="65"/>
      <c r="L4845" s="65"/>
    </row>
    <row r="4846" spans="11:12">
      <c r="K4846" s="65"/>
      <c r="L4846" s="65"/>
    </row>
    <row r="4847" spans="11:12">
      <c r="K4847" s="65"/>
      <c r="L4847" s="65"/>
    </row>
    <row r="4848" spans="11:12">
      <c r="K4848" s="65"/>
      <c r="L4848" s="65"/>
    </row>
    <row r="4849" spans="11:12">
      <c r="K4849" s="65"/>
      <c r="L4849" s="65"/>
    </row>
    <row r="4850" spans="11:12">
      <c r="K4850" s="65"/>
      <c r="L4850" s="65"/>
    </row>
    <row r="4851" spans="11:12">
      <c r="K4851" s="65"/>
      <c r="L4851" s="65"/>
    </row>
    <row r="4852" spans="11:12">
      <c r="K4852" s="65"/>
      <c r="L4852" s="65"/>
    </row>
    <row r="4853" spans="11:12">
      <c r="K4853" s="65"/>
      <c r="L4853" s="65"/>
    </row>
    <row r="4854" spans="11:12">
      <c r="K4854" s="65"/>
      <c r="L4854" s="65"/>
    </row>
    <row r="4855" spans="11:12">
      <c r="K4855" s="65"/>
      <c r="L4855" s="65"/>
    </row>
    <row r="4856" spans="11:12">
      <c r="K4856" s="65"/>
      <c r="L4856" s="65"/>
    </row>
    <row r="4857" spans="11:12">
      <c r="K4857" s="65"/>
      <c r="L4857" s="65"/>
    </row>
    <row r="4858" spans="11:12">
      <c r="K4858" s="65"/>
      <c r="L4858" s="65"/>
    </row>
    <row r="4859" spans="11:12">
      <c r="K4859" s="65"/>
      <c r="L4859" s="65"/>
    </row>
    <row r="4860" spans="11:12">
      <c r="K4860" s="65"/>
      <c r="L4860" s="65"/>
    </row>
    <row r="4861" spans="11:12">
      <c r="K4861" s="65"/>
      <c r="L4861" s="65"/>
    </row>
    <row r="4862" spans="11:12">
      <c r="K4862" s="65"/>
      <c r="L4862" s="65"/>
    </row>
    <row r="4863" spans="11:12">
      <c r="K4863" s="65"/>
      <c r="L4863" s="65"/>
    </row>
    <row r="4864" spans="11:12">
      <c r="K4864" s="65"/>
      <c r="L4864" s="65"/>
    </row>
    <row r="4865" spans="11:12">
      <c r="K4865" s="65"/>
      <c r="L4865" s="65"/>
    </row>
    <row r="4866" spans="11:12">
      <c r="K4866" s="65"/>
      <c r="L4866" s="65"/>
    </row>
    <row r="4867" spans="11:12">
      <c r="K4867" s="65"/>
      <c r="L4867" s="65"/>
    </row>
    <row r="4868" spans="11:12">
      <c r="K4868" s="65"/>
      <c r="L4868" s="65"/>
    </row>
    <row r="4869" spans="11:12">
      <c r="K4869" s="65"/>
      <c r="L4869" s="65"/>
    </row>
    <row r="4870" spans="11:12">
      <c r="K4870" s="65"/>
      <c r="L4870" s="65"/>
    </row>
    <row r="4871" spans="11:12">
      <c r="K4871" s="65"/>
      <c r="L4871" s="65"/>
    </row>
    <row r="4872" spans="11:12">
      <c r="K4872" s="65"/>
      <c r="L4872" s="65"/>
    </row>
    <row r="4873" spans="11:12">
      <c r="K4873" s="65"/>
      <c r="L4873" s="65"/>
    </row>
    <row r="4874" spans="11:12">
      <c r="K4874" s="65"/>
      <c r="L4874" s="65"/>
    </row>
    <row r="4875" spans="11:12">
      <c r="K4875" s="65"/>
      <c r="L4875" s="65"/>
    </row>
    <row r="4876" spans="11:12">
      <c r="K4876" s="65"/>
      <c r="L4876" s="65"/>
    </row>
    <row r="4877" spans="11:12">
      <c r="K4877" s="65"/>
      <c r="L4877" s="65"/>
    </row>
    <row r="4878" spans="11:12">
      <c r="K4878" s="65"/>
      <c r="L4878" s="65"/>
    </row>
    <row r="4879" spans="11:12">
      <c r="K4879" s="65"/>
      <c r="L4879" s="65"/>
    </row>
    <row r="4880" spans="11:12">
      <c r="K4880" s="65"/>
      <c r="L4880" s="65"/>
    </row>
    <row r="4881" spans="11:12">
      <c r="K4881" s="65"/>
      <c r="L4881" s="65"/>
    </row>
    <row r="4882" spans="11:12">
      <c r="K4882" s="65"/>
      <c r="L4882" s="65"/>
    </row>
    <row r="4883" spans="11:12">
      <c r="K4883" s="65"/>
      <c r="L4883" s="65"/>
    </row>
    <row r="4884" spans="11:12">
      <c r="K4884" s="65"/>
      <c r="L4884" s="65"/>
    </row>
    <row r="4885" spans="11:12">
      <c r="K4885" s="65"/>
      <c r="L4885" s="65"/>
    </row>
    <row r="4886" spans="11:12">
      <c r="K4886" s="65"/>
      <c r="L4886" s="65"/>
    </row>
    <row r="4887" spans="11:12">
      <c r="K4887" s="65"/>
      <c r="L4887" s="65"/>
    </row>
    <row r="4888" spans="11:12">
      <c r="K4888" s="65"/>
      <c r="L4888" s="65"/>
    </row>
    <row r="4889" spans="11:12">
      <c r="K4889" s="65"/>
      <c r="L4889" s="65"/>
    </row>
    <row r="4890" spans="11:12">
      <c r="K4890" s="65"/>
      <c r="L4890" s="65"/>
    </row>
    <row r="4891" spans="11:12">
      <c r="K4891" s="65"/>
      <c r="L4891" s="65"/>
    </row>
    <row r="4892" spans="11:12">
      <c r="K4892" s="65"/>
      <c r="L4892" s="65"/>
    </row>
    <row r="4893" spans="11:12">
      <c r="K4893" s="65"/>
      <c r="L4893" s="65"/>
    </row>
    <row r="4894" spans="11:12">
      <c r="K4894" s="65"/>
      <c r="L4894" s="65"/>
    </row>
    <row r="4895" spans="11:12">
      <c r="K4895" s="65"/>
      <c r="L4895" s="65"/>
    </row>
    <row r="4896" spans="11:12">
      <c r="K4896" s="65"/>
      <c r="L4896" s="65"/>
    </row>
    <row r="4897" spans="11:12">
      <c r="K4897" s="65"/>
      <c r="L4897" s="65"/>
    </row>
    <row r="4898" spans="11:12">
      <c r="K4898" s="65"/>
      <c r="L4898" s="65"/>
    </row>
    <row r="4899" spans="11:12">
      <c r="K4899" s="65"/>
      <c r="L4899" s="65"/>
    </row>
    <row r="4900" spans="11:12">
      <c r="K4900" s="65"/>
      <c r="L4900" s="65"/>
    </row>
    <row r="4901" spans="11:12">
      <c r="K4901" s="65"/>
      <c r="L4901" s="65"/>
    </row>
    <row r="4902" spans="11:12">
      <c r="K4902" s="65"/>
      <c r="L4902" s="65"/>
    </row>
    <row r="4903" spans="11:12">
      <c r="K4903" s="65"/>
      <c r="L4903" s="65"/>
    </row>
    <row r="4904" spans="11:12">
      <c r="K4904" s="65"/>
      <c r="L4904" s="65"/>
    </row>
    <row r="4905" spans="11:12">
      <c r="K4905" s="65"/>
      <c r="L4905" s="65"/>
    </row>
    <row r="4906" spans="11:12">
      <c r="K4906" s="65"/>
      <c r="L4906" s="65"/>
    </row>
    <row r="4907" spans="11:12">
      <c r="K4907" s="65"/>
      <c r="L4907" s="65"/>
    </row>
    <row r="4908" spans="11:12">
      <c r="K4908" s="65"/>
      <c r="L4908" s="65"/>
    </row>
    <row r="4909" spans="11:12">
      <c r="K4909" s="65"/>
      <c r="L4909" s="65"/>
    </row>
    <row r="4910" spans="11:12">
      <c r="K4910" s="65"/>
      <c r="L4910" s="65"/>
    </row>
    <row r="4911" spans="11:12">
      <c r="K4911" s="65"/>
      <c r="L4911" s="65"/>
    </row>
    <row r="4912" spans="11:12">
      <c r="K4912" s="65"/>
      <c r="L4912" s="65"/>
    </row>
    <row r="4913" spans="11:12">
      <c r="K4913" s="65"/>
      <c r="L4913" s="65"/>
    </row>
    <row r="4914" spans="11:12">
      <c r="K4914" s="65"/>
      <c r="L4914" s="65"/>
    </row>
    <row r="4915" spans="11:12">
      <c r="K4915" s="65"/>
      <c r="L4915" s="65"/>
    </row>
    <row r="4916" spans="11:12">
      <c r="K4916" s="65"/>
      <c r="L4916" s="65"/>
    </row>
    <row r="4917" spans="11:12">
      <c r="K4917" s="65"/>
      <c r="L4917" s="65"/>
    </row>
    <row r="4918" spans="11:12">
      <c r="K4918" s="65"/>
      <c r="L4918" s="65"/>
    </row>
    <row r="4919" spans="11:12">
      <c r="K4919" s="65"/>
      <c r="L4919" s="65"/>
    </row>
    <row r="4920" spans="11:12">
      <c r="K4920" s="65"/>
      <c r="L4920" s="65"/>
    </row>
    <row r="4921" spans="11:12">
      <c r="K4921" s="65"/>
      <c r="L4921" s="65"/>
    </row>
    <row r="4922" spans="11:12">
      <c r="K4922" s="65"/>
      <c r="L4922" s="65"/>
    </row>
    <row r="4923" spans="11:12">
      <c r="K4923" s="65"/>
      <c r="L4923" s="65"/>
    </row>
    <row r="4924" spans="11:12">
      <c r="K4924" s="65"/>
      <c r="L4924" s="65"/>
    </row>
    <row r="4925" spans="11:12">
      <c r="K4925" s="65"/>
      <c r="L4925" s="65"/>
    </row>
    <row r="4926" spans="11:12">
      <c r="K4926" s="65"/>
      <c r="L4926" s="65"/>
    </row>
    <row r="4927" spans="11:12">
      <c r="K4927" s="65"/>
      <c r="L4927" s="65"/>
    </row>
    <row r="4928" spans="11:12">
      <c r="K4928" s="65"/>
      <c r="L4928" s="65"/>
    </row>
    <row r="4929" spans="11:12">
      <c r="K4929" s="65"/>
      <c r="L4929" s="65"/>
    </row>
    <row r="4930" spans="11:12">
      <c r="K4930" s="65"/>
      <c r="L4930" s="65"/>
    </row>
    <row r="4931" spans="11:12">
      <c r="K4931" s="65"/>
      <c r="L4931" s="65"/>
    </row>
    <row r="4932" spans="11:12">
      <c r="K4932" s="65"/>
      <c r="L4932" s="65"/>
    </row>
    <row r="4933" spans="11:12">
      <c r="K4933" s="65"/>
      <c r="L4933" s="65"/>
    </row>
    <row r="4934" spans="11:12">
      <c r="K4934" s="65"/>
      <c r="L4934" s="65"/>
    </row>
    <row r="4935" spans="11:12">
      <c r="K4935" s="65"/>
      <c r="L4935" s="65"/>
    </row>
    <row r="4936" spans="11:12">
      <c r="K4936" s="65"/>
      <c r="L4936" s="65"/>
    </row>
    <row r="4937" spans="11:12">
      <c r="K4937" s="65"/>
      <c r="L4937" s="65"/>
    </row>
    <row r="4938" spans="11:12">
      <c r="K4938" s="65"/>
      <c r="L4938" s="65"/>
    </row>
    <row r="4939" spans="11:12">
      <c r="K4939" s="65"/>
      <c r="L4939" s="65"/>
    </row>
    <row r="4940" spans="11:12">
      <c r="K4940" s="65"/>
      <c r="L4940" s="65"/>
    </row>
    <row r="4941" spans="11:12">
      <c r="K4941" s="65"/>
      <c r="L4941" s="65"/>
    </row>
    <row r="4942" spans="11:12">
      <c r="K4942" s="65"/>
      <c r="L4942" s="65"/>
    </row>
    <row r="4943" spans="11:12">
      <c r="K4943" s="65"/>
      <c r="L4943" s="65"/>
    </row>
    <row r="4944" spans="11:12">
      <c r="K4944" s="65"/>
      <c r="L4944" s="65"/>
    </row>
    <row r="4945" spans="11:12">
      <c r="K4945" s="65"/>
      <c r="L4945" s="65"/>
    </row>
    <row r="4946" spans="11:12">
      <c r="K4946" s="65"/>
      <c r="L4946" s="65"/>
    </row>
    <row r="4947" spans="11:12">
      <c r="K4947" s="65"/>
      <c r="L4947" s="65"/>
    </row>
    <row r="4948" spans="11:12">
      <c r="K4948" s="65"/>
      <c r="L4948" s="65"/>
    </row>
    <row r="4949" spans="11:12">
      <c r="K4949" s="65"/>
      <c r="L4949" s="65"/>
    </row>
    <row r="4950" spans="11:12">
      <c r="K4950" s="65"/>
      <c r="L4950" s="65"/>
    </row>
    <row r="4951" spans="11:12">
      <c r="K4951" s="65"/>
      <c r="L4951" s="65"/>
    </row>
    <row r="4952" spans="11:12">
      <c r="K4952" s="65"/>
      <c r="L4952" s="65"/>
    </row>
    <row r="4953" spans="11:12">
      <c r="K4953" s="65"/>
      <c r="L4953" s="65"/>
    </row>
    <row r="4954" spans="11:12">
      <c r="K4954" s="65"/>
      <c r="L4954" s="65"/>
    </row>
    <row r="4955" spans="11:12">
      <c r="K4955" s="65"/>
      <c r="L4955" s="65"/>
    </row>
    <row r="4956" spans="11:12">
      <c r="K4956" s="65"/>
      <c r="L4956" s="65"/>
    </row>
    <row r="4957" spans="11:12">
      <c r="K4957" s="65"/>
      <c r="L4957" s="65"/>
    </row>
    <row r="4958" spans="11:12">
      <c r="K4958" s="65"/>
      <c r="L4958" s="65"/>
    </row>
    <row r="4959" spans="11:12">
      <c r="K4959" s="65"/>
      <c r="L4959" s="65"/>
    </row>
    <row r="4960" spans="11:12">
      <c r="K4960" s="65"/>
      <c r="L4960" s="65"/>
    </row>
    <row r="4961" spans="11:12">
      <c r="K4961" s="65"/>
      <c r="L4961" s="65"/>
    </row>
    <row r="4962" spans="11:12">
      <c r="K4962" s="65"/>
      <c r="L4962" s="65"/>
    </row>
    <row r="4963" spans="11:12">
      <c r="K4963" s="65"/>
      <c r="L4963" s="65"/>
    </row>
    <row r="4964" spans="11:12">
      <c r="K4964" s="65"/>
      <c r="L4964" s="65"/>
    </row>
    <row r="4965" spans="11:12">
      <c r="K4965" s="65"/>
      <c r="L4965" s="65"/>
    </row>
    <row r="4966" spans="11:12">
      <c r="K4966" s="65"/>
      <c r="L4966" s="65"/>
    </row>
    <row r="4967" spans="11:12">
      <c r="K4967" s="65"/>
      <c r="L4967" s="65"/>
    </row>
    <row r="4968" spans="11:12">
      <c r="K4968" s="65"/>
      <c r="L4968" s="65"/>
    </row>
    <row r="4969" spans="11:12">
      <c r="K4969" s="65"/>
      <c r="L4969" s="65"/>
    </row>
    <row r="4970" spans="11:12">
      <c r="K4970" s="65"/>
      <c r="L4970" s="65"/>
    </row>
    <row r="4971" spans="11:12">
      <c r="K4971" s="65"/>
      <c r="L4971" s="65"/>
    </row>
    <row r="4972" spans="11:12">
      <c r="K4972" s="65"/>
      <c r="L4972" s="65"/>
    </row>
    <row r="4973" spans="11:12">
      <c r="K4973" s="65"/>
      <c r="L4973" s="65"/>
    </row>
    <row r="4974" spans="11:12">
      <c r="K4974" s="65"/>
      <c r="L4974" s="65"/>
    </row>
    <row r="4975" spans="11:12">
      <c r="K4975" s="65"/>
      <c r="L4975" s="65"/>
    </row>
    <row r="4976" spans="11:12">
      <c r="K4976" s="65"/>
      <c r="L4976" s="65"/>
    </row>
    <row r="4977" spans="11:12">
      <c r="K4977" s="65"/>
      <c r="L4977" s="65"/>
    </row>
    <row r="4978" spans="11:12">
      <c r="K4978" s="65"/>
      <c r="L4978" s="65"/>
    </row>
    <row r="4979" spans="11:12">
      <c r="K4979" s="65"/>
      <c r="L4979" s="65"/>
    </row>
    <row r="4980" spans="11:12">
      <c r="K4980" s="65"/>
      <c r="L4980" s="65"/>
    </row>
    <row r="4981" spans="11:12">
      <c r="K4981" s="65"/>
      <c r="L4981" s="65"/>
    </row>
    <row r="4982" spans="11:12">
      <c r="K4982" s="65"/>
      <c r="L4982" s="65"/>
    </row>
    <row r="4983" spans="11:12">
      <c r="K4983" s="65"/>
      <c r="L4983" s="65"/>
    </row>
    <row r="4984" spans="11:12">
      <c r="K4984" s="65"/>
      <c r="L4984" s="65"/>
    </row>
    <row r="4985" spans="11:12">
      <c r="K4985" s="65"/>
      <c r="L4985" s="65"/>
    </row>
    <row r="4986" spans="11:12">
      <c r="K4986" s="65"/>
      <c r="L4986" s="65"/>
    </row>
    <row r="4987" spans="11:12">
      <c r="K4987" s="65"/>
      <c r="L4987" s="65"/>
    </row>
    <row r="4988" spans="11:12">
      <c r="K4988" s="65"/>
      <c r="L4988" s="65"/>
    </row>
    <row r="4989" spans="11:12">
      <c r="K4989" s="65"/>
      <c r="L4989" s="65"/>
    </row>
    <row r="4990" spans="11:12">
      <c r="K4990" s="65"/>
      <c r="L4990" s="65"/>
    </row>
    <row r="4991" spans="11:12">
      <c r="K4991" s="65"/>
      <c r="L4991" s="65"/>
    </row>
    <row r="4992" spans="11:12">
      <c r="K4992" s="65"/>
      <c r="L4992" s="65"/>
    </row>
    <row r="4993" spans="11:12">
      <c r="K4993" s="65"/>
      <c r="L4993" s="65"/>
    </row>
    <row r="4994" spans="11:12">
      <c r="K4994" s="65"/>
      <c r="L4994" s="65"/>
    </row>
    <row r="4995" spans="11:12">
      <c r="K4995" s="65"/>
      <c r="L4995" s="65"/>
    </row>
    <row r="4996" spans="11:12">
      <c r="K4996" s="65"/>
      <c r="L4996" s="65"/>
    </row>
    <row r="4997" spans="11:12">
      <c r="K4997" s="65"/>
      <c r="L4997" s="65"/>
    </row>
    <row r="4998" spans="11:12">
      <c r="K4998" s="65"/>
      <c r="L4998" s="65"/>
    </row>
    <row r="4999" spans="11:12">
      <c r="K4999" s="65"/>
      <c r="L4999" s="65"/>
    </row>
    <row r="5000" spans="11:12">
      <c r="K5000" s="65"/>
      <c r="L5000" s="65"/>
    </row>
    <row r="5001" spans="11:12">
      <c r="K5001" s="65"/>
      <c r="L5001" s="65"/>
    </row>
    <row r="5002" spans="11:12">
      <c r="K5002" s="65"/>
      <c r="L5002" s="65"/>
    </row>
    <row r="5003" spans="11:12">
      <c r="K5003" s="65"/>
      <c r="L5003" s="65"/>
    </row>
    <row r="5004" spans="11:12">
      <c r="K5004" s="65"/>
      <c r="L5004" s="65"/>
    </row>
    <row r="5005" spans="11:12">
      <c r="K5005" s="65"/>
      <c r="L5005" s="65"/>
    </row>
    <row r="5006" spans="11:12">
      <c r="K5006" s="65"/>
      <c r="L5006" s="65"/>
    </row>
    <row r="5007" spans="11:12">
      <c r="K5007" s="65"/>
      <c r="L5007" s="65"/>
    </row>
    <row r="5008" spans="11:12">
      <c r="K5008" s="65"/>
      <c r="L5008" s="65"/>
    </row>
    <row r="5009" spans="11:12">
      <c r="K5009" s="65"/>
      <c r="L5009" s="65"/>
    </row>
    <row r="5010" spans="11:12">
      <c r="K5010" s="65"/>
      <c r="L5010" s="65"/>
    </row>
    <row r="5011" spans="11:12">
      <c r="K5011" s="65"/>
      <c r="L5011" s="65"/>
    </row>
    <row r="5012" spans="11:12">
      <c r="K5012" s="65"/>
      <c r="L5012" s="65"/>
    </row>
    <row r="5013" spans="11:12">
      <c r="K5013" s="65"/>
      <c r="L5013" s="65"/>
    </row>
    <row r="5014" spans="11:12">
      <c r="K5014" s="65"/>
      <c r="L5014" s="65"/>
    </row>
    <row r="5015" spans="11:12">
      <c r="K5015" s="65"/>
      <c r="L5015" s="65"/>
    </row>
    <row r="5016" spans="11:12">
      <c r="K5016" s="65"/>
      <c r="L5016" s="65"/>
    </row>
    <row r="5017" spans="11:12">
      <c r="K5017" s="65"/>
      <c r="L5017" s="65"/>
    </row>
    <row r="5018" spans="11:12">
      <c r="K5018" s="65"/>
      <c r="L5018" s="65"/>
    </row>
    <row r="5019" spans="11:12">
      <c r="K5019" s="65"/>
      <c r="L5019" s="65"/>
    </row>
    <row r="5020" spans="11:12">
      <c r="K5020" s="65"/>
      <c r="L5020" s="65"/>
    </row>
    <row r="5021" spans="11:12">
      <c r="K5021" s="65"/>
      <c r="L5021" s="65"/>
    </row>
    <row r="5022" spans="11:12">
      <c r="K5022" s="65"/>
      <c r="L5022" s="65"/>
    </row>
    <row r="5023" spans="11:12">
      <c r="K5023" s="65"/>
      <c r="L5023" s="65"/>
    </row>
    <row r="5024" spans="11:12">
      <c r="K5024" s="65"/>
      <c r="L5024" s="65"/>
    </row>
    <row r="5025" spans="11:12">
      <c r="K5025" s="65"/>
      <c r="L5025" s="65"/>
    </row>
    <row r="5026" spans="11:12">
      <c r="K5026" s="65"/>
      <c r="L5026" s="65"/>
    </row>
    <row r="5027" spans="11:12">
      <c r="K5027" s="65"/>
      <c r="L5027" s="65"/>
    </row>
    <row r="5028" spans="11:12">
      <c r="K5028" s="65"/>
      <c r="L5028" s="65"/>
    </row>
    <row r="5029" spans="11:12">
      <c r="K5029" s="65"/>
      <c r="L5029" s="65"/>
    </row>
    <row r="5030" spans="11:12">
      <c r="K5030" s="65"/>
      <c r="L5030" s="65"/>
    </row>
    <row r="5031" spans="11:12">
      <c r="K5031" s="65"/>
      <c r="L5031" s="65"/>
    </row>
    <row r="5032" spans="11:12">
      <c r="K5032" s="65"/>
      <c r="L5032" s="65"/>
    </row>
    <row r="5033" spans="11:12">
      <c r="K5033" s="65"/>
      <c r="L5033" s="65"/>
    </row>
    <row r="5034" spans="11:12">
      <c r="K5034" s="65"/>
      <c r="L5034" s="65"/>
    </row>
    <row r="5035" spans="11:12">
      <c r="K5035" s="65"/>
      <c r="L5035" s="65"/>
    </row>
    <row r="5036" spans="11:12">
      <c r="K5036" s="65"/>
      <c r="L5036" s="65"/>
    </row>
    <row r="5037" spans="11:12">
      <c r="K5037" s="65"/>
      <c r="L5037" s="65"/>
    </row>
    <row r="5038" spans="11:12">
      <c r="K5038" s="65"/>
      <c r="L5038" s="65"/>
    </row>
    <row r="5039" spans="11:12">
      <c r="K5039" s="65"/>
      <c r="L5039" s="65"/>
    </row>
    <row r="5040" spans="11:12">
      <c r="K5040" s="65"/>
      <c r="L5040" s="65"/>
    </row>
    <row r="5041" spans="11:12">
      <c r="K5041" s="65"/>
      <c r="L5041" s="65"/>
    </row>
    <row r="5042" spans="11:12">
      <c r="K5042" s="65"/>
      <c r="L5042" s="65"/>
    </row>
    <row r="5043" spans="11:12">
      <c r="K5043" s="65"/>
      <c r="L5043" s="65"/>
    </row>
    <row r="5044" spans="11:12">
      <c r="K5044" s="65"/>
      <c r="L5044" s="65"/>
    </row>
    <row r="5045" spans="11:12">
      <c r="K5045" s="65"/>
      <c r="L5045" s="65"/>
    </row>
    <row r="5046" spans="11:12">
      <c r="K5046" s="65"/>
      <c r="L5046" s="65"/>
    </row>
    <row r="5047" spans="11:12">
      <c r="K5047" s="65"/>
      <c r="L5047" s="65"/>
    </row>
    <row r="5048" spans="11:12">
      <c r="K5048" s="65"/>
      <c r="L5048" s="65"/>
    </row>
    <row r="5049" spans="11:12">
      <c r="K5049" s="65"/>
      <c r="L5049" s="65"/>
    </row>
    <row r="5050" spans="11:12">
      <c r="K5050" s="65"/>
      <c r="L5050" s="65"/>
    </row>
    <row r="5051" spans="11:12">
      <c r="K5051" s="65"/>
      <c r="L5051" s="65"/>
    </row>
    <row r="5052" spans="11:12">
      <c r="K5052" s="65"/>
      <c r="L5052" s="65"/>
    </row>
    <row r="5053" spans="11:12">
      <c r="K5053" s="65"/>
      <c r="L5053" s="65"/>
    </row>
    <row r="5054" spans="11:12">
      <c r="K5054" s="65"/>
      <c r="L5054" s="65"/>
    </row>
    <row r="5055" spans="11:12">
      <c r="K5055" s="65"/>
      <c r="L5055" s="65"/>
    </row>
    <row r="5056" spans="11:12">
      <c r="K5056" s="65"/>
      <c r="L5056" s="65"/>
    </row>
    <row r="5057" spans="11:12">
      <c r="K5057" s="65"/>
      <c r="L5057" s="65"/>
    </row>
    <row r="5058" spans="11:12">
      <c r="K5058" s="65"/>
      <c r="L5058" s="65"/>
    </row>
    <row r="5059" spans="11:12">
      <c r="K5059" s="65"/>
      <c r="L5059" s="65"/>
    </row>
    <row r="5060" spans="11:12">
      <c r="K5060" s="65"/>
      <c r="L5060" s="65"/>
    </row>
    <row r="5061" spans="11:12">
      <c r="K5061" s="65"/>
      <c r="L5061" s="65"/>
    </row>
    <row r="5062" spans="11:12">
      <c r="K5062" s="65"/>
      <c r="L5062" s="65"/>
    </row>
    <row r="5063" spans="11:12">
      <c r="K5063" s="65"/>
      <c r="L5063" s="65"/>
    </row>
    <row r="5064" spans="11:12">
      <c r="K5064" s="65"/>
      <c r="L5064" s="65"/>
    </row>
    <row r="5065" spans="11:12">
      <c r="K5065" s="65"/>
      <c r="L5065" s="65"/>
    </row>
    <row r="5066" spans="11:12">
      <c r="K5066" s="65"/>
      <c r="L5066" s="65"/>
    </row>
    <row r="5067" spans="11:12">
      <c r="K5067" s="65"/>
      <c r="L5067" s="65"/>
    </row>
    <row r="5068" spans="11:12">
      <c r="K5068" s="65"/>
      <c r="L5068" s="65"/>
    </row>
    <row r="5069" spans="11:12">
      <c r="K5069" s="65"/>
      <c r="L5069" s="65"/>
    </row>
    <row r="5070" spans="11:12">
      <c r="K5070" s="65"/>
      <c r="L5070" s="65"/>
    </row>
    <row r="5071" spans="11:12">
      <c r="K5071" s="65"/>
      <c r="L5071" s="65"/>
    </row>
    <row r="5072" spans="11:12">
      <c r="K5072" s="65"/>
      <c r="L5072" s="65"/>
    </row>
    <row r="5073" spans="11:12">
      <c r="K5073" s="65"/>
      <c r="L5073" s="65"/>
    </row>
    <row r="5074" spans="11:12">
      <c r="K5074" s="65"/>
      <c r="L5074" s="65"/>
    </row>
    <row r="5075" spans="11:12">
      <c r="K5075" s="65"/>
      <c r="L5075" s="65"/>
    </row>
    <row r="5076" spans="11:12">
      <c r="K5076" s="65"/>
      <c r="L5076" s="65"/>
    </row>
    <row r="5077" spans="11:12">
      <c r="K5077" s="65"/>
      <c r="L5077" s="65"/>
    </row>
    <row r="5078" spans="11:12">
      <c r="K5078" s="65"/>
      <c r="L5078" s="65"/>
    </row>
    <row r="5079" spans="11:12">
      <c r="K5079" s="65"/>
      <c r="L5079" s="65"/>
    </row>
    <row r="5080" spans="11:12">
      <c r="K5080" s="65"/>
      <c r="L5080" s="65"/>
    </row>
    <row r="5081" spans="11:12">
      <c r="K5081" s="65"/>
      <c r="L5081" s="65"/>
    </row>
    <row r="5082" spans="11:12">
      <c r="K5082" s="65"/>
      <c r="L5082" s="65"/>
    </row>
    <row r="5083" spans="11:12">
      <c r="K5083" s="65"/>
      <c r="L5083" s="65"/>
    </row>
    <row r="5084" spans="11:12">
      <c r="K5084" s="65"/>
      <c r="L5084" s="65"/>
    </row>
    <row r="5085" spans="11:12">
      <c r="K5085" s="65"/>
      <c r="L5085" s="65"/>
    </row>
    <row r="5086" spans="11:12">
      <c r="K5086" s="65"/>
      <c r="L5086" s="65"/>
    </row>
    <row r="5087" spans="11:12">
      <c r="K5087" s="65"/>
      <c r="L5087" s="65"/>
    </row>
    <row r="5088" spans="11:12">
      <c r="K5088" s="65"/>
      <c r="L5088" s="65"/>
    </row>
    <row r="5089" spans="11:12">
      <c r="K5089" s="65"/>
      <c r="L5089" s="65"/>
    </row>
    <row r="5090" spans="11:12">
      <c r="K5090" s="65"/>
      <c r="L5090" s="65"/>
    </row>
    <row r="5091" spans="11:12">
      <c r="K5091" s="65"/>
      <c r="L5091" s="65"/>
    </row>
    <row r="5092" spans="11:12">
      <c r="K5092" s="65"/>
      <c r="L5092" s="65"/>
    </row>
    <row r="5093" spans="11:12">
      <c r="K5093" s="65"/>
      <c r="L5093" s="65"/>
    </row>
    <row r="5094" spans="11:12">
      <c r="K5094" s="65"/>
      <c r="L5094" s="65"/>
    </row>
    <row r="5095" spans="11:12">
      <c r="K5095" s="65"/>
      <c r="L5095" s="65"/>
    </row>
    <row r="5096" spans="11:12">
      <c r="K5096" s="65"/>
      <c r="L5096" s="65"/>
    </row>
    <row r="5097" spans="11:12">
      <c r="K5097" s="65"/>
      <c r="L5097" s="65"/>
    </row>
    <row r="5098" spans="11:12">
      <c r="K5098" s="65"/>
      <c r="L5098" s="65"/>
    </row>
    <row r="5099" spans="11:12">
      <c r="K5099" s="65"/>
      <c r="L5099" s="65"/>
    </row>
    <row r="5100" spans="11:12">
      <c r="K5100" s="65"/>
      <c r="L5100" s="65"/>
    </row>
    <row r="5101" spans="11:12">
      <c r="K5101" s="65"/>
      <c r="L5101" s="65"/>
    </row>
    <row r="5102" spans="11:12">
      <c r="K5102" s="65"/>
      <c r="L5102" s="65"/>
    </row>
    <row r="5103" spans="11:12">
      <c r="K5103" s="65"/>
      <c r="L5103" s="65"/>
    </row>
    <row r="5104" spans="11:12">
      <c r="K5104" s="65"/>
      <c r="L5104" s="65"/>
    </row>
    <row r="5105" spans="11:12">
      <c r="K5105" s="65"/>
      <c r="L5105" s="65"/>
    </row>
    <row r="5106" spans="11:12">
      <c r="K5106" s="65"/>
      <c r="L5106" s="65"/>
    </row>
    <row r="5107" spans="11:12">
      <c r="K5107" s="65"/>
      <c r="L5107" s="65"/>
    </row>
    <row r="5108" spans="11:12">
      <c r="K5108" s="65"/>
      <c r="L5108" s="65"/>
    </row>
    <row r="5109" spans="11:12">
      <c r="K5109" s="65"/>
      <c r="L5109" s="65"/>
    </row>
    <row r="5110" spans="11:12">
      <c r="K5110" s="65"/>
      <c r="L5110" s="65"/>
    </row>
    <row r="5111" spans="11:12">
      <c r="K5111" s="65"/>
      <c r="L5111" s="65"/>
    </row>
    <row r="5112" spans="11:12">
      <c r="K5112" s="65"/>
      <c r="L5112" s="65"/>
    </row>
    <row r="5113" spans="11:12">
      <c r="K5113" s="65"/>
      <c r="L5113" s="65"/>
    </row>
    <row r="5114" spans="11:12">
      <c r="K5114" s="65"/>
      <c r="L5114" s="65"/>
    </row>
    <row r="5115" spans="11:12">
      <c r="K5115" s="65"/>
      <c r="L5115" s="65"/>
    </row>
    <row r="5116" spans="11:12">
      <c r="K5116" s="65"/>
      <c r="L5116" s="65"/>
    </row>
    <row r="5117" spans="11:12">
      <c r="K5117" s="65"/>
      <c r="L5117" s="65"/>
    </row>
    <row r="5118" spans="11:12">
      <c r="K5118" s="65"/>
      <c r="L5118" s="65"/>
    </row>
    <row r="5119" spans="11:12">
      <c r="K5119" s="65"/>
      <c r="L5119" s="65"/>
    </row>
    <row r="5120" spans="11:12">
      <c r="K5120" s="65"/>
      <c r="L5120" s="65"/>
    </row>
    <row r="5121" spans="11:12">
      <c r="K5121" s="65"/>
      <c r="L5121" s="65"/>
    </row>
    <row r="5122" spans="11:12">
      <c r="K5122" s="65"/>
      <c r="L5122" s="65"/>
    </row>
    <row r="5123" spans="11:12">
      <c r="K5123" s="65"/>
      <c r="L5123" s="65"/>
    </row>
    <row r="5124" spans="11:12">
      <c r="K5124" s="65"/>
      <c r="L5124" s="65"/>
    </row>
    <row r="5125" spans="11:12">
      <c r="K5125" s="65"/>
      <c r="L5125" s="65"/>
    </row>
    <row r="5126" spans="11:12">
      <c r="K5126" s="65"/>
      <c r="L5126" s="65"/>
    </row>
    <row r="5127" spans="11:12">
      <c r="K5127" s="65"/>
      <c r="L5127" s="65"/>
    </row>
    <row r="5128" spans="11:12">
      <c r="K5128" s="65"/>
      <c r="L5128" s="65"/>
    </row>
    <row r="5129" spans="11:12">
      <c r="K5129" s="65"/>
      <c r="L5129" s="65"/>
    </row>
    <row r="5130" spans="11:12">
      <c r="K5130" s="65"/>
      <c r="L5130" s="65"/>
    </row>
    <row r="5131" spans="11:12">
      <c r="K5131" s="65"/>
      <c r="L5131" s="65"/>
    </row>
    <row r="5132" spans="11:12">
      <c r="K5132" s="65"/>
      <c r="L5132" s="65"/>
    </row>
    <row r="5133" spans="11:12">
      <c r="K5133" s="65"/>
      <c r="L5133" s="65"/>
    </row>
    <row r="5134" spans="11:12">
      <c r="K5134" s="65"/>
      <c r="L5134" s="65"/>
    </row>
    <row r="5135" spans="11:12">
      <c r="K5135" s="65"/>
      <c r="L5135" s="65"/>
    </row>
    <row r="5136" spans="11:12">
      <c r="K5136" s="65"/>
      <c r="L5136" s="65"/>
    </row>
    <row r="5137" spans="11:12">
      <c r="K5137" s="65"/>
      <c r="L5137" s="65"/>
    </row>
    <row r="5138" spans="11:12">
      <c r="K5138" s="65"/>
      <c r="L5138" s="65"/>
    </row>
    <row r="5139" spans="11:12">
      <c r="K5139" s="65"/>
      <c r="L5139" s="65"/>
    </row>
    <row r="5140" spans="11:12">
      <c r="K5140" s="65"/>
      <c r="L5140" s="65"/>
    </row>
    <row r="5141" spans="11:12">
      <c r="K5141" s="65"/>
      <c r="L5141" s="65"/>
    </row>
    <row r="5142" spans="11:12">
      <c r="K5142" s="65"/>
      <c r="L5142" s="65"/>
    </row>
    <row r="5143" spans="11:12">
      <c r="K5143" s="65"/>
      <c r="L5143" s="65"/>
    </row>
    <row r="5144" spans="11:12">
      <c r="K5144" s="65"/>
      <c r="L5144" s="65"/>
    </row>
    <row r="5145" spans="11:12">
      <c r="K5145" s="65"/>
      <c r="L5145" s="65"/>
    </row>
    <row r="5146" spans="11:12">
      <c r="K5146" s="65"/>
      <c r="L5146" s="65"/>
    </row>
    <row r="5147" spans="11:12">
      <c r="K5147" s="65"/>
      <c r="L5147" s="65"/>
    </row>
    <row r="5148" spans="11:12">
      <c r="K5148" s="65"/>
      <c r="L5148" s="65"/>
    </row>
    <row r="5149" spans="11:12">
      <c r="K5149" s="65"/>
      <c r="L5149" s="65"/>
    </row>
    <row r="5150" spans="11:12">
      <c r="K5150" s="65"/>
      <c r="L5150" s="65"/>
    </row>
    <row r="5151" spans="11:12">
      <c r="K5151" s="65"/>
      <c r="L5151" s="65"/>
    </row>
    <row r="5152" spans="11:12">
      <c r="K5152" s="65"/>
      <c r="L5152" s="65"/>
    </row>
    <row r="5153" spans="11:12">
      <c r="K5153" s="65"/>
      <c r="L5153" s="65"/>
    </row>
    <row r="5154" spans="11:12">
      <c r="K5154" s="65"/>
      <c r="L5154" s="65"/>
    </row>
    <row r="5155" spans="11:12">
      <c r="K5155" s="65"/>
      <c r="L5155" s="65"/>
    </row>
    <row r="5156" spans="11:12">
      <c r="K5156" s="65"/>
      <c r="L5156" s="65"/>
    </row>
    <row r="5157" spans="11:12">
      <c r="K5157" s="65"/>
      <c r="L5157" s="65"/>
    </row>
    <row r="5158" spans="11:12">
      <c r="K5158" s="65"/>
      <c r="L5158" s="65"/>
    </row>
    <row r="5159" spans="11:12">
      <c r="K5159" s="65"/>
      <c r="L5159" s="65"/>
    </row>
    <row r="5160" spans="11:12">
      <c r="K5160" s="65"/>
      <c r="L5160" s="65"/>
    </row>
    <row r="5161" spans="11:12">
      <c r="K5161" s="65"/>
      <c r="L5161" s="65"/>
    </row>
    <row r="5162" spans="11:12">
      <c r="K5162" s="65"/>
      <c r="L5162" s="65"/>
    </row>
    <row r="5163" spans="11:12">
      <c r="K5163" s="65"/>
      <c r="L5163" s="65"/>
    </row>
    <row r="5164" spans="11:12">
      <c r="K5164" s="65"/>
      <c r="L5164" s="65"/>
    </row>
    <row r="5165" spans="11:12">
      <c r="K5165" s="65"/>
      <c r="L5165" s="65"/>
    </row>
    <row r="5166" spans="11:12">
      <c r="K5166" s="65"/>
      <c r="L5166" s="65"/>
    </row>
    <row r="5167" spans="11:12">
      <c r="K5167" s="65"/>
      <c r="L5167" s="65"/>
    </row>
    <row r="5168" spans="11:12">
      <c r="K5168" s="65"/>
      <c r="L5168" s="65"/>
    </row>
    <row r="5169" spans="11:12">
      <c r="K5169" s="65"/>
      <c r="L5169" s="65"/>
    </row>
    <row r="5170" spans="11:12">
      <c r="K5170" s="65"/>
      <c r="L5170" s="65"/>
    </row>
    <row r="5171" spans="11:12">
      <c r="K5171" s="65"/>
      <c r="L5171" s="65"/>
    </row>
    <row r="5172" spans="11:12">
      <c r="K5172" s="65"/>
      <c r="L5172" s="65"/>
    </row>
    <row r="5173" spans="11:12">
      <c r="K5173" s="65"/>
      <c r="L5173" s="65"/>
    </row>
    <row r="5174" spans="11:12">
      <c r="K5174" s="65"/>
      <c r="L5174" s="65"/>
    </row>
    <row r="5175" spans="11:12">
      <c r="K5175" s="65"/>
      <c r="L5175" s="65"/>
    </row>
    <row r="5176" spans="11:12">
      <c r="K5176" s="65"/>
      <c r="L5176" s="65"/>
    </row>
    <row r="5177" spans="11:12">
      <c r="K5177" s="65"/>
      <c r="L5177" s="65"/>
    </row>
    <row r="5178" spans="11:12">
      <c r="K5178" s="65"/>
      <c r="L5178" s="65"/>
    </row>
    <row r="5179" spans="11:12">
      <c r="K5179" s="65"/>
      <c r="L5179" s="65"/>
    </row>
    <row r="5180" spans="11:12">
      <c r="K5180" s="65"/>
      <c r="L5180" s="65"/>
    </row>
    <row r="5181" spans="11:12">
      <c r="K5181" s="65"/>
      <c r="L5181" s="65"/>
    </row>
    <row r="5182" spans="11:12">
      <c r="K5182" s="65"/>
      <c r="L5182" s="65"/>
    </row>
    <row r="5183" spans="11:12">
      <c r="K5183" s="65"/>
      <c r="L5183" s="65"/>
    </row>
    <row r="5184" spans="11:12">
      <c r="K5184" s="65"/>
      <c r="L5184" s="65"/>
    </row>
    <row r="5185" spans="11:12">
      <c r="K5185" s="65"/>
      <c r="L5185" s="65"/>
    </row>
    <row r="5186" spans="11:12">
      <c r="K5186" s="65"/>
      <c r="L5186" s="65"/>
    </row>
    <row r="5187" spans="11:12">
      <c r="K5187" s="65"/>
      <c r="L5187" s="65"/>
    </row>
    <row r="5188" spans="11:12">
      <c r="K5188" s="65"/>
      <c r="L5188" s="65"/>
    </row>
    <row r="5189" spans="11:12">
      <c r="K5189" s="65"/>
      <c r="L5189" s="65"/>
    </row>
    <row r="5190" spans="11:12">
      <c r="K5190" s="65"/>
      <c r="L5190" s="65"/>
    </row>
    <row r="5191" spans="11:12">
      <c r="K5191" s="65"/>
      <c r="L5191" s="65"/>
    </row>
    <row r="5192" spans="11:12">
      <c r="K5192" s="65"/>
      <c r="L5192" s="65"/>
    </row>
    <row r="5193" spans="11:12">
      <c r="K5193" s="65"/>
      <c r="L5193" s="65"/>
    </row>
    <row r="5194" spans="11:12">
      <c r="K5194" s="65"/>
      <c r="L5194" s="65"/>
    </row>
    <row r="5195" spans="11:12">
      <c r="K5195" s="65"/>
      <c r="L5195" s="65"/>
    </row>
    <row r="5196" spans="11:12">
      <c r="K5196" s="65"/>
      <c r="L5196" s="65"/>
    </row>
    <row r="5197" spans="11:12">
      <c r="K5197" s="65"/>
      <c r="L5197" s="65"/>
    </row>
    <row r="5198" spans="11:12">
      <c r="K5198" s="65"/>
      <c r="L5198" s="65"/>
    </row>
    <row r="5199" spans="11:12">
      <c r="K5199" s="65"/>
      <c r="L5199" s="65"/>
    </row>
    <row r="5200" spans="11:12">
      <c r="K5200" s="65"/>
      <c r="L5200" s="65"/>
    </row>
    <row r="5201" spans="11:12">
      <c r="K5201" s="65"/>
      <c r="L5201" s="65"/>
    </row>
    <row r="5202" spans="11:12">
      <c r="K5202" s="65"/>
      <c r="L5202" s="65"/>
    </row>
    <row r="5203" spans="11:12">
      <c r="K5203" s="65"/>
      <c r="L5203" s="65"/>
    </row>
    <row r="5204" spans="11:12">
      <c r="K5204" s="65"/>
      <c r="L5204" s="65"/>
    </row>
    <row r="5205" spans="11:12">
      <c r="K5205" s="65"/>
      <c r="L5205" s="65"/>
    </row>
    <row r="5206" spans="11:12">
      <c r="K5206" s="65"/>
      <c r="L5206" s="65"/>
    </row>
    <row r="5207" spans="11:12">
      <c r="K5207" s="65"/>
      <c r="L5207" s="65"/>
    </row>
    <row r="5208" spans="11:12">
      <c r="K5208" s="65"/>
      <c r="L5208" s="65"/>
    </row>
    <row r="5209" spans="11:12">
      <c r="K5209" s="65"/>
      <c r="L5209" s="65"/>
    </row>
    <row r="5210" spans="11:12">
      <c r="K5210" s="65"/>
      <c r="L5210" s="65"/>
    </row>
    <row r="5211" spans="11:12">
      <c r="K5211" s="65"/>
      <c r="L5211" s="65"/>
    </row>
    <row r="5212" spans="11:12">
      <c r="K5212" s="65"/>
      <c r="L5212" s="65"/>
    </row>
    <row r="5213" spans="11:12">
      <c r="K5213" s="65"/>
      <c r="L5213" s="65"/>
    </row>
    <row r="5214" spans="11:12">
      <c r="K5214" s="65"/>
      <c r="L5214" s="65"/>
    </row>
    <row r="5215" spans="11:12">
      <c r="K5215" s="65"/>
      <c r="L5215" s="65"/>
    </row>
    <row r="5216" spans="11:12">
      <c r="K5216" s="65"/>
      <c r="L5216" s="65"/>
    </row>
    <row r="5217" spans="11:12">
      <c r="K5217" s="65"/>
      <c r="L5217" s="65"/>
    </row>
    <row r="5218" spans="11:12">
      <c r="K5218" s="65"/>
      <c r="L5218" s="65"/>
    </row>
    <row r="5219" spans="11:12">
      <c r="K5219" s="65"/>
      <c r="L5219" s="65"/>
    </row>
    <row r="5220" spans="11:12">
      <c r="K5220" s="65"/>
      <c r="L5220" s="65"/>
    </row>
    <row r="5221" spans="11:12">
      <c r="K5221" s="65"/>
      <c r="L5221" s="65"/>
    </row>
    <row r="5222" spans="11:12">
      <c r="K5222" s="65"/>
      <c r="L5222" s="65"/>
    </row>
    <row r="5223" spans="11:12">
      <c r="K5223" s="65"/>
      <c r="L5223" s="65"/>
    </row>
    <row r="5224" spans="11:12">
      <c r="K5224" s="65"/>
      <c r="L5224" s="65"/>
    </row>
    <row r="5225" spans="11:12">
      <c r="K5225" s="65"/>
      <c r="L5225" s="65"/>
    </row>
    <row r="5226" spans="11:12">
      <c r="K5226" s="65"/>
      <c r="L5226" s="65"/>
    </row>
    <row r="5227" spans="11:12">
      <c r="K5227" s="65"/>
      <c r="L5227" s="65"/>
    </row>
    <row r="5228" spans="11:12">
      <c r="K5228" s="65"/>
      <c r="L5228" s="65"/>
    </row>
    <row r="5229" spans="11:12">
      <c r="K5229" s="65"/>
      <c r="L5229" s="65"/>
    </row>
    <row r="5230" spans="11:12">
      <c r="K5230" s="65"/>
      <c r="L5230" s="65"/>
    </row>
    <row r="5231" spans="11:12">
      <c r="K5231" s="65"/>
      <c r="L5231" s="65"/>
    </row>
    <row r="5232" spans="11:12">
      <c r="K5232" s="65"/>
      <c r="L5232" s="65"/>
    </row>
    <row r="5233" spans="11:12">
      <c r="K5233" s="65"/>
      <c r="L5233" s="65"/>
    </row>
    <row r="5234" spans="11:12">
      <c r="K5234" s="65"/>
      <c r="L5234" s="65"/>
    </row>
    <row r="5235" spans="11:12">
      <c r="K5235" s="65"/>
      <c r="L5235" s="65"/>
    </row>
    <row r="5236" spans="11:12">
      <c r="K5236" s="65"/>
      <c r="L5236" s="65"/>
    </row>
    <row r="5237" spans="11:12">
      <c r="K5237" s="65"/>
      <c r="L5237" s="65"/>
    </row>
    <row r="5238" spans="11:12">
      <c r="K5238" s="65"/>
      <c r="L5238" s="65"/>
    </row>
    <row r="5239" spans="11:12">
      <c r="K5239" s="65"/>
      <c r="L5239" s="65"/>
    </row>
    <row r="5240" spans="11:12">
      <c r="K5240" s="65"/>
      <c r="L5240" s="65"/>
    </row>
    <row r="5241" spans="11:12">
      <c r="K5241" s="65"/>
      <c r="L5241" s="65"/>
    </row>
    <row r="5242" spans="11:12">
      <c r="K5242" s="65"/>
      <c r="L5242" s="65"/>
    </row>
    <row r="5243" spans="11:12">
      <c r="K5243" s="65"/>
      <c r="L5243" s="65"/>
    </row>
    <row r="5244" spans="11:12">
      <c r="K5244" s="65"/>
      <c r="L5244" s="65"/>
    </row>
    <row r="5245" spans="11:12">
      <c r="K5245" s="65"/>
      <c r="L5245" s="65"/>
    </row>
    <row r="5246" spans="11:12">
      <c r="K5246" s="65"/>
      <c r="L5246" s="65"/>
    </row>
    <row r="5247" spans="11:12">
      <c r="K5247" s="65"/>
      <c r="L5247" s="65"/>
    </row>
    <row r="5248" spans="11:12">
      <c r="K5248" s="65"/>
      <c r="L5248" s="65"/>
    </row>
    <row r="5249" spans="11:12">
      <c r="K5249" s="65"/>
      <c r="L5249" s="65"/>
    </row>
    <row r="5250" spans="11:12">
      <c r="K5250" s="65"/>
      <c r="L5250" s="65"/>
    </row>
    <row r="5251" spans="11:12">
      <c r="K5251" s="65"/>
      <c r="L5251" s="65"/>
    </row>
    <row r="5252" spans="11:12">
      <c r="K5252" s="65"/>
      <c r="L5252" s="65"/>
    </row>
    <row r="5253" spans="11:12">
      <c r="K5253" s="65"/>
      <c r="L5253" s="65"/>
    </row>
    <row r="5254" spans="11:12">
      <c r="K5254" s="65"/>
      <c r="L5254" s="65"/>
    </row>
    <row r="5255" spans="11:12">
      <c r="K5255" s="65"/>
      <c r="L5255" s="65"/>
    </row>
    <row r="5256" spans="11:12">
      <c r="K5256" s="65"/>
      <c r="L5256" s="65"/>
    </row>
    <row r="5257" spans="11:12">
      <c r="K5257" s="65"/>
      <c r="L5257" s="65"/>
    </row>
    <row r="5258" spans="11:12">
      <c r="K5258" s="65"/>
      <c r="L5258" s="65"/>
    </row>
    <row r="5259" spans="11:12">
      <c r="K5259" s="65"/>
      <c r="L5259" s="65"/>
    </row>
    <row r="5260" spans="11:12">
      <c r="K5260" s="65"/>
      <c r="L5260" s="65"/>
    </row>
    <row r="5261" spans="11:12">
      <c r="K5261" s="65"/>
      <c r="L5261" s="65"/>
    </row>
    <row r="5262" spans="11:12">
      <c r="K5262" s="65"/>
      <c r="L5262" s="65"/>
    </row>
    <row r="5263" spans="11:12">
      <c r="K5263" s="65"/>
      <c r="L5263" s="65"/>
    </row>
    <row r="5264" spans="11:12">
      <c r="K5264" s="65"/>
      <c r="L5264" s="65"/>
    </row>
    <row r="5265" spans="11:12">
      <c r="K5265" s="65"/>
      <c r="L5265" s="65"/>
    </row>
    <row r="5266" spans="11:12">
      <c r="K5266" s="65"/>
      <c r="L5266" s="65"/>
    </row>
    <row r="5267" spans="11:12">
      <c r="K5267" s="65"/>
      <c r="L5267" s="65"/>
    </row>
    <row r="5268" spans="11:12">
      <c r="K5268" s="65"/>
      <c r="L5268" s="65"/>
    </row>
    <row r="5269" spans="11:12">
      <c r="K5269" s="65"/>
      <c r="L5269" s="65"/>
    </row>
    <row r="5270" spans="11:12">
      <c r="K5270" s="65"/>
      <c r="L5270" s="65"/>
    </row>
    <row r="5271" spans="11:12">
      <c r="K5271" s="65"/>
      <c r="L5271" s="65"/>
    </row>
    <row r="5272" spans="11:12">
      <c r="K5272" s="65"/>
      <c r="L5272" s="65"/>
    </row>
    <row r="5273" spans="11:12">
      <c r="K5273" s="65"/>
      <c r="L5273" s="65"/>
    </row>
    <row r="5274" spans="11:12">
      <c r="K5274" s="65"/>
      <c r="L5274" s="65"/>
    </row>
    <row r="5275" spans="11:12">
      <c r="K5275" s="65"/>
      <c r="L5275" s="65"/>
    </row>
    <row r="5276" spans="11:12">
      <c r="K5276" s="65"/>
      <c r="L5276" s="65"/>
    </row>
    <row r="5277" spans="11:12">
      <c r="K5277" s="65"/>
      <c r="L5277" s="65"/>
    </row>
    <row r="5278" spans="11:12">
      <c r="K5278" s="65"/>
      <c r="L5278" s="65"/>
    </row>
    <row r="5279" spans="11:12">
      <c r="K5279" s="65"/>
      <c r="L5279" s="65"/>
    </row>
    <row r="5280" spans="11:12">
      <c r="K5280" s="65"/>
      <c r="L5280" s="65"/>
    </row>
    <row r="5281" spans="11:12">
      <c r="K5281" s="65"/>
      <c r="L5281" s="65"/>
    </row>
    <row r="5282" spans="11:12">
      <c r="K5282" s="65"/>
      <c r="L5282" s="65"/>
    </row>
    <row r="5283" spans="11:12">
      <c r="K5283" s="65"/>
      <c r="L5283" s="65"/>
    </row>
    <row r="5284" spans="11:12">
      <c r="K5284" s="65"/>
      <c r="L5284" s="65"/>
    </row>
    <row r="5285" spans="11:12">
      <c r="K5285" s="65"/>
      <c r="L5285" s="65"/>
    </row>
    <row r="5286" spans="11:12">
      <c r="K5286" s="65"/>
      <c r="L5286" s="65"/>
    </row>
    <row r="5287" spans="11:12">
      <c r="K5287" s="65"/>
      <c r="L5287" s="65"/>
    </row>
    <row r="5288" spans="11:12">
      <c r="K5288" s="65"/>
      <c r="L5288" s="65"/>
    </row>
    <row r="5289" spans="11:12">
      <c r="K5289" s="65"/>
      <c r="L5289" s="65"/>
    </row>
    <row r="5290" spans="11:12">
      <c r="K5290" s="65"/>
      <c r="L5290" s="65"/>
    </row>
    <row r="5291" spans="11:12">
      <c r="K5291" s="65"/>
      <c r="L5291" s="65"/>
    </row>
    <row r="5292" spans="11:12">
      <c r="K5292" s="65"/>
      <c r="L5292" s="65"/>
    </row>
    <row r="5293" spans="11:12">
      <c r="K5293" s="65"/>
      <c r="L5293" s="65"/>
    </row>
    <row r="5294" spans="11:12">
      <c r="K5294" s="65"/>
      <c r="L5294" s="65"/>
    </row>
    <row r="5295" spans="11:12">
      <c r="K5295" s="65"/>
      <c r="L5295" s="65"/>
    </row>
    <row r="5296" spans="11:12">
      <c r="K5296" s="65"/>
      <c r="L5296" s="65"/>
    </row>
    <row r="5297" spans="11:12">
      <c r="K5297" s="65"/>
      <c r="L5297" s="65"/>
    </row>
    <row r="5298" spans="11:12">
      <c r="K5298" s="65"/>
      <c r="L5298" s="65"/>
    </row>
    <row r="5299" spans="11:12">
      <c r="K5299" s="65"/>
      <c r="L5299" s="65"/>
    </row>
    <row r="5300" spans="11:12">
      <c r="K5300" s="65"/>
      <c r="L5300" s="65"/>
    </row>
    <row r="5301" spans="11:12">
      <c r="K5301" s="65"/>
      <c r="L5301" s="65"/>
    </row>
    <row r="5302" spans="11:12">
      <c r="K5302" s="65"/>
      <c r="L5302" s="65"/>
    </row>
    <row r="5303" spans="11:12">
      <c r="K5303" s="65"/>
      <c r="L5303" s="65"/>
    </row>
    <row r="5304" spans="11:12">
      <c r="K5304" s="65"/>
      <c r="L5304" s="65"/>
    </row>
    <row r="5305" spans="11:12">
      <c r="K5305" s="65"/>
      <c r="L5305" s="65"/>
    </row>
    <row r="5306" spans="11:12">
      <c r="K5306" s="65"/>
      <c r="L5306" s="65"/>
    </row>
    <row r="5307" spans="11:12">
      <c r="K5307" s="65"/>
      <c r="L5307" s="65"/>
    </row>
    <row r="5308" spans="11:12">
      <c r="K5308" s="65"/>
      <c r="L5308" s="65"/>
    </row>
    <row r="5309" spans="11:12">
      <c r="K5309" s="65"/>
      <c r="L5309" s="65"/>
    </row>
    <row r="5310" spans="11:12">
      <c r="K5310" s="65"/>
      <c r="L5310" s="65"/>
    </row>
    <row r="5311" spans="11:12">
      <c r="K5311" s="65"/>
      <c r="L5311" s="65"/>
    </row>
    <row r="5312" spans="11:12">
      <c r="K5312" s="65"/>
      <c r="L5312" s="65"/>
    </row>
    <row r="5313" spans="11:12">
      <c r="K5313" s="65"/>
      <c r="L5313" s="65"/>
    </row>
    <row r="5314" spans="11:12">
      <c r="K5314" s="65"/>
      <c r="L5314" s="65"/>
    </row>
    <row r="5315" spans="11:12">
      <c r="K5315" s="65"/>
      <c r="L5315" s="65"/>
    </row>
    <row r="5316" spans="11:12">
      <c r="K5316" s="65"/>
      <c r="L5316" s="65"/>
    </row>
    <row r="5317" spans="11:12">
      <c r="K5317" s="65"/>
      <c r="L5317" s="65"/>
    </row>
    <row r="5318" spans="11:12">
      <c r="K5318" s="65"/>
      <c r="L5318" s="65"/>
    </row>
    <row r="5319" spans="11:12">
      <c r="K5319" s="65"/>
      <c r="L5319" s="65"/>
    </row>
    <row r="5320" spans="11:12">
      <c r="K5320" s="65"/>
      <c r="L5320" s="65"/>
    </row>
    <row r="5321" spans="11:12">
      <c r="K5321" s="65"/>
      <c r="L5321" s="65"/>
    </row>
    <row r="5322" spans="11:12">
      <c r="K5322" s="65"/>
      <c r="L5322" s="65"/>
    </row>
    <row r="5323" spans="11:12">
      <c r="K5323" s="65"/>
      <c r="L5323" s="65"/>
    </row>
    <row r="5324" spans="11:12">
      <c r="K5324" s="65"/>
      <c r="L5324" s="65"/>
    </row>
    <row r="5325" spans="11:12">
      <c r="K5325" s="65"/>
      <c r="L5325" s="65"/>
    </row>
    <row r="5326" spans="11:12">
      <c r="K5326" s="65"/>
      <c r="L5326" s="65"/>
    </row>
    <row r="5327" spans="11:12">
      <c r="K5327" s="65"/>
      <c r="L5327" s="65"/>
    </row>
    <row r="5328" spans="11:12">
      <c r="K5328" s="65"/>
      <c r="L5328" s="65"/>
    </row>
    <row r="5329" spans="11:12">
      <c r="K5329" s="65"/>
      <c r="L5329" s="65"/>
    </row>
    <row r="5330" spans="11:12">
      <c r="K5330" s="65"/>
      <c r="L5330" s="65"/>
    </row>
    <row r="5331" spans="11:12">
      <c r="K5331" s="65"/>
      <c r="L5331" s="65"/>
    </row>
    <row r="5332" spans="11:12">
      <c r="K5332" s="65"/>
      <c r="L5332" s="65"/>
    </row>
    <row r="5333" spans="11:12">
      <c r="K5333" s="65"/>
      <c r="L5333" s="65"/>
    </row>
    <row r="5334" spans="11:12">
      <c r="K5334" s="65"/>
      <c r="L5334" s="65"/>
    </row>
    <row r="5335" spans="11:12">
      <c r="K5335" s="65"/>
      <c r="L5335" s="65"/>
    </row>
    <row r="5336" spans="11:12">
      <c r="K5336" s="65"/>
      <c r="L5336" s="65"/>
    </row>
    <row r="5337" spans="11:12">
      <c r="K5337" s="65"/>
      <c r="L5337" s="65"/>
    </row>
    <row r="5338" spans="11:12">
      <c r="K5338" s="65"/>
      <c r="L5338" s="65"/>
    </row>
    <row r="5339" spans="11:12">
      <c r="K5339" s="65"/>
      <c r="L5339" s="65"/>
    </row>
    <row r="5340" spans="11:12">
      <c r="K5340" s="65"/>
      <c r="L5340" s="65"/>
    </row>
    <row r="5341" spans="11:12">
      <c r="K5341" s="65"/>
      <c r="L5341" s="65"/>
    </row>
    <row r="5342" spans="11:12">
      <c r="K5342" s="65"/>
      <c r="L5342" s="65"/>
    </row>
    <row r="5343" spans="11:12">
      <c r="K5343" s="65"/>
      <c r="L5343" s="65"/>
    </row>
    <row r="5344" spans="11:12">
      <c r="K5344" s="65"/>
      <c r="L5344" s="65"/>
    </row>
    <row r="5345" spans="11:12">
      <c r="K5345" s="65"/>
      <c r="L5345" s="65"/>
    </row>
    <row r="5346" spans="11:12">
      <c r="K5346" s="65"/>
      <c r="L5346" s="65"/>
    </row>
    <row r="5347" spans="11:12">
      <c r="K5347" s="65"/>
      <c r="L5347" s="65"/>
    </row>
    <row r="5348" spans="11:12">
      <c r="K5348" s="65"/>
      <c r="L5348" s="65"/>
    </row>
    <row r="5349" spans="11:12">
      <c r="K5349" s="65"/>
      <c r="L5349" s="65"/>
    </row>
    <row r="5350" spans="11:12">
      <c r="K5350" s="65"/>
      <c r="L5350" s="65"/>
    </row>
    <row r="5351" spans="11:12">
      <c r="K5351" s="65"/>
      <c r="L5351" s="65"/>
    </row>
    <row r="5352" spans="11:12">
      <c r="K5352" s="65"/>
      <c r="L5352" s="65"/>
    </row>
    <row r="5353" spans="11:12">
      <c r="K5353" s="65"/>
      <c r="L5353" s="65"/>
    </row>
    <row r="5354" spans="11:12">
      <c r="K5354" s="65"/>
      <c r="L5354" s="65"/>
    </row>
    <row r="5355" spans="11:12">
      <c r="K5355" s="65"/>
      <c r="L5355" s="65"/>
    </row>
    <row r="5356" spans="11:12">
      <c r="K5356" s="65"/>
      <c r="L5356" s="65"/>
    </row>
    <row r="5357" spans="11:12">
      <c r="K5357" s="65"/>
      <c r="L5357" s="65"/>
    </row>
    <row r="5358" spans="11:12">
      <c r="K5358" s="65"/>
      <c r="L5358" s="65"/>
    </row>
    <row r="5359" spans="11:12">
      <c r="K5359" s="65"/>
      <c r="L5359" s="65"/>
    </row>
    <row r="5360" spans="11:12">
      <c r="K5360" s="65"/>
      <c r="L5360" s="65"/>
    </row>
    <row r="5361" spans="11:12">
      <c r="K5361" s="65"/>
      <c r="L5361" s="65"/>
    </row>
    <row r="5362" spans="11:12">
      <c r="K5362" s="65"/>
      <c r="L5362" s="65"/>
    </row>
    <row r="5363" spans="11:12">
      <c r="K5363" s="65"/>
      <c r="L5363" s="65"/>
    </row>
    <row r="5364" spans="11:12">
      <c r="K5364" s="65"/>
      <c r="L5364" s="65"/>
    </row>
    <row r="5365" spans="11:12">
      <c r="K5365" s="65"/>
      <c r="L5365" s="65"/>
    </row>
    <row r="5366" spans="11:12">
      <c r="K5366" s="65"/>
      <c r="L5366" s="65"/>
    </row>
    <row r="5367" spans="11:12">
      <c r="K5367" s="65"/>
      <c r="L5367" s="65"/>
    </row>
    <row r="5368" spans="11:12">
      <c r="K5368" s="65"/>
      <c r="L5368" s="65"/>
    </row>
    <row r="5369" spans="11:12">
      <c r="K5369" s="65"/>
      <c r="L5369" s="65"/>
    </row>
    <row r="5370" spans="11:12">
      <c r="K5370" s="65"/>
      <c r="L5370" s="65"/>
    </row>
    <row r="5371" spans="11:12">
      <c r="K5371" s="65"/>
      <c r="L5371" s="65"/>
    </row>
    <row r="5372" spans="11:12">
      <c r="K5372" s="65"/>
      <c r="L5372" s="65"/>
    </row>
    <row r="5373" spans="11:12">
      <c r="K5373" s="65"/>
      <c r="L5373" s="65"/>
    </row>
    <row r="5374" spans="11:12">
      <c r="K5374" s="65"/>
      <c r="L5374" s="65"/>
    </row>
    <row r="5375" spans="11:12">
      <c r="K5375" s="65"/>
      <c r="L5375" s="65"/>
    </row>
    <row r="5376" spans="11:12">
      <c r="K5376" s="65"/>
      <c r="L5376" s="65"/>
    </row>
    <row r="5377" spans="11:12">
      <c r="K5377" s="65"/>
      <c r="L5377" s="65"/>
    </row>
    <row r="5378" spans="11:12">
      <c r="K5378" s="65"/>
      <c r="L5378" s="65"/>
    </row>
    <row r="5379" spans="11:12">
      <c r="K5379" s="65"/>
      <c r="L5379" s="65"/>
    </row>
    <row r="5380" spans="11:12">
      <c r="K5380" s="65"/>
      <c r="L5380" s="65"/>
    </row>
    <row r="5381" spans="11:12">
      <c r="K5381" s="65"/>
      <c r="L5381" s="65"/>
    </row>
    <row r="5382" spans="11:12">
      <c r="K5382" s="65"/>
      <c r="L5382" s="65"/>
    </row>
    <row r="5383" spans="11:12">
      <c r="K5383" s="65"/>
      <c r="L5383" s="65"/>
    </row>
    <row r="5384" spans="11:12">
      <c r="K5384" s="65"/>
      <c r="L5384" s="65"/>
    </row>
    <row r="5385" spans="11:12">
      <c r="K5385" s="65"/>
      <c r="L5385" s="65"/>
    </row>
    <row r="5386" spans="11:12">
      <c r="K5386" s="65"/>
      <c r="L5386" s="65"/>
    </row>
    <row r="5387" spans="11:12">
      <c r="K5387" s="65"/>
      <c r="L5387" s="65"/>
    </row>
    <row r="5388" spans="11:12">
      <c r="K5388" s="65"/>
      <c r="L5388" s="65"/>
    </row>
    <row r="5389" spans="11:12">
      <c r="K5389" s="65"/>
      <c r="L5389" s="65"/>
    </row>
    <row r="5390" spans="11:12">
      <c r="K5390" s="65"/>
      <c r="L5390" s="65"/>
    </row>
    <row r="5391" spans="11:12">
      <c r="K5391" s="65"/>
      <c r="L5391" s="65"/>
    </row>
    <row r="5392" spans="11:12">
      <c r="K5392" s="65"/>
      <c r="L5392" s="65"/>
    </row>
    <row r="5393" spans="11:12">
      <c r="K5393" s="65"/>
      <c r="L5393" s="65"/>
    </row>
    <row r="5394" spans="11:12">
      <c r="K5394" s="65"/>
      <c r="L5394" s="65"/>
    </row>
    <row r="5395" spans="11:12">
      <c r="K5395" s="65"/>
      <c r="L5395" s="65"/>
    </row>
    <row r="5396" spans="11:12">
      <c r="K5396" s="65"/>
      <c r="L5396" s="65"/>
    </row>
    <row r="5397" spans="11:12">
      <c r="K5397" s="65"/>
      <c r="L5397" s="65"/>
    </row>
    <row r="5398" spans="11:12">
      <c r="K5398" s="65"/>
      <c r="L5398" s="65"/>
    </row>
    <row r="5399" spans="11:12">
      <c r="K5399" s="65"/>
      <c r="L5399" s="65"/>
    </row>
    <row r="5400" spans="11:12">
      <c r="K5400" s="65"/>
      <c r="L5400" s="65"/>
    </row>
    <row r="5401" spans="11:12">
      <c r="K5401" s="65"/>
      <c r="L5401" s="65"/>
    </row>
    <row r="5402" spans="11:12">
      <c r="K5402" s="65"/>
      <c r="L5402" s="65"/>
    </row>
    <row r="5403" spans="11:12">
      <c r="K5403" s="65"/>
      <c r="L5403" s="65"/>
    </row>
    <row r="5404" spans="11:12">
      <c r="K5404" s="65"/>
      <c r="L5404" s="65"/>
    </row>
    <row r="5405" spans="11:12">
      <c r="K5405" s="65"/>
      <c r="L5405" s="65"/>
    </row>
    <row r="5406" spans="11:12">
      <c r="K5406" s="65"/>
      <c r="L5406" s="65"/>
    </row>
    <row r="5407" spans="11:12">
      <c r="K5407" s="65"/>
      <c r="L5407" s="65"/>
    </row>
    <row r="5408" spans="11:12">
      <c r="K5408" s="65"/>
      <c r="L5408" s="65"/>
    </row>
    <row r="5409" spans="11:12">
      <c r="K5409" s="65"/>
      <c r="L5409" s="65"/>
    </row>
    <row r="5410" spans="11:12">
      <c r="K5410" s="65"/>
      <c r="L5410" s="65"/>
    </row>
    <row r="5411" spans="11:12">
      <c r="K5411" s="65"/>
      <c r="L5411" s="65"/>
    </row>
    <row r="5412" spans="11:12">
      <c r="K5412" s="65"/>
      <c r="L5412" s="65"/>
    </row>
    <row r="5413" spans="11:12">
      <c r="K5413" s="65"/>
      <c r="L5413" s="65"/>
    </row>
    <row r="5414" spans="11:12">
      <c r="K5414" s="65"/>
      <c r="L5414" s="65"/>
    </row>
    <row r="5415" spans="11:12">
      <c r="K5415" s="65"/>
      <c r="L5415" s="65"/>
    </row>
    <row r="5416" spans="11:12">
      <c r="K5416" s="65"/>
      <c r="L5416" s="65"/>
    </row>
    <row r="5417" spans="11:12">
      <c r="K5417" s="65"/>
      <c r="L5417" s="65"/>
    </row>
    <row r="5418" spans="11:12">
      <c r="K5418" s="65"/>
      <c r="L5418" s="65"/>
    </row>
    <row r="5419" spans="11:12">
      <c r="K5419" s="65"/>
      <c r="L5419" s="65"/>
    </row>
    <row r="5420" spans="11:12">
      <c r="K5420" s="65"/>
      <c r="L5420" s="65"/>
    </row>
    <row r="5421" spans="11:12">
      <c r="K5421" s="65"/>
      <c r="L5421" s="65"/>
    </row>
    <row r="5422" spans="11:12">
      <c r="K5422" s="65"/>
      <c r="L5422" s="65"/>
    </row>
    <row r="5423" spans="11:12">
      <c r="K5423" s="65"/>
      <c r="L5423" s="65"/>
    </row>
    <row r="5424" spans="11:12">
      <c r="K5424" s="65"/>
      <c r="L5424" s="65"/>
    </row>
    <row r="5425" spans="11:12">
      <c r="K5425" s="65"/>
      <c r="L5425" s="65"/>
    </row>
    <row r="5426" spans="11:12">
      <c r="K5426" s="65"/>
      <c r="L5426" s="65"/>
    </row>
    <row r="5427" spans="11:12">
      <c r="K5427" s="65"/>
      <c r="L5427" s="65"/>
    </row>
    <row r="5428" spans="11:12">
      <c r="K5428" s="65"/>
      <c r="L5428" s="65"/>
    </row>
    <row r="5429" spans="11:12">
      <c r="K5429" s="65"/>
      <c r="L5429" s="65"/>
    </row>
    <row r="5430" spans="11:12">
      <c r="K5430" s="65"/>
      <c r="L5430" s="65"/>
    </row>
    <row r="5431" spans="11:12">
      <c r="K5431" s="65"/>
      <c r="L5431" s="65"/>
    </row>
    <row r="5432" spans="11:12">
      <c r="K5432" s="65"/>
      <c r="L5432" s="65"/>
    </row>
    <row r="5433" spans="11:12">
      <c r="K5433" s="65"/>
      <c r="L5433" s="65"/>
    </row>
    <row r="5434" spans="11:12">
      <c r="K5434" s="65"/>
      <c r="L5434" s="65"/>
    </row>
    <row r="5435" spans="11:12">
      <c r="K5435" s="65"/>
      <c r="L5435" s="65"/>
    </row>
    <row r="5436" spans="11:12">
      <c r="K5436" s="65"/>
      <c r="L5436" s="65"/>
    </row>
    <row r="5437" spans="11:12">
      <c r="K5437" s="65"/>
      <c r="L5437" s="65"/>
    </row>
    <row r="5438" spans="11:12">
      <c r="K5438" s="65"/>
      <c r="L5438" s="65"/>
    </row>
    <row r="5439" spans="11:12">
      <c r="K5439" s="65"/>
      <c r="L5439" s="65"/>
    </row>
    <row r="5440" spans="11:12">
      <c r="K5440" s="65"/>
      <c r="L5440" s="65"/>
    </row>
    <row r="5441" spans="11:12">
      <c r="K5441" s="65"/>
      <c r="L5441" s="65"/>
    </row>
    <row r="5442" spans="11:12">
      <c r="K5442" s="65"/>
      <c r="L5442" s="65"/>
    </row>
    <row r="5443" spans="11:12">
      <c r="K5443" s="65"/>
      <c r="L5443" s="65"/>
    </row>
    <row r="5444" spans="11:12">
      <c r="K5444" s="65"/>
      <c r="L5444" s="65"/>
    </row>
    <row r="5445" spans="11:12">
      <c r="K5445" s="65"/>
      <c r="L5445" s="65"/>
    </row>
    <row r="5446" spans="11:12">
      <c r="K5446" s="65"/>
      <c r="L5446" s="65"/>
    </row>
    <row r="5447" spans="11:12">
      <c r="K5447" s="65"/>
      <c r="L5447" s="65"/>
    </row>
    <row r="5448" spans="11:12">
      <c r="K5448" s="65"/>
      <c r="L5448" s="65"/>
    </row>
    <row r="5449" spans="11:12">
      <c r="K5449" s="65"/>
      <c r="L5449" s="65"/>
    </row>
    <row r="5450" spans="11:12">
      <c r="K5450" s="65"/>
      <c r="L5450" s="65"/>
    </row>
    <row r="5451" spans="11:12">
      <c r="K5451" s="65"/>
      <c r="L5451" s="65"/>
    </row>
    <row r="5452" spans="11:12">
      <c r="K5452" s="65"/>
      <c r="L5452" s="65"/>
    </row>
    <row r="5453" spans="11:12">
      <c r="K5453" s="65"/>
      <c r="L5453" s="65"/>
    </row>
    <row r="5454" spans="11:12">
      <c r="K5454" s="65"/>
      <c r="L5454" s="65"/>
    </row>
    <row r="5455" spans="11:12">
      <c r="K5455" s="65"/>
      <c r="L5455" s="65"/>
    </row>
    <row r="5456" spans="11:12">
      <c r="K5456" s="65"/>
      <c r="L5456" s="65"/>
    </row>
    <row r="5457" spans="11:12">
      <c r="K5457" s="65"/>
      <c r="L5457" s="65"/>
    </row>
    <row r="5458" spans="11:12">
      <c r="K5458" s="65"/>
      <c r="L5458" s="65"/>
    </row>
    <row r="5459" spans="11:12">
      <c r="K5459" s="65"/>
      <c r="L5459" s="65"/>
    </row>
    <row r="5460" spans="11:12">
      <c r="K5460" s="65"/>
      <c r="L5460" s="65"/>
    </row>
    <row r="5461" spans="11:12">
      <c r="K5461" s="65"/>
      <c r="L5461" s="65"/>
    </row>
    <row r="5462" spans="11:12">
      <c r="K5462" s="65"/>
      <c r="L5462" s="65"/>
    </row>
    <row r="5463" spans="11:12">
      <c r="K5463" s="65"/>
      <c r="L5463" s="65"/>
    </row>
    <row r="5464" spans="11:12">
      <c r="K5464" s="65"/>
      <c r="L5464" s="65"/>
    </row>
    <row r="5465" spans="11:12">
      <c r="K5465" s="65"/>
      <c r="L5465" s="65"/>
    </row>
    <row r="5466" spans="11:12">
      <c r="K5466" s="65"/>
      <c r="L5466" s="65"/>
    </row>
    <row r="5467" spans="11:12">
      <c r="K5467" s="65"/>
      <c r="L5467" s="65"/>
    </row>
    <row r="5468" spans="11:12">
      <c r="K5468" s="65"/>
      <c r="L5468" s="65"/>
    </row>
    <row r="5469" spans="11:12">
      <c r="K5469" s="65"/>
      <c r="L5469" s="65"/>
    </row>
    <row r="5470" spans="11:12">
      <c r="K5470" s="65"/>
      <c r="L5470" s="65"/>
    </row>
    <row r="5471" spans="11:12">
      <c r="K5471" s="65"/>
      <c r="L5471" s="65"/>
    </row>
    <row r="5472" spans="11:12">
      <c r="K5472" s="65"/>
      <c r="L5472" s="65"/>
    </row>
    <row r="5473" spans="11:12">
      <c r="K5473" s="65"/>
      <c r="L5473" s="65"/>
    </row>
    <row r="5474" spans="11:12">
      <c r="K5474" s="65"/>
      <c r="L5474" s="65"/>
    </row>
    <row r="5475" spans="11:12">
      <c r="K5475" s="65"/>
      <c r="L5475" s="65"/>
    </row>
    <row r="5476" spans="11:12">
      <c r="K5476" s="65"/>
      <c r="L5476" s="65"/>
    </row>
    <row r="5477" spans="11:12">
      <c r="K5477" s="65"/>
      <c r="L5477" s="65"/>
    </row>
    <row r="5478" spans="11:12">
      <c r="K5478" s="65"/>
      <c r="L5478" s="65"/>
    </row>
    <row r="5479" spans="11:12">
      <c r="K5479" s="65"/>
      <c r="L5479" s="65"/>
    </row>
    <row r="5480" spans="11:12">
      <c r="K5480" s="65"/>
      <c r="L5480" s="65"/>
    </row>
    <row r="5481" spans="11:12">
      <c r="K5481" s="65"/>
      <c r="L5481" s="65"/>
    </row>
    <row r="5482" spans="11:12">
      <c r="K5482" s="65"/>
      <c r="L5482" s="65"/>
    </row>
    <row r="5483" spans="11:12">
      <c r="K5483" s="65"/>
      <c r="L5483" s="65"/>
    </row>
    <row r="5484" spans="11:12">
      <c r="K5484" s="65"/>
      <c r="L5484" s="65"/>
    </row>
    <row r="5485" spans="11:12">
      <c r="K5485" s="65"/>
      <c r="L5485" s="65"/>
    </row>
    <row r="5486" spans="11:12">
      <c r="K5486" s="65"/>
      <c r="L5486" s="65"/>
    </row>
    <row r="5487" spans="11:12">
      <c r="K5487" s="65"/>
      <c r="L5487" s="65"/>
    </row>
    <row r="5488" spans="11:12">
      <c r="K5488" s="65"/>
      <c r="L5488" s="65"/>
    </row>
    <row r="5489" spans="11:12">
      <c r="K5489" s="65"/>
      <c r="L5489" s="65"/>
    </row>
    <row r="5490" spans="11:12">
      <c r="K5490" s="65"/>
      <c r="L5490" s="65"/>
    </row>
    <row r="5491" spans="11:12">
      <c r="K5491" s="65"/>
      <c r="L5491" s="65"/>
    </row>
    <row r="5492" spans="11:12">
      <c r="K5492" s="65"/>
      <c r="L5492" s="65"/>
    </row>
    <row r="5493" spans="11:12">
      <c r="K5493" s="65"/>
      <c r="L5493" s="65"/>
    </row>
    <row r="5494" spans="11:12">
      <c r="K5494" s="65"/>
      <c r="L5494" s="65"/>
    </row>
    <row r="5495" spans="11:12">
      <c r="K5495" s="65"/>
      <c r="L5495" s="65"/>
    </row>
    <row r="5496" spans="11:12">
      <c r="K5496" s="65"/>
      <c r="L5496" s="65"/>
    </row>
    <row r="5497" spans="11:12">
      <c r="K5497" s="65"/>
      <c r="L5497" s="65"/>
    </row>
    <row r="5498" spans="11:12">
      <c r="K5498" s="65"/>
      <c r="L5498" s="65"/>
    </row>
    <row r="5499" spans="11:12">
      <c r="K5499" s="65"/>
      <c r="L5499" s="65"/>
    </row>
    <row r="5500" spans="11:12">
      <c r="K5500" s="65"/>
      <c r="L5500" s="65"/>
    </row>
    <row r="5501" spans="11:12">
      <c r="K5501" s="65"/>
      <c r="L5501" s="65"/>
    </row>
    <row r="5502" spans="11:12">
      <c r="K5502" s="65"/>
      <c r="L5502" s="65"/>
    </row>
    <row r="5503" spans="11:12">
      <c r="K5503" s="65"/>
      <c r="L5503" s="65"/>
    </row>
    <row r="5504" spans="11:12">
      <c r="K5504" s="65"/>
      <c r="L5504" s="65"/>
    </row>
    <row r="5505" spans="11:12">
      <c r="K5505" s="65"/>
      <c r="L5505" s="65"/>
    </row>
    <row r="5506" spans="11:12">
      <c r="K5506" s="65"/>
      <c r="L5506" s="65"/>
    </row>
    <row r="5507" spans="11:12">
      <c r="K5507" s="65"/>
      <c r="L5507" s="65"/>
    </row>
    <row r="5508" spans="11:12">
      <c r="K5508" s="65"/>
      <c r="L5508" s="65"/>
    </row>
    <row r="5509" spans="11:12">
      <c r="K5509" s="65"/>
      <c r="L5509" s="65"/>
    </row>
    <row r="5510" spans="11:12">
      <c r="K5510" s="65"/>
      <c r="L5510" s="65"/>
    </row>
    <row r="5511" spans="11:12">
      <c r="K5511" s="65"/>
      <c r="L5511" s="65"/>
    </row>
    <row r="5512" spans="11:12">
      <c r="K5512" s="65"/>
      <c r="L5512" s="65"/>
    </row>
    <row r="5513" spans="11:12">
      <c r="K5513" s="65"/>
      <c r="L5513" s="65"/>
    </row>
    <row r="5514" spans="11:12">
      <c r="K5514" s="65"/>
      <c r="L5514" s="65"/>
    </row>
    <row r="5515" spans="11:12">
      <c r="K5515" s="65"/>
      <c r="L5515" s="65"/>
    </row>
    <row r="5516" spans="11:12">
      <c r="K5516" s="65"/>
      <c r="L5516" s="65"/>
    </row>
    <row r="5517" spans="11:12">
      <c r="K5517" s="65"/>
      <c r="L5517" s="65"/>
    </row>
    <row r="5518" spans="11:12">
      <c r="K5518" s="65"/>
      <c r="L5518" s="65"/>
    </row>
    <row r="5519" spans="11:12">
      <c r="K5519" s="65"/>
      <c r="L5519" s="65"/>
    </row>
    <row r="5520" spans="11:12">
      <c r="K5520" s="65"/>
      <c r="L5520" s="65"/>
    </row>
    <row r="5521" spans="11:12">
      <c r="K5521" s="65"/>
      <c r="L5521" s="65"/>
    </row>
    <row r="5522" spans="11:12">
      <c r="K5522" s="65"/>
      <c r="L5522" s="65"/>
    </row>
    <row r="5523" spans="11:12">
      <c r="K5523" s="65"/>
      <c r="L5523" s="65"/>
    </row>
    <row r="5524" spans="11:12">
      <c r="K5524" s="65"/>
      <c r="L5524" s="65"/>
    </row>
    <row r="5525" spans="11:12">
      <c r="K5525" s="65"/>
      <c r="L5525" s="65"/>
    </row>
    <row r="5526" spans="11:12">
      <c r="K5526" s="65"/>
      <c r="L5526" s="65"/>
    </row>
    <row r="5527" spans="11:12">
      <c r="K5527" s="65"/>
      <c r="L5527" s="65"/>
    </row>
    <row r="5528" spans="11:12">
      <c r="K5528" s="65"/>
      <c r="L5528" s="65"/>
    </row>
    <row r="5529" spans="11:12">
      <c r="K5529" s="65"/>
      <c r="L5529" s="65"/>
    </row>
    <row r="5530" spans="11:12">
      <c r="K5530" s="65"/>
      <c r="L5530" s="65"/>
    </row>
    <row r="5531" spans="11:12">
      <c r="K5531" s="65"/>
      <c r="L5531" s="65"/>
    </row>
    <row r="5532" spans="11:12">
      <c r="K5532" s="65"/>
      <c r="L5532" s="65"/>
    </row>
    <row r="5533" spans="11:12">
      <c r="K5533" s="65"/>
      <c r="L5533" s="65"/>
    </row>
    <row r="5534" spans="11:12">
      <c r="K5534" s="65"/>
      <c r="L5534" s="65"/>
    </row>
    <row r="5535" spans="11:12">
      <c r="K5535" s="65"/>
      <c r="L5535" s="65"/>
    </row>
    <row r="5536" spans="11:12">
      <c r="K5536" s="65"/>
      <c r="L5536" s="65"/>
    </row>
    <row r="5537" spans="11:12">
      <c r="K5537" s="65"/>
      <c r="L5537" s="65"/>
    </row>
    <row r="5538" spans="11:12">
      <c r="K5538" s="65"/>
      <c r="L5538" s="65"/>
    </row>
    <row r="5539" spans="11:12">
      <c r="K5539" s="65"/>
      <c r="L5539" s="65"/>
    </row>
    <row r="5540" spans="11:12">
      <c r="K5540" s="65"/>
      <c r="L5540" s="65"/>
    </row>
    <row r="5541" spans="11:12">
      <c r="K5541" s="65"/>
      <c r="L5541" s="65"/>
    </row>
    <row r="5542" spans="11:12">
      <c r="K5542" s="65"/>
      <c r="L5542" s="65"/>
    </row>
    <row r="5543" spans="11:12">
      <c r="K5543" s="65"/>
      <c r="L5543" s="65"/>
    </row>
    <row r="5544" spans="11:12">
      <c r="K5544" s="65"/>
      <c r="L5544" s="65"/>
    </row>
    <row r="5545" spans="11:12">
      <c r="K5545" s="65"/>
      <c r="L5545" s="65"/>
    </row>
    <row r="5546" spans="11:12">
      <c r="K5546" s="65"/>
      <c r="L5546" s="65"/>
    </row>
    <row r="5547" spans="11:12">
      <c r="K5547" s="65"/>
      <c r="L5547" s="65"/>
    </row>
    <row r="5548" spans="11:12">
      <c r="K5548" s="65"/>
      <c r="L5548" s="65"/>
    </row>
    <row r="5549" spans="11:12">
      <c r="K5549" s="65"/>
      <c r="L5549" s="65"/>
    </row>
    <row r="5550" spans="11:12">
      <c r="K5550" s="65"/>
      <c r="L5550" s="65"/>
    </row>
    <row r="5551" spans="11:12">
      <c r="K5551" s="65"/>
      <c r="L5551" s="65"/>
    </row>
    <row r="5552" spans="11:12">
      <c r="K5552" s="65"/>
      <c r="L5552" s="65"/>
    </row>
    <row r="5553" spans="11:12">
      <c r="K5553" s="65"/>
      <c r="L5553" s="65"/>
    </row>
    <row r="5554" spans="11:12">
      <c r="K5554" s="65"/>
      <c r="L5554" s="65"/>
    </row>
    <row r="5555" spans="11:12">
      <c r="K5555" s="65"/>
      <c r="L5555" s="65"/>
    </row>
    <row r="5556" spans="11:12">
      <c r="K5556" s="65"/>
      <c r="L5556" s="65"/>
    </row>
    <row r="5557" spans="11:12">
      <c r="K5557" s="65"/>
      <c r="L5557" s="65"/>
    </row>
    <row r="5558" spans="11:12">
      <c r="K5558" s="65"/>
      <c r="L5558" s="65"/>
    </row>
    <row r="5559" spans="11:12">
      <c r="K5559" s="65"/>
      <c r="L5559" s="65"/>
    </row>
    <row r="5560" spans="11:12">
      <c r="K5560" s="65"/>
      <c r="L5560" s="65"/>
    </row>
    <row r="5561" spans="11:12">
      <c r="K5561" s="65"/>
      <c r="L5561" s="65"/>
    </row>
    <row r="5562" spans="11:12">
      <c r="K5562" s="65"/>
      <c r="L5562" s="65"/>
    </row>
    <row r="5563" spans="11:12">
      <c r="K5563" s="65"/>
      <c r="L5563" s="65"/>
    </row>
    <row r="5564" spans="11:12">
      <c r="K5564" s="65"/>
      <c r="L5564" s="65"/>
    </row>
    <row r="5565" spans="11:12">
      <c r="K5565" s="65"/>
      <c r="L5565" s="65"/>
    </row>
    <row r="5566" spans="11:12">
      <c r="K5566" s="65"/>
      <c r="L5566" s="65"/>
    </row>
    <row r="5567" spans="11:12">
      <c r="K5567" s="65"/>
      <c r="L5567" s="65"/>
    </row>
    <row r="5568" spans="11:12">
      <c r="K5568" s="65"/>
      <c r="L5568" s="65"/>
    </row>
    <row r="5569" spans="11:12">
      <c r="K5569" s="65"/>
      <c r="L5569" s="65"/>
    </row>
    <row r="5570" spans="11:12">
      <c r="K5570" s="65"/>
      <c r="L5570" s="65"/>
    </row>
    <row r="5571" spans="11:12">
      <c r="K5571" s="65"/>
      <c r="L5571" s="65"/>
    </row>
    <row r="5572" spans="11:12">
      <c r="K5572" s="65"/>
      <c r="L5572" s="65"/>
    </row>
    <row r="5573" spans="11:12">
      <c r="K5573" s="65"/>
      <c r="L5573" s="65"/>
    </row>
    <row r="5574" spans="11:12">
      <c r="K5574" s="65"/>
      <c r="L5574" s="65"/>
    </row>
    <row r="5575" spans="11:12">
      <c r="K5575" s="65"/>
      <c r="L5575" s="65"/>
    </row>
    <row r="5576" spans="11:12">
      <c r="K5576" s="65"/>
      <c r="L5576" s="65"/>
    </row>
    <row r="5577" spans="11:12">
      <c r="K5577" s="65"/>
      <c r="L5577" s="65"/>
    </row>
    <row r="5578" spans="11:12">
      <c r="K5578" s="65"/>
      <c r="L5578" s="65"/>
    </row>
    <row r="5579" spans="11:12">
      <c r="K5579" s="65"/>
      <c r="L5579" s="65"/>
    </row>
    <row r="5580" spans="11:12">
      <c r="K5580" s="65"/>
      <c r="L5580" s="65"/>
    </row>
    <row r="5581" spans="11:12">
      <c r="K5581" s="65"/>
      <c r="L5581" s="65"/>
    </row>
    <row r="5582" spans="11:12">
      <c r="K5582" s="65"/>
      <c r="L5582" s="65"/>
    </row>
    <row r="5583" spans="11:12">
      <c r="K5583" s="65"/>
      <c r="L5583" s="65"/>
    </row>
    <row r="5584" spans="11:12">
      <c r="K5584" s="65"/>
      <c r="L5584" s="65"/>
    </row>
    <row r="5585" spans="11:12">
      <c r="K5585" s="65"/>
      <c r="L5585" s="65"/>
    </row>
    <row r="5586" spans="11:12">
      <c r="K5586" s="65"/>
      <c r="L5586" s="65"/>
    </row>
    <row r="5587" spans="11:12">
      <c r="K5587" s="65"/>
      <c r="L5587" s="65"/>
    </row>
    <row r="5588" spans="11:12">
      <c r="K5588" s="65"/>
      <c r="L5588" s="65"/>
    </row>
    <row r="5589" spans="11:12">
      <c r="K5589" s="65"/>
      <c r="L5589" s="65"/>
    </row>
    <row r="5590" spans="11:12">
      <c r="K5590" s="65"/>
      <c r="L5590" s="65"/>
    </row>
    <row r="5591" spans="11:12">
      <c r="K5591" s="65"/>
      <c r="L5591" s="65"/>
    </row>
    <row r="5592" spans="11:12">
      <c r="K5592" s="65"/>
      <c r="L5592" s="65"/>
    </row>
    <row r="5593" spans="11:12">
      <c r="K5593" s="65"/>
      <c r="L5593" s="65"/>
    </row>
    <row r="5594" spans="11:12">
      <c r="K5594" s="65"/>
      <c r="L5594" s="65"/>
    </row>
    <row r="5595" spans="11:12">
      <c r="K5595" s="65"/>
      <c r="L5595" s="65"/>
    </row>
    <row r="5596" spans="11:12">
      <c r="K5596" s="65"/>
      <c r="L5596" s="65"/>
    </row>
    <row r="5597" spans="11:12">
      <c r="K5597" s="65"/>
      <c r="L5597" s="65"/>
    </row>
    <row r="5598" spans="11:12">
      <c r="K5598" s="65"/>
      <c r="L5598" s="65"/>
    </row>
    <row r="5599" spans="11:12">
      <c r="K5599" s="65"/>
      <c r="L5599" s="65"/>
    </row>
    <row r="5600" spans="11:12">
      <c r="K5600" s="65"/>
      <c r="L5600" s="65"/>
    </row>
    <row r="5601" spans="11:12">
      <c r="K5601" s="65"/>
      <c r="L5601" s="65"/>
    </row>
    <row r="5602" spans="11:12">
      <c r="K5602" s="65"/>
      <c r="L5602" s="65"/>
    </row>
    <row r="5603" spans="11:12">
      <c r="K5603" s="65"/>
      <c r="L5603" s="65"/>
    </row>
    <row r="5604" spans="11:12">
      <c r="K5604" s="65"/>
      <c r="L5604" s="65"/>
    </row>
    <row r="5605" spans="11:12">
      <c r="K5605" s="65"/>
      <c r="L5605" s="65"/>
    </row>
    <row r="5606" spans="11:12">
      <c r="K5606" s="65"/>
      <c r="L5606" s="65"/>
    </row>
    <row r="5607" spans="11:12">
      <c r="K5607" s="65"/>
      <c r="L5607" s="65"/>
    </row>
    <row r="5608" spans="11:12">
      <c r="K5608" s="65"/>
      <c r="L5608" s="65"/>
    </row>
    <row r="5609" spans="11:12">
      <c r="K5609" s="65"/>
      <c r="L5609" s="65"/>
    </row>
    <row r="5610" spans="11:12">
      <c r="K5610" s="65"/>
      <c r="L5610" s="65"/>
    </row>
    <row r="5611" spans="11:12">
      <c r="K5611" s="65"/>
      <c r="L5611" s="65"/>
    </row>
    <row r="5612" spans="11:12">
      <c r="K5612" s="65"/>
      <c r="L5612" s="65"/>
    </row>
    <row r="5613" spans="11:12">
      <c r="K5613" s="65"/>
      <c r="L5613" s="65"/>
    </row>
    <row r="5614" spans="11:12">
      <c r="K5614" s="65"/>
      <c r="L5614" s="65"/>
    </row>
    <row r="5615" spans="11:12">
      <c r="K5615" s="65"/>
      <c r="L5615" s="65"/>
    </row>
    <row r="5616" spans="11:12">
      <c r="K5616" s="65"/>
      <c r="L5616" s="65"/>
    </row>
    <row r="5617" spans="11:12">
      <c r="K5617" s="65"/>
      <c r="L5617" s="65"/>
    </row>
    <row r="5618" spans="11:12">
      <c r="K5618" s="65"/>
      <c r="L5618" s="65"/>
    </row>
    <row r="5619" spans="11:12">
      <c r="K5619" s="65"/>
      <c r="L5619" s="65"/>
    </row>
    <row r="5620" spans="11:12">
      <c r="K5620" s="65"/>
      <c r="L5620" s="65"/>
    </row>
    <row r="5621" spans="11:12">
      <c r="K5621" s="65"/>
      <c r="L5621" s="65"/>
    </row>
    <row r="5622" spans="11:12">
      <c r="K5622" s="65"/>
      <c r="L5622" s="65"/>
    </row>
    <row r="5623" spans="11:12">
      <c r="K5623" s="65"/>
      <c r="L5623" s="65"/>
    </row>
    <row r="5624" spans="11:12">
      <c r="K5624" s="65"/>
      <c r="L5624" s="65"/>
    </row>
    <row r="5625" spans="11:12">
      <c r="K5625" s="65"/>
      <c r="L5625" s="65"/>
    </row>
    <row r="5626" spans="11:12">
      <c r="K5626" s="65"/>
      <c r="L5626" s="65"/>
    </row>
    <row r="5627" spans="11:12">
      <c r="K5627" s="65"/>
      <c r="L5627" s="65"/>
    </row>
    <row r="5628" spans="11:12">
      <c r="K5628" s="65"/>
      <c r="L5628" s="65"/>
    </row>
    <row r="5629" spans="11:12">
      <c r="K5629" s="65"/>
      <c r="L5629" s="65"/>
    </row>
    <row r="5630" spans="11:12">
      <c r="K5630" s="65"/>
      <c r="L5630" s="65"/>
    </row>
    <row r="5631" spans="11:12">
      <c r="K5631" s="65"/>
      <c r="L5631" s="65"/>
    </row>
    <row r="5632" spans="11:12">
      <c r="K5632" s="65"/>
      <c r="L5632" s="65"/>
    </row>
    <row r="5633" spans="11:12">
      <c r="K5633" s="65"/>
      <c r="L5633" s="65"/>
    </row>
    <row r="5634" spans="11:12">
      <c r="K5634" s="65"/>
      <c r="L5634" s="65"/>
    </row>
    <row r="5635" spans="11:12">
      <c r="K5635" s="65"/>
      <c r="L5635" s="65"/>
    </row>
    <row r="5636" spans="11:12">
      <c r="K5636" s="65"/>
      <c r="L5636" s="65"/>
    </row>
    <row r="5637" spans="11:12">
      <c r="K5637" s="65"/>
      <c r="L5637" s="65"/>
    </row>
    <row r="5638" spans="11:12">
      <c r="K5638" s="65"/>
      <c r="L5638" s="65"/>
    </row>
    <row r="5639" spans="11:12">
      <c r="K5639" s="65"/>
      <c r="L5639" s="65"/>
    </row>
    <row r="5640" spans="11:12">
      <c r="K5640" s="65"/>
      <c r="L5640" s="65"/>
    </row>
    <row r="5641" spans="11:12">
      <c r="K5641" s="65"/>
      <c r="L5641" s="65"/>
    </row>
    <row r="5642" spans="11:12">
      <c r="K5642" s="65"/>
      <c r="L5642" s="65"/>
    </row>
    <row r="5643" spans="11:12">
      <c r="K5643" s="65"/>
      <c r="L5643" s="65"/>
    </row>
    <row r="5644" spans="11:12">
      <c r="K5644" s="65"/>
      <c r="L5644" s="65"/>
    </row>
    <row r="5645" spans="11:12">
      <c r="K5645" s="65"/>
      <c r="L5645" s="65"/>
    </row>
    <row r="5646" spans="11:12">
      <c r="K5646" s="65"/>
      <c r="L5646" s="65"/>
    </row>
    <row r="5647" spans="11:12">
      <c r="K5647" s="65"/>
      <c r="L5647" s="65"/>
    </row>
    <row r="5648" spans="11:12">
      <c r="K5648" s="65"/>
      <c r="L5648" s="65"/>
    </row>
    <row r="5649" spans="11:12">
      <c r="K5649" s="65"/>
      <c r="L5649" s="65"/>
    </row>
    <row r="5650" spans="11:12">
      <c r="K5650" s="65"/>
      <c r="L5650" s="65"/>
    </row>
    <row r="5651" spans="11:12">
      <c r="K5651" s="65"/>
      <c r="L5651" s="65"/>
    </row>
    <row r="5652" spans="11:12">
      <c r="K5652" s="65"/>
      <c r="L5652" s="65"/>
    </row>
    <row r="5653" spans="11:12">
      <c r="K5653" s="65"/>
      <c r="L5653" s="65"/>
    </row>
    <row r="5654" spans="11:12">
      <c r="K5654" s="65"/>
      <c r="L5654" s="65"/>
    </row>
    <row r="5655" spans="11:12">
      <c r="K5655" s="65"/>
      <c r="L5655" s="65"/>
    </row>
    <row r="5656" spans="11:12">
      <c r="K5656" s="65"/>
      <c r="L5656" s="65"/>
    </row>
    <row r="5657" spans="11:12">
      <c r="K5657" s="65"/>
      <c r="L5657" s="65"/>
    </row>
    <row r="5658" spans="11:12">
      <c r="K5658" s="65"/>
      <c r="L5658" s="65"/>
    </row>
    <row r="5659" spans="11:12">
      <c r="K5659" s="65"/>
      <c r="L5659" s="65"/>
    </row>
    <row r="5660" spans="11:12">
      <c r="K5660" s="65"/>
      <c r="L5660" s="65"/>
    </row>
    <row r="5661" spans="11:12">
      <c r="K5661" s="65"/>
      <c r="L5661" s="65"/>
    </row>
    <row r="5662" spans="11:12">
      <c r="K5662" s="65"/>
      <c r="L5662" s="65"/>
    </row>
    <row r="5663" spans="11:12">
      <c r="K5663" s="65"/>
      <c r="L5663" s="65"/>
    </row>
    <row r="5664" spans="11:12">
      <c r="K5664" s="65"/>
      <c r="L5664" s="65"/>
    </row>
    <row r="5665" spans="11:12">
      <c r="K5665" s="65"/>
      <c r="L5665" s="65"/>
    </row>
    <row r="5666" spans="11:12">
      <c r="K5666" s="65"/>
      <c r="L5666" s="65"/>
    </row>
    <row r="5667" spans="11:12">
      <c r="K5667" s="65"/>
      <c r="L5667" s="65"/>
    </row>
    <row r="5668" spans="11:12">
      <c r="K5668" s="65"/>
      <c r="L5668" s="65"/>
    </row>
    <row r="5669" spans="11:12">
      <c r="K5669" s="65"/>
      <c r="L5669" s="65"/>
    </row>
    <row r="5670" spans="11:12">
      <c r="K5670" s="65"/>
      <c r="L5670" s="65"/>
    </row>
    <row r="5671" spans="11:12">
      <c r="K5671" s="65"/>
      <c r="L5671" s="65"/>
    </row>
    <row r="5672" spans="11:12">
      <c r="K5672" s="65"/>
      <c r="L5672" s="65"/>
    </row>
    <row r="5673" spans="11:12">
      <c r="K5673" s="65"/>
      <c r="L5673" s="65"/>
    </row>
    <row r="5674" spans="11:12">
      <c r="K5674" s="65"/>
      <c r="L5674" s="65"/>
    </row>
    <row r="5675" spans="11:12">
      <c r="K5675" s="65"/>
      <c r="L5675" s="65"/>
    </row>
    <row r="5676" spans="11:12">
      <c r="K5676" s="65"/>
      <c r="L5676" s="65"/>
    </row>
    <row r="5677" spans="11:12">
      <c r="K5677" s="65"/>
      <c r="L5677" s="65"/>
    </row>
    <row r="5678" spans="11:12">
      <c r="K5678" s="65"/>
      <c r="L5678" s="65"/>
    </row>
    <row r="5679" spans="11:12">
      <c r="K5679" s="65"/>
      <c r="L5679" s="65"/>
    </row>
    <row r="5680" spans="11:12">
      <c r="K5680" s="65"/>
      <c r="L5680" s="65"/>
    </row>
    <row r="5681" spans="11:12">
      <c r="K5681" s="65"/>
      <c r="L5681" s="65"/>
    </row>
    <row r="5682" spans="11:12">
      <c r="K5682" s="65"/>
      <c r="L5682" s="65"/>
    </row>
    <row r="5683" spans="11:12">
      <c r="K5683" s="65"/>
      <c r="L5683" s="65"/>
    </row>
    <row r="5684" spans="11:12">
      <c r="K5684" s="65"/>
      <c r="L5684" s="65"/>
    </row>
    <row r="5685" spans="11:12">
      <c r="K5685" s="65"/>
      <c r="L5685" s="65"/>
    </row>
    <row r="5686" spans="11:12">
      <c r="K5686" s="65"/>
      <c r="L5686" s="65"/>
    </row>
    <row r="5687" spans="11:12">
      <c r="K5687" s="65"/>
      <c r="L5687" s="65"/>
    </row>
    <row r="5688" spans="11:12">
      <c r="K5688" s="65"/>
      <c r="L5688" s="65"/>
    </row>
    <row r="5689" spans="11:12">
      <c r="K5689" s="65"/>
      <c r="L5689" s="65"/>
    </row>
    <row r="5690" spans="11:12">
      <c r="K5690" s="65"/>
      <c r="L5690" s="65"/>
    </row>
    <row r="5691" spans="11:12">
      <c r="K5691" s="65"/>
      <c r="L5691" s="65"/>
    </row>
    <row r="5692" spans="11:12">
      <c r="K5692" s="65"/>
      <c r="L5692" s="65"/>
    </row>
    <row r="5693" spans="11:12">
      <c r="K5693" s="65"/>
      <c r="L5693" s="65"/>
    </row>
    <row r="5694" spans="11:12">
      <c r="K5694" s="65"/>
      <c r="L5694" s="65"/>
    </row>
    <row r="5695" spans="11:12">
      <c r="K5695" s="65"/>
      <c r="L5695" s="65"/>
    </row>
    <row r="5696" spans="11:12">
      <c r="K5696" s="65"/>
      <c r="L5696" s="65"/>
    </row>
    <row r="5697" spans="11:12">
      <c r="K5697" s="65"/>
      <c r="L5697" s="65"/>
    </row>
    <row r="5698" spans="11:12">
      <c r="K5698" s="65"/>
      <c r="L5698" s="65"/>
    </row>
    <row r="5699" spans="11:12">
      <c r="K5699" s="65"/>
      <c r="L5699" s="65"/>
    </row>
    <row r="5700" spans="11:12">
      <c r="K5700" s="65"/>
      <c r="L5700" s="65"/>
    </row>
    <row r="5701" spans="11:12">
      <c r="K5701" s="65"/>
      <c r="L5701" s="65"/>
    </row>
    <row r="5702" spans="11:12">
      <c r="K5702" s="65"/>
      <c r="L5702" s="65"/>
    </row>
    <row r="5703" spans="11:12">
      <c r="K5703" s="65"/>
      <c r="L5703" s="65"/>
    </row>
    <row r="5704" spans="11:12">
      <c r="K5704" s="65"/>
      <c r="L5704" s="65"/>
    </row>
    <row r="5705" spans="11:12">
      <c r="K5705" s="65"/>
      <c r="L5705" s="65"/>
    </row>
    <row r="5706" spans="11:12">
      <c r="K5706" s="65"/>
      <c r="L5706" s="65"/>
    </row>
    <row r="5707" spans="11:12">
      <c r="K5707" s="65"/>
      <c r="L5707" s="65"/>
    </row>
    <row r="5708" spans="11:12">
      <c r="K5708" s="65"/>
      <c r="L5708" s="65"/>
    </row>
    <row r="5709" spans="11:12">
      <c r="K5709" s="65"/>
      <c r="L5709" s="65"/>
    </row>
    <row r="5710" spans="11:12">
      <c r="K5710" s="65"/>
      <c r="L5710" s="65"/>
    </row>
    <row r="5711" spans="11:12">
      <c r="K5711" s="65"/>
      <c r="L5711" s="65"/>
    </row>
    <row r="5712" spans="11:12">
      <c r="K5712" s="65"/>
      <c r="L5712" s="65"/>
    </row>
    <row r="5713" spans="11:12">
      <c r="K5713" s="65"/>
      <c r="L5713" s="65"/>
    </row>
    <row r="5714" spans="11:12">
      <c r="K5714" s="65"/>
      <c r="L5714" s="65"/>
    </row>
    <row r="5715" spans="11:12">
      <c r="K5715" s="65"/>
      <c r="L5715" s="65"/>
    </row>
    <row r="5716" spans="11:12">
      <c r="K5716" s="65"/>
      <c r="L5716" s="65"/>
    </row>
    <row r="5717" spans="11:12">
      <c r="K5717" s="65"/>
      <c r="L5717" s="65"/>
    </row>
    <row r="5718" spans="11:12">
      <c r="K5718" s="65"/>
      <c r="L5718" s="65"/>
    </row>
    <row r="5719" spans="11:12">
      <c r="K5719" s="65"/>
      <c r="L5719" s="65"/>
    </row>
    <row r="5720" spans="11:12">
      <c r="K5720" s="65"/>
      <c r="L5720" s="65"/>
    </row>
    <row r="5721" spans="11:12">
      <c r="K5721" s="65"/>
      <c r="L5721" s="65"/>
    </row>
    <row r="5722" spans="11:12">
      <c r="K5722" s="65"/>
      <c r="L5722" s="65"/>
    </row>
    <row r="5723" spans="11:12">
      <c r="K5723" s="65"/>
      <c r="L5723" s="65"/>
    </row>
    <row r="5724" spans="11:12">
      <c r="K5724" s="65"/>
      <c r="L5724" s="65"/>
    </row>
    <row r="5725" spans="11:12">
      <c r="K5725" s="65"/>
      <c r="L5725" s="65"/>
    </row>
    <row r="5726" spans="11:12">
      <c r="K5726" s="65"/>
      <c r="L5726" s="65"/>
    </row>
    <row r="5727" spans="11:12">
      <c r="K5727" s="65"/>
      <c r="L5727" s="65"/>
    </row>
    <row r="5728" spans="11:12">
      <c r="K5728" s="65"/>
      <c r="L5728" s="65"/>
    </row>
    <row r="5729" spans="11:12">
      <c r="K5729" s="65"/>
      <c r="L5729" s="65"/>
    </row>
    <row r="5730" spans="11:12">
      <c r="K5730" s="65"/>
      <c r="L5730" s="65"/>
    </row>
    <row r="5731" spans="11:12">
      <c r="K5731" s="65"/>
      <c r="L5731" s="65"/>
    </row>
    <row r="5732" spans="11:12">
      <c r="K5732" s="65"/>
      <c r="L5732" s="65"/>
    </row>
    <row r="5733" spans="11:12">
      <c r="K5733" s="65"/>
      <c r="L5733" s="65"/>
    </row>
    <row r="5734" spans="11:12">
      <c r="K5734" s="65"/>
      <c r="L5734" s="65"/>
    </row>
    <row r="5735" spans="11:12">
      <c r="K5735" s="65"/>
      <c r="L5735" s="65"/>
    </row>
    <row r="5736" spans="11:12">
      <c r="K5736" s="65"/>
      <c r="L5736" s="65"/>
    </row>
    <row r="5737" spans="11:12">
      <c r="K5737" s="65"/>
      <c r="L5737" s="65"/>
    </row>
    <row r="5738" spans="11:12">
      <c r="K5738" s="65"/>
      <c r="L5738" s="65"/>
    </row>
    <row r="5739" spans="11:12">
      <c r="K5739" s="65"/>
      <c r="L5739" s="65"/>
    </row>
    <row r="5740" spans="11:12">
      <c r="K5740" s="65"/>
      <c r="L5740" s="65"/>
    </row>
    <row r="5741" spans="11:12">
      <c r="K5741" s="65"/>
      <c r="L5741" s="65"/>
    </row>
    <row r="5742" spans="11:12">
      <c r="K5742" s="65"/>
      <c r="L5742" s="65"/>
    </row>
    <row r="5743" spans="11:12">
      <c r="K5743" s="65"/>
      <c r="L5743" s="65"/>
    </row>
    <row r="5744" spans="11:12">
      <c r="K5744" s="65"/>
      <c r="L5744" s="65"/>
    </row>
    <row r="5745" spans="11:12">
      <c r="K5745" s="65"/>
      <c r="L5745" s="65"/>
    </row>
    <row r="5746" spans="11:12">
      <c r="K5746" s="65"/>
      <c r="L5746" s="65"/>
    </row>
    <row r="5747" spans="11:12">
      <c r="K5747" s="65"/>
      <c r="L5747" s="65"/>
    </row>
    <row r="5748" spans="11:12">
      <c r="K5748" s="65"/>
      <c r="L5748" s="65"/>
    </row>
    <row r="5749" spans="11:12">
      <c r="K5749" s="65"/>
      <c r="L5749" s="65"/>
    </row>
    <row r="5750" spans="11:12">
      <c r="K5750" s="65"/>
      <c r="L5750" s="65"/>
    </row>
    <row r="5751" spans="11:12">
      <c r="K5751" s="65"/>
      <c r="L5751" s="65"/>
    </row>
    <row r="5752" spans="11:12">
      <c r="K5752" s="65"/>
      <c r="L5752" s="65"/>
    </row>
    <row r="5753" spans="11:12">
      <c r="K5753" s="65"/>
      <c r="L5753" s="65"/>
    </row>
    <row r="5754" spans="11:12">
      <c r="K5754" s="65"/>
      <c r="L5754" s="65"/>
    </row>
    <row r="5755" spans="11:12">
      <c r="K5755" s="65"/>
      <c r="L5755" s="65"/>
    </row>
    <row r="5756" spans="11:12">
      <c r="K5756" s="65"/>
      <c r="L5756" s="65"/>
    </row>
    <row r="5757" spans="11:12">
      <c r="K5757" s="65"/>
      <c r="L5757" s="65"/>
    </row>
    <row r="5758" spans="11:12">
      <c r="K5758" s="65"/>
      <c r="L5758" s="65"/>
    </row>
    <row r="5759" spans="11:12">
      <c r="K5759" s="65"/>
      <c r="L5759" s="65"/>
    </row>
    <row r="5760" spans="11:12">
      <c r="K5760" s="65"/>
      <c r="L5760" s="65"/>
    </row>
    <row r="5761" spans="11:12">
      <c r="K5761" s="65"/>
      <c r="L5761" s="65"/>
    </row>
    <row r="5762" spans="11:12">
      <c r="K5762" s="65"/>
      <c r="L5762" s="65"/>
    </row>
    <row r="5763" spans="11:12">
      <c r="K5763" s="65"/>
      <c r="L5763" s="65"/>
    </row>
    <row r="5764" spans="11:12">
      <c r="K5764" s="65"/>
      <c r="L5764" s="65"/>
    </row>
    <row r="5765" spans="11:12">
      <c r="K5765" s="65"/>
      <c r="L5765" s="65"/>
    </row>
    <row r="5766" spans="11:12">
      <c r="K5766" s="65"/>
      <c r="L5766" s="65"/>
    </row>
    <row r="5767" spans="11:12">
      <c r="K5767" s="65"/>
      <c r="L5767" s="65"/>
    </row>
    <row r="5768" spans="11:12">
      <c r="K5768" s="65"/>
      <c r="L5768" s="65"/>
    </row>
    <row r="5769" spans="11:12">
      <c r="K5769" s="65"/>
      <c r="L5769" s="65"/>
    </row>
    <row r="5770" spans="11:12">
      <c r="K5770" s="65"/>
      <c r="L5770" s="65"/>
    </row>
    <row r="5771" spans="11:12">
      <c r="K5771" s="65"/>
      <c r="L5771" s="65"/>
    </row>
    <row r="5772" spans="11:12">
      <c r="K5772" s="65"/>
      <c r="L5772" s="65"/>
    </row>
    <row r="5773" spans="11:12">
      <c r="K5773" s="65"/>
      <c r="L5773" s="65"/>
    </row>
    <row r="5774" spans="11:12">
      <c r="K5774" s="65"/>
      <c r="L5774" s="65"/>
    </row>
    <row r="5775" spans="11:12">
      <c r="K5775" s="65"/>
      <c r="L5775" s="65"/>
    </row>
    <row r="5776" spans="11:12">
      <c r="K5776" s="65"/>
      <c r="L5776" s="65"/>
    </row>
    <row r="5777" spans="11:12">
      <c r="K5777" s="65"/>
      <c r="L5777" s="65"/>
    </row>
    <row r="5778" spans="11:12">
      <c r="K5778" s="65"/>
      <c r="L5778" s="65"/>
    </row>
    <row r="5779" spans="11:12">
      <c r="K5779" s="65"/>
      <c r="L5779" s="65"/>
    </row>
    <row r="5780" spans="11:12">
      <c r="K5780" s="65"/>
      <c r="L5780" s="65"/>
    </row>
    <row r="5781" spans="11:12">
      <c r="K5781" s="65"/>
      <c r="L5781" s="65"/>
    </row>
    <row r="5782" spans="11:12">
      <c r="K5782" s="65"/>
      <c r="L5782" s="65"/>
    </row>
    <row r="5783" spans="11:12">
      <c r="K5783" s="65"/>
      <c r="L5783" s="65"/>
    </row>
    <row r="5784" spans="11:12">
      <c r="K5784" s="65"/>
      <c r="L5784" s="65"/>
    </row>
    <row r="5785" spans="11:12">
      <c r="K5785" s="65"/>
      <c r="L5785" s="65"/>
    </row>
    <row r="5786" spans="11:12">
      <c r="K5786" s="65"/>
      <c r="L5786" s="65"/>
    </row>
    <row r="5787" spans="11:12">
      <c r="K5787" s="65"/>
      <c r="L5787" s="65"/>
    </row>
    <row r="5788" spans="11:12">
      <c r="K5788" s="65"/>
      <c r="L5788" s="65"/>
    </row>
    <row r="5789" spans="11:12">
      <c r="K5789" s="65"/>
      <c r="L5789" s="65"/>
    </row>
    <row r="5790" spans="11:12">
      <c r="K5790" s="65"/>
      <c r="L5790" s="65"/>
    </row>
    <row r="5791" spans="11:12">
      <c r="K5791" s="65"/>
      <c r="L5791" s="65"/>
    </row>
    <row r="5792" spans="11:12">
      <c r="K5792" s="65"/>
      <c r="L5792" s="65"/>
    </row>
    <row r="5793" spans="11:12">
      <c r="K5793" s="65"/>
      <c r="L5793" s="65"/>
    </row>
    <row r="5794" spans="11:12">
      <c r="K5794" s="65"/>
      <c r="L5794" s="65"/>
    </row>
    <row r="5795" spans="11:12">
      <c r="K5795" s="65"/>
      <c r="L5795" s="65"/>
    </row>
    <row r="5796" spans="11:12">
      <c r="K5796" s="65"/>
      <c r="L5796" s="65"/>
    </row>
    <row r="5797" spans="11:12">
      <c r="K5797" s="65"/>
      <c r="L5797" s="65"/>
    </row>
    <row r="5798" spans="11:12">
      <c r="K5798" s="65"/>
      <c r="L5798" s="65"/>
    </row>
    <row r="5799" spans="11:12">
      <c r="K5799" s="65"/>
      <c r="L5799" s="65"/>
    </row>
    <row r="5800" spans="11:12">
      <c r="K5800" s="65"/>
      <c r="L5800" s="65"/>
    </row>
    <row r="5801" spans="11:12">
      <c r="K5801" s="65"/>
      <c r="L5801" s="65"/>
    </row>
    <row r="5802" spans="11:12">
      <c r="K5802" s="65"/>
      <c r="L5802" s="65"/>
    </row>
    <row r="5803" spans="11:12">
      <c r="K5803" s="65"/>
      <c r="L5803" s="65"/>
    </row>
    <row r="5804" spans="11:12">
      <c r="K5804" s="65"/>
      <c r="L5804" s="65"/>
    </row>
    <row r="5805" spans="11:12">
      <c r="K5805" s="65"/>
      <c r="L5805" s="65"/>
    </row>
    <row r="5806" spans="11:12">
      <c r="K5806" s="65"/>
      <c r="L5806" s="65"/>
    </row>
    <row r="5807" spans="11:12">
      <c r="K5807" s="65"/>
      <c r="L5807" s="65"/>
    </row>
    <row r="5808" spans="11:12">
      <c r="K5808" s="65"/>
      <c r="L5808" s="65"/>
    </row>
    <row r="5809" spans="11:12">
      <c r="K5809" s="65"/>
      <c r="L5809" s="65"/>
    </row>
    <row r="5810" spans="11:12">
      <c r="K5810" s="65"/>
      <c r="L5810" s="65"/>
    </row>
    <row r="5811" spans="11:12">
      <c r="K5811" s="65"/>
      <c r="L5811" s="65"/>
    </row>
    <row r="5812" spans="11:12">
      <c r="K5812" s="65"/>
      <c r="L5812" s="65"/>
    </row>
    <row r="5813" spans="11:12">
      <c r="K5813" s="65"/>
      <c r="L5813" s="65"/>
    </row>
    <row r="5814" spans="11:12">
      <c r="K5814" s="65"/>
      <c r="L5814" s="65"/>
    </row>
    <row r="5815" spans="11:12">
      <c r="K5815" s="65"/>
      <c r="L5815" s="65"/>
    </row>
    <row r="5816" spans="11:12">
      <c r="K5816" s="65"/>
      <c r="L5816" s="65"/>
    </row>
    <row r="5817" spans="11:12">
      <c r="K5817" s="65"/>
      <c r="L5817" s="65"/>
    </row>
    <row r="5818" spans="11:12">
      <c r="K5818" s="65"/>
      <c r="L5818" s="65"/>
    </row>
    <row r="5819" spans="11:12">
      <c r="K5819" s="65"/>
      <c r="L5819" s="65"/>
    </row>
    <row r="5820" spans="11:12">
      <c r="K5820" s="65"/>
      <c r="L5820" s="65"/>
    </row>
    <row r="5821" spans="11:12">
      <c r="K5821" s="65"/>
      <c r="L5821" s="65"/>
    </row>
    <row r="5822" spans="11:12">
      <c r="K5822" s="65"/>
      <c r="L5822" s="65"/>
    </row>
    <row r="5823" spans="11:12">
      <c r="K5823" s="65"/>
      <c r="L5823" s="65"/>
    </row>
    <row r="5824" spans="11:12">
      <c r="K5824" s="65"/>
      <c r="L5824" s="65"/>
    </row>
    <row r="5825" spans="11:12">
      <c r="K5825" s="65"/>
      <c r="L5825" s="65"/>
    </row>
    <row r="5826" spans="11:12">
      <c r="K5826" s="65"/>
      <c r="L5826" s="65"/>
    </row>
    <row r="5827" spans="11:12">
      <c r="K5827" s="65"/>
      <c r="L5827" s="65"/>
    </row>
    <row r="5828" spans="11:12">
      <c r="K5828" s="65"/>
      <c r="L5828" s="65"/>
    </row>
    <row r="5829" spans="11:12">
      <c r="K5829" s="65"/>
      <c r="L5829" s="65"/>
    </row>
    <row r="5830" spans="11:12">
      <c r="K5830" s="65"/>
      <c r="L5830" s="65"/>
    </row>
    <row r="5831" spans="11:12">
      <c r="K5831" s="65"/>
      <c r="L5831" s="65"/>
    </row>
    <row r="5832" spans="11:12">
      <c r="K5832" s="65"/>
      <c r="L5832" s="65"/>
    </row>
    <row r="5833" spans="11:12">
      <c r="K5833" s="65"/>
      <c r="L5833" s="65"/>
    </row>
    <row r="5834" spans="11:12">
      <c r="K5834" s="65"/>
      <c r="L5834" s="65"/>
    </row>
    <row r="5835" spans="11:12">
      <c r="K5835" s="65"/>
      <c r="L5835" s="65"/>
    </row>
    <row r="5836" spans="11:12">
      <c r="K5836" s="65"/>
      <c r="L5836" s="65"/>
    </row>
    <row r="5837" spans="11:12">
      <c r="K5837" s="65"/>
      <c r="L5837" s="65"/>
    </row>
    <row r="5838" spans="11:12">
      <c r="K5838" s="65"/>
      <c r="L5838" s="65"/>
    </row>
    <row r="5839" spans="11:12">
      <c r="K5839" s="65"/>
      <c r="L5839" s="65"/>
    </row>
    <row r="5840" spans="11:12">
      <c r="K5840" s="65"/>
      <c r="L5840" s="65"/>
    </row>
    <row r="5841" spans="11:12">
      <c r="K5841" s="65"/>
      <c r="L5841" s="65"/>
    </row>
    <row r="5842" spans="11:12">
      <c r="K5842" s="65"/>
      <c r="L5842" s="65"/>
    </row>
    <row r="5843" spans="11:12">
      <c r="K5843" s="65"/>
      <c r="L5843" s="65"/>
    </row>
    <row r="5844" spans="11:12">
      <c r="K5844" s="65"/>
      <c r="L5844" s="65"/>
    </row>
    <row r="5845" spans="11:12">
      <c r="K5845" s="65"/>
      <c r="L5845" s="65"/>
    </row>
    <row r="5846" spans="11:12">
      <c r="K5846" s="65"/>
      <c r="L5846" s="65"/>
    </row>
    <row r="5847" spans="11:12">
      <c r="K5847" s="65"/>
      <c r="L5847" s="65"/>
    </row>
    <row r="5848" spans="11:12">
      <c r="K5848" s="65"/>
      <c r="L5848" s="65"/>
    </row>
    <row r="5849" spans="11:12">
      <c r="K5849" s="65"/>
      <c r="L5849" s="65"/>
    </row>
    <row r="5850" spans="11:12">
      <c r="K5850" s="65"/>
      <c r="L5850" s="65"/>
    </row>
    <row r="5851" spans="11:12">
      <c r="K5851" s="65"/>
      <c r="L5851" s="65"/>
    </row>
    <row r="5852" spans="11:12">
      <c r="K5852" s="65"/>
      <c r="L5852" s="65"/>
    </row>
    <row r="5853" spans="11:12">
      <c r="K5853" s="65"/>
      <c r="L5853" s="65"/>
    </row>
    <row r="5854" spans="11:12">
      <c r="K5854" s="65"/>
      <c r="L5854" s="65"/>
    </row>
    <row r="5855" spans="11:12">
      <c r="K5855" s="65"/>
      <c r="L5855" s="65"/>
    </row>
    <row r="5856" spans="11:12">
      <c r="K5856" s="65"/>
      <c r="L5856" s="65"/>
    </row>
    <row r="5857" spans="11:12">
      <c r="K5857" s="65"/>
      <c r="L5857" s="65"/>
    </row>
    <row r="5858" spans="11:12">
      <c r="K5858" s="65"/>
      <c r="L5858" s="65"/>
    </row>
    <row r="5859" spans="11:12">
      <c r="K5859" s="65"/>
      <c r="L5859" s="65"/>
    </row>
    <row r="5860" spans="11:12">
      <c r="K5860" s="65"/>
      <c r="L5860" s="65"/>
    </row>
    <row r="5861" spans="11:12">
      <c r="K5861" s="65"/>
      <c r="L5861" s="65"/>
    </row>
    <row r="5862" spans="11:12">
      <c r="K5862" s="65"/>
      <c r="L5862" s="65"/>
    </row>
    <row r="5863" spans="11:12">
      <c r="K5863" s="65"/>
      <c r="L5863" s="65"/>
    </row>
    <row r="5864" spans="11:12">
      <c r="K5864" s="65"/>
      <c r="L5864" s="65"/>
    </row>
    <row r="5865" spans="11:12">
      <c r="K5865" s="65"/>
      <c r="L5865" s="65"/>
    </row>
    <row r="5866" spans="11:12">
      <c r="K5866" s="65"/>
      <c r="L5866" s="65"/>
    </row>
    <row r="5867" spans="11:12">
      <c r="K5867" s="65"/>
      <c r="L5867" s="65"/>
    </row>
    <row r="5868" spans="11:12">
      <c r="K5868" s="65"/>
      <c r="L5868" s="65"/>
    </row>
    <row r="5869" spans="11:12">
      <c r="K5869" s="65"/>
      <c r="L5869" s="65"/>
    </row>
    <row r="5870" spans="11:12">
      <c r="K5870" s="65"/>
      <c r="L5870" s="65"/>
    </row>
    <row r="5871" spans="11:12">
      <c r="K5871" s="65"/>
      <c r="L5871" s="65"/>
    </row>
    <row r="5872" spans="11:12">
      <c r="K5872" s="65"/>
      <c r="L5872" s="65"/>
    </row>
    <row r="5873" spans="11:12">
      <c r="K5873" s="65"/>
      <c r="L5873" s="65"/>
    </row>
    <row r="5874" spans="11:12">
      <c r="K5874" s="65"/>
      <c r="L5874" s="65"/>
    </row>
    <row r="5875" spans="11:12">
      <c r="K5875" s="65"/>
      <c r="L5875" s="65"/>
    </row>
    <row r="5876" spans="11:12">
      <c r="K5876" s="65"/>
      <c r="L5876" s="65"/>
    </row>
    <row r="5877" spans="11:12">
      <c r="K5877" s="65"/>
      <c r="L5877" s="65"/>
    </row>
    <row r="5878" spans="11:12">
      <c r="K5878" s="65"/>
      <c r="L5878" s="65"/>
    </row>
    <row r="5879" spans="11:12">
      <c r="K5879" s="65"/>
      <c r="L5879" s="65"/>
    </row>
    <row r="5880" spans="11:12">
      <c r="K5880" s="65"/>
      <c r="L5880" s="65"/>
    </row>
    <row r="5881" spans="11:12">
      <c r="K5881" s="65"/>
      <c r="L5881" s="65"/>
    </row>
    <row r="5882" spans="11:12">
      <c r="K5882" s="65"/>
      <c r="L5882" s="65"/>
    </row>
    <row r="5883" spans="11:12">
      <c r="K5883" s="65"/>
      <c r="L5883" s="65"/>
    </row>
    <row r="5884" spans="11:12">
      <c r="K5884" s="65"/>
      <c r="L5884" s="65"/>
    </row>
    <row r="5885" spans="11:12">
      <c r="K5885" s="65"/>
      <c r="L5885" s="65"/>
    </row>
    <row r="5886" spans="11:12">
      <c r="K5886" s="65"/>
      <c r="L5886" s="65"/>
    </row>
    <row r="5887" spans="11:12">
      <c r="K5887" s="65"/>
      <c r="L5887" s="65"/>
    </row>
    <row r="5888" spans="11:12">
      <c r="K5888" s="65"/>
      <c r="L5888" s="65"/>
    </row>
    <row r="5889" spans="11:12">
      <c r="K5889" s="65"/>
      <c r="L5889" s="65"/>
    </row>
    <row r="5890" spans="11:12">
      <c r="K5890" s="65"/>
      <c r="L5890" s="65"/>
    </row>
    <row r="5891" spans="11:12">
      <c r="K5891" s="65"/>
      <c r="L5891" s="65"/>
    </row>
    <row r="5892" spans="11:12">
      <c r="K5892" s="65"/>
      <c r="L5892" s="65"/>
    </row>
    <row r="5893" spans="11:12">
      <c r="K5893" s="65"/>
      <c r="L5893" s="65"/>
    </row>
    <row r="5894" spans="11:12">
      <c r="K5894" s="65"/>
      <c r="L5894" s="65"/>
    </row>
    <row r="5895" spans="11:12">
      <c r="K5895" s="65"/>
      <c r="L5895" s="65"/>
    </row>
    <row r="5896" spans="11:12">
      <c r="K5896" s="65"/>
      <c r="L5896" s="65"/>
    </row>
    <row r="5897" spans="11:12">
      <c r="K5897" s="65"/>
      <c r="L5897" s="65"/>
    </row>
    <row r="5898" spans="11:12">
      <c r="K5898" s="65"/>
      <c r="L5898" s="65"/>
    </row>
    <row r="5899" spans="11:12">
      <c r="K5899" s="65"/>
      <c r="L5899" s="65"/>
    </row>
    <row r="5900" spans="11:12">
      <c r="K5900" s="65"/>
      <c r="L5900" s="65"/>
    </row>
    <row r="5901" spans="11:12">
      <c r="K5901" s="65"/>
      <c r="L5901" s="65"/>
    </row>
    <row r="5902" spans="11:12">
      <c r="K5902" s="65"/>
      <c r="L5902" s="65"/>
    </row>
    <row r="5903" spans="11:12">
      <c r="K5903" s="65"/>
      <c r="L5903" s="65"/>
    </row>
    <row r="5904" spans="11:12">
      <c r="K5904" s="65"/>
      <c r="L5904" s="65"/>
    </row>
    <row r="5905" spans="11:12">
      <c r="K5905" s="65"/>
      <c r="L5905" s="65"/>
    </row>
    <row r="5906" spans="11:12">
      <c r="K5906" s="65"/>
      <c r="L5906" s="65"/>
    </row>
    <row r="5907" spans="11:12">
      <c r="K5907" s="65"/>
      <c r="L5907" s="65"/>
    </row>
    <row r="5908" spans="11:12">
      <c r="K5908" s="65"/>
      <c r="L5908" s="65"/>
    </row>
    <row r="5909" spans="11:12">
      <c r="K5909" s="65"/>
      <c r="L5909" s="65"/>
    </row>
    <row r="5910" spans="11:12">
      <c r="K5910" s="65"/>
      <c r="L5910" s="65"/>
    </row>
    <row r="5911" spans="11:12">
      <c r="K5911" s="65"/>
      <c r="L5911" s="65"/>
    </row>
    <row r="5912" spans="11:12">
      <c r="K5912" s="65"/>
      <c r="L5912" s="65"/>
    </row>
    <row r="5913" spans="11:12">
      <c r="K5913" s="65"/>
      <c r="L5913" s="65"/>
    </row>
    <row r="5914" spans="11:12">
      <c r="K5914" s="65"/>
      <c r="L5914" s="65"/>
    </row>
    <row r="5915" spans="11:12">
      <c r="K5915" s="65"/>
      <c r="L5915" s="65"/>
    </row>
    <row r="5916" spans="11:12">
      <c r="K5916" s="65"/>
      <c r="L5916" s="65"/>
    </row>
    <row r="5917" spans="11:12">
      <c r="K5917" s="65"/>
      <c r="L5917" s="65"/>
    </row>
    <row r="5918" spans="11:12">
      <c r="K5918" s="65"/>
      <c r="L5918" s="65"/>
    </row>
    <row r="5919" spans="11:12">
      <c r="K5919" s="65"/>
      <c r="L5919" s="65"/>
    </row>
    <row r="5920" spans="11:12">
      <c r="K5920" s="65"/>
      <c r="L5920" s="65"/>
    </row>
    <row r="5921" spans="11:12">
      <c r="K5921" s="65"/>
      <c r="L5921" s="65"/>
    </row>
    <row r="5922" spans="11:12">
      <c r="K5922" s="65"/>
      <c r="L5922" s="65"/>
    </row>
    <row r="5923" spans="11:12">
      <c r="K5923" s="65"/>
      <c r="L5923" s="65"/>
    </row>
    <row r="5924" spans="11:12">
      <c r="K5924" s="65"/>
      <c r="L5924" s="65"/>
    </row>
    <row r="5925" spans="11:12">
      <c r="K5925" s="65"/>
      <c r="L5925" s="65"/>
    </row>
    <row r="5926" spans="11:12">
      <c r="K5926" s="65"/>
      <c r="L5926" s="65"/>
    </row>
    <row r="5927" spans="11:12">
      <c r="K5927" s="65"/>
      <c r="L5927" s="65"/>
    </row>
    <row r="5928" spans="11:12">
      <c r="K5928" s="65"/>
      <c r="L5928" s="65"/>
    </row>
    <row r="5929" spans="11:12">
      <c r="K5929" s="65"/>
      <c r="L5929" s="65"/>
    </row>
    <row r="5930" spans="11:12">
      <c r="K5930" s="65"/>
      <c r="L5930" s="65"/>
    </row>
    <row r="5931" spans="11:12">
      <c r="K5931" s="65"/>
      <c r="L5931" s="65"/>
    </row>
    <row r="5932" spans="11:12">
      <c r="K5932" s="65"/>
      <c r="L5932" s="65"/>
    </row>
    <row r="5933" spans="11:12">
      <c r="K5933" s="65"/>
      <c r="L5933" s="65"/>
    </row>
    <row r="5934" spans="11:12">
      <c r="K5934" s="65"/>
      <c r="L5934" s="65"/>
    </row>
    <row r="5935" spans="11:12">
      <c r="K5935" s="65"/>
      <c r="L5935" s="65"/>
    </row>
    <row r="5936" spans="11:12">
      <c r="K5936" s="65"/>
      <c r="L5936" s="65"/>
    </row>
    <row r="5937" spans="11:12">
      <c r="K5937" s="65"/>
      <c r="L5937" s="65"/>
    </row>
    <row r="5938" spans="11:12">
      <c r="K5938" s="65"/>
      <c r="L5938" s="65"/>
    </row>
    <row r="5939" spans="11:12">
      <c r="K5939" s="65"/>
      <c r="L5939" s="65"/>
    </row>
    <row r="5940" spans="11:12">
      <c r="K5940" s="65"/>
      <c r="L5940" s="65"/>
    </row>
    <row r="5941" spans="11:12">
      <c r="K5941" s="65"/>
      <c r="L5941" s="65"/>
    </row>
    <row r="5942" spans="11:12">
      <c r="K5942" s="65"/>
      <c r="L5942" s="65"/>
    </row>
    <row r="5943" spans="11:12">
      <c r="K5943" s="65"/>
      <c r="L5943" s="65"/>
    </row>
    <row r="5944" spans="11:12">
      <c r="K5944" s="65"/>
      <c r="L5944" s="65"/>
    </row>
    <row r="5945" spans="11:12">
      <c r="K5945" s="65"/>
      <c r="L5945" s="65"/>
    </row>
    <row r="5946" spans="11:12">
      <c r="K5946" s="65"/>
      <c r="L5946" s="65"/>
    </row>
    <row r="5947" spans="11:12">
      <c r="K5947" s="65"/>
      <c r="L5947" s="65"/>
    </row>
    <row r="5948" spans="11:12">
      <c r="K5948" s="65"/>
      <c r="L5948" s="65"/>
    </row>
    <row r="5949" spans="11:12">
      <c r="K5949" s="65"/>
      <c r="L5949" s="65"/>
    </row>
    <row r="5950" spans="11:12">
      <c r="K5950" s="65"/>
      <c r="L5950" s="65"/>
    </row>
    <row r="5951" spans="11:12">
      <c r="K5951" s="65"/>
      <c r="L5951" s="65"/>
    </row>
    <row r="5952" spans="11:12">
      <c r="K5952" s="65"/>
      <c r="L5952" s="65"/>
    </row>
    <row r="5953" spans="11:12">
      <c r="K5953" s="65"/>
      <c r="L5953" s="65"/>
    </row>
    <row r="5954" spans="11:12">
      <c r="K5954" s="65"/>
      <c r="L5954" s="65"/>
    </row>
    <row r="5955" spans="11:12">
      <c r="K5955" s="65"/>
      <c r="L5955" s="65"/>
    </row>
    <row r="5956" spans="11:12">
      <c r="K5956" s="65"/>
      <c r="L5956" s="65"/>
    </row>
    <row r="5957" spans="11:12">
      <c r="K5957" s="65"/>
      <c r="L5957" s="65"/>
    </row>
    <row r="5958" spans="11:12">
      <c r="K5958" s="65"/>
      <c r="L5958" s="65"/>
    </row>
    <row r="5959" spans="11:12">
      <c r="K5959" s="65"/>
      <c r="L5959" s="65"/>
    </row>
    <row r="5960" spans="11:12">
      <c r="K5960" s="65"/>
      <c r="L5960" s="65"/>
    </row>
    <row r="5961" spans="11:12">
      <c r="K5961" s="65"/>
      <c r="L5961" s="65"/>
    </row>
    <row r="5962" spans="11:12">
      <c r="K5962" s="65"/>
      <c r="L5962" s="65"/>
    </row>
    <row r="5963" spans="11:12">
      <c r="K5963" s="65"/>
      <c r="L5963" s="65"/>
    </row>
    <row r="5964" spans="11:12">
      <c r="K5964" s="65"/>
      <c r="L5964" s="65"/>
    </row>
    <row r="5965" spans="11:12">
      <c r="K5965" s="65"/>
      <c r="L5965" s="65"/>
    </row>
    <row r="5966" spans="11:12">
      <c r="K5966" s="65"/>
      <c r="L5966" s="65"/>
    </row>
    <row r="5967" spans="11:12">
      <c r="K5967" s="65"/>
      <c r="L5967" s="65"/>
    </row>
    <row r="5968" spans="11:12">
      <c r="K5968" s="65"/>
      <c r="L5968" s="65"/>
    </row>
    <row r="5969" spans="11:12">
      <c r="K5969" s="65"/>
      <c r="L5969" s="65"/>
    </row>
    <row r="5970" spans="11:12">
      <c r="K5970" s="65"/>
      <c r="L5970" s="65"/>
    </row>
    <row r="5971" spans="11:12">
      <c r="K5971" s="65"/>
      <c r="L5971" s="65"/>
    </row>
    <row r="5972" spans="11:12">
      <c r="K5972" s="65"/>
      <c r="L5972" s="65"/>
    </row>
    <row r="5973" spans="11:12">
      <c r="K5973" s="65"/>
      <c r="L5973" s="65"/>
    </row>
    <row r="5974" spans="11:12">
      <c r="K5974" s="65"/>
      <c r="L5974" s="65"/>
    </row>
    <row r="5975" spans="11:12">
      <c r="K5975" s="65"/>
      <c r="L5975" s="65"/>
    </row>
    <row r="5976" spans="11:12">
      <c r="K5976" s="65"/>
      <c r="L5976" s="65"/>
    </row>
    <row r="5977" spans="11:12">
      <c r="K5977" s="65"/>
      <c r="L5977" s="65"/>
    </row>
    <row r="5978" spans="11:12">
      <c r="K5978" s="65"/>
      <c r="L5978" s="65"/>
    </row>
    <row r="5979" spans="11:12">
      <c r="K5979" s="65"/>
      <c r="L5979" s="65"/>
    </row>
    <row r="5980" spans="11:12">
      <c r="K5980" s="65"/>
      <c r="L5980" s="65"/>
    </row>
    <row r="5981" spans="11:12">
      <c r="K5981" s="65"/>
      <c r="L5981" s="65"/>
    </row>
    <row r="5982" spans="11:12">
      <c r="K5982" s="65"/>
      <c r="L5982" s="65"/>
    </row>
    <row r="5983" spans="11:12">
      <c r="K5983" s="65"/>
      <c r="L5983" s="65"/>
    </row>
    <row r="5984" spans="11:12">
      <c r="K5984" s="65"/>
      <c r="L5984" s="65"/>
    </row>
    <row r="5985" spans="11:12">
      <c r="K5985" s="65"/>
      <c r="L5985" s="65"/>
    </row>
    <row r="5986" spans="11:12">
      <c r="K5986" s="65"/>
      <c r="L5986" s="65"/>
    </row>
    <row r="5987" spans="11:12">
      <c r="K5987" s="65"/>
      <c r="L5987" s="65"/>
    </row>
    <row r="5988" spans="11:12">
      <c r="K5988" s="65"/>
      <c r="L5988" s="65"/>
    </row>
    <row r="5989" spans="11:12">
      <c r="K5989" s="65"/>
      <c r="L5989" s="65"/>
    </row>
    <row r="5990" spans="11:12">
      <c r="K5990" s="65"/>
      <c r="L5990" s="65"/>
    </row>
    <row r="5991" spans="11:12">
      <c r="K5991" s="65"/>
      <c r="L5991" s="65"/>
    </row>
    <row r="5992" spans="11:12">
      <c r="K5992" s="65"/>
      <c r="L5992" s="65"/>
    </row>
    <row r="5993" spans="11:12">
      <c r="K5993" s="65"/>
      <c r="L5993" s="65"/>
    </row>
    <row r="5994" spans="11:12">
      <c r="K5994" s="65"/>
      <c r="L5994" s="65"/>
    </row>
    <row r="5995" spans="11:12">
      <c r="K5995" s="65"/>
      <c r="L5995" s="65"/>
    </row>
    <row r="5996" spans="11:12">
      <c r="K5996" s="65"/>
      <c r="L5996" s="65"/>
    </row>
    <row r="5997" spans="11:12">
      <c r="K5997" s="65"/>
      <c r="L5997" s="65"/>
    </row>
    <row r="5998" spans="11:12">
      <c r="K5998" s="65"/>
      <c r="L5998" s="65"/>
    </row>
    <row r="5999" spans="11:12">
      <c r="K5999" s="65"/>
      <c r="L5999" s="65"/>
    </row>
    <row r="6000" spans="11:12">
      <c r="K6000" s="65"/>
      <c r="L6000" s="65"/>
    </row>
    <row r="6001" spans="11:12">
      <c r="K6001" s="65"/>
      <c r="L6001" s="65"/>
    </row>
    <row r="6002" spans="11:12">
      <c r="K6002" s="65"/>
      <c r="L6002" s="65"/>
    </row>
    <row r="6003" spans="11:12">
      <c r="K6003" s="65"/>
      <c r="L6003" s="65"/>
    </row>
    <row r="6004" spans="11:12">
      <c r="K6004" s="65"/>
      <c r="L6004" s="65"/>
    </row>
    <row r="6005" spans="11:12">
      <c r="K6005" s="65"/>
      <c r="L6005" s="65"/>
    </row>
    <row r="6006" spans="11:12">
      <c r="K6006" s="65"/>
      <c r="L6006" s="65"/>
    </row>
    <row r="6007" spans="11:12">
      <c r="K6007" s="65"/>
      <c r="L6007" s="65"/>
    </row>
    <row r="6008" spans="11:12">
      <c r="K6008" s="65"/>
      <c r="L6008" s="65"/>
    </row>
    <row r="6009" spans="11:12">
      <c r="K6009" s="65"/>
      <c r="L6009" s="65"/>
    </row>
    <row r="6010" spans="11:12">
      <c r="K6010" s="65"/>
      <c r="L6010" s="65"/>
    </row>
    <row r="6011" spans="11:12">
      <c r="K6011" s="65"/>
      <c r="L6011" s="65"/>
    </row>
    <row r="6012" spans="11:12">
      <c r="K6012" s="65"/>
      <c r="L6012" s="65"/>
    </row>
    <row r="6013" spans="11:12">
      <c r="K6013" s="65"/>
      <c r="L6013" s="65"/>
    </row>
    <row r="6014" spans="11:12">
      <c r="K6014" s="65"/>
      <c r="L6014" s="65"/>
    </row>
    <row r="6015" spans="11:12">
      <c r="K6015" s="65"/>
      <c r="L6015" s="65"/>
    </row>
    <row r="6016" spans="11:12">
      <c r="K6016" s="65"/>
      <c r="L6016" s="65"/>
    </row>
    <row r="6017" spans="11:12">
      <c r="K6017" s="65"/>
      <c r="L6017" s="65"/>
    </row>
    <row r="6018" spans="11:12">
      <c r="K6018" s="65"/>
      <c r="L6018" s="65"/>
    </row>
    <row r="6019" spans="11:12">
      <c r="K6019" s="65"/>
      <c r="L6019" s="65"/>
    </row>
    <row r="6020" spans="11:12">
      <c r="K6020" s="65"/>
      <c r="L6020" s="65"/>
    </row>
    <row r="6021" spans="11:12">
      <c r="K6021" s="65"/>
      <c r="L6021" s="65"/>
    </row>
    <row r="6022" spans="11:12">
      <c r="K6022" s="65"/>
      <c r="L6022" s="65"/>
    </row>
    <row r="6023" spans="11:12">
      <c r="K6023" s="65"/>
      <c r="L6023" s="65"/>
    </row>
    <row r="6024" spans="11:12">
      <c r="K6024" s="65"/>
      <c r="L6024" s="65"/>
    </row>
    <row r="6025" spans="11:12">
      <c r="K6025" s="65"/>
      <c r="L6025" s="65"/>
    </row>
    <row r="6026" spans="11:12">
      <c r="K6026" s="65"/>
      <c r="L6026" s="65"/>
    </row>
    <row r="6027" spans="11:12">
      <c r="K6027" s="65"/>
      <c r="L6027" s="65"/>
    </row>
    <row r="6028" spans="11:12">
      <c r="K6028" s="65"/>
      <c r="L6028" s="65"/>
    </row>
    <row r="6029" spans="11:12">
      <c r="K6029" s="65"/>
      <c r="L6029" s="65"/>
    </row>
    <row r="6030" spans="11:12">
      <c r="K6030" s="65"/>
      <c r="L6030" s="65"/>
    </row>
    <row r="6031" spans="11:12">
      <c r="K6031" s="65"/>
      <c r="L6031" s="65"/>
    </row>
    <row r="6032" spans="11:12">
      <c r="K6032" s="65"/>
      <c r="L6032" s="65"/>
    </row>
    <row r="6033" spans="11:12">
      <c r="K6033" s="65"/>
      <c r="L6033" s="65"/>
    </row>
    <row r="6034" spans="11:12">
      <c r="K6034" s="65"/>
      <c r="L6034" s="65"/>
    </row>
    <row r="6035" spans="11:12">
      <c r="K6035" s="65"/>
      <c r="L6035" s="65"/>
    </row>
    <row r="6036" spans="11:12">
      <c r="K6036" s="65"/>
      <c r="L6036" s="65"/>
    </row>
    <row r="6037" spans="11:12">
      <c r="K6037" s="65"/>
      <c r="L6037" s="65"/>
    </row>
    <row r="6038" spans="11:12">
      <c r="K6038" s="65"/>
      <c r="L6038" s="65"/>
    </row>
    <row r="6039" spans="11:12">
      <c r="K6039" s="65"/>
      <c r="L6039" s="65"/>
    </row>
    <row r="6040" spans="11:12">
      <c r="K6040" s="65"/>
      <c r="L6040" s="65"/>
    </row>
    <row r="6041" spans="11:12">
      <c r="K6041" s="65"/>
      <c r="L6041" s="65"/>
    </row>
    <row r="6042" spans="11:12">
      <c r="K6042" s="65"/>
      <c r="L6042" s="65"/>
    </row>
    <row r="6043" spans="11:12">
      <c r="K6043" s="65"/>
      <c r="L6043" s="65"/>
    </row>
    <row r="6044" spans="11:12">
      <c r="K6044" s="65"/>
      <c r="L6044" s="65"/>
    </row>
    <row r="6045" spans="11:12">
      <c r="K6045" s="65"/>
      <c r="L6045" s="65"/>
    </row>
    <row r="6046" spans="11:12">
      <c r="K6046" s="65"/>
      <c r="L6046" s="65"/>
    </row>
    <row r="6047" spans="11:12">
      <c r="K6047" s="65"/>
      <c r="L6047" s="65"/>
    </row>
    <row r="6048" spans="11:12">
      <c r="K6048" s="65"/>
      <c r="L6048" s="65"/>
    </row>
    <row r="6049" spans="11:12">
      <c r="K6049" s="65"/>
      <c r="L6049" s="65"/>
    </row>
    <row r="6050" spans="11:12">
      <c r="K6050" s="65"/>
      <c r="L6050" s="65"/>
    </row>
    <row r="6051" spans="11:12">
      <c r="K6051" s="65"/>
      <c r="L6051" s="65"/>
    </row>
    <row r="6052" spans="11:12">
      <c r="K6052" s="65"/>
      <c r="L6052" s="65"/>
    </row>
    <row r="6053" spans="11:12">
      <c r="K6053" s="65"/>
      <c r="L6053" s="65"/>
    </row>
    <row r="6054" spans="11:12">
      <c r="K6054" s="65"/>
      <c r="L6054" s="65"/>
    </row>
    <row r="6055" spans="11:12">
      <c r="K6055" s="65"/>
      <c r="L6055" s="65"/>
    </row>
    <row r="6056" spans="11:12">
      <c r="K6056" s="65"/>
      <c r="L6056" s="65"/>
    </row>
    <row r="6057" spans="11:12">
      <c r="K6057" s="65"/>
      <c r="L6057" s="65"/>
    </row>
    <row r="6058" spans="11:12">
      <c r="K6058" s="65"/>
      <c r="L6058" s="65"/>
    </row>
    <row r="6059" spans="11:12">
      <c r="K6059" s="65"/>
      <c r="L6059" s="65"/>
    </row>
    <row r="6060" spans="11:12">
      <c r="K6060" s="65"/>
      <c r="L6060" s="65"/>
    </row>
    <row r="6061" spans="11:12">
      <c r="K6061" s="65"/>
      <c r="L6061" s="65"/>
    </row>
    <row r="6062" spans="11:12">
      <c r="K6062" s="65"/>
      <c r="L6062" s="65"/>
    </row>
    <row r="6063" spans="11:12">
      <c r="K6063" s="65"/>
      <c r="L6063" s="65"/>
    </row>
    <row r="6064" spans="11:12">
      <c r="K6064" s="65"/>
      <c r="L6064" s="65"/>
    </row>
    <row r="6065" spans="11:12">
      <c r="K6065" s="65"/>
      <c r="L6065" s="65"/>
    </row>
    <row r="6066" spans="11:12">
      <c r="K6066" s="65"/>
      <c r="L6066" s="65"/>
    </row>
    <row r="6067" spans="11:12">
      <c r="K6067" s="65"/>
      <c r="L6067" s="65"/>
    </row>
    <row r="6068" spans="11:12">
      <c r="K6068" s="65"/>
      <c r="L6068" s="65"/>
    </row>
    <row r="6069" spans="11:12">
      <c r="K6069" s="65"/>
      <c r="L6069" s="65"/>
    </row>
    <row r="6070" spans="11:12">
      <c r="K6070" s="65"/>
      <c r="L6070" s="65"/>
    </row>
    <row r="6071" spans="11:12">
      <c r="K6071" s="65"/>
      <c r="L6071" s="65"/>
    </row>
    <row r="6072" spans="11:12">
      <c r="K6072" s="65"/>
      <c r="L6072" s="65"/>
    </row>
    <row r="6073" spans="11:12">
      <c r="K6073" s="65"/>
      <c r="L6073" s="65"/>
    </row>
    <row r="6074" spans="11:12">
      <c r="K6074" s="65"/>
      <c r="L6074" s="65"/>
    </row>
    <row r="6075" spans="11:12">
      <c r="K6075" s="65"/>
      <c r="L6075" s="65"/>
    </row>
    <row r="6076" spans="11:12">
      <c r="K6076" s="65"/>
      <c r="L6076" s="65"/>
    </row>
    <row r="6077" spans="11:12">
      <c r="K6077" s="65"/>
      <c r="L6077" s="65"/>
    </row>
    <row r="6078" spans="11:12">
      <c r="K6078" s="65"/>
      <c r="L6078" s="65"/>
    </row>
    <row r="6079" spans="11:12">
      <c r="K6079" s="65"/>
      <c r="L6079" s="65"/>
    </row>
    <row r="6080" spans="11:12">
      <c r="K6080" s="65"/>
      <c r="L6080" s="65"/>
    </row>
    <row r="6081" spans="11:12">
      <c r="K6081" s="65"/>
      <c r="L6081" s="65"/>
    </row>
    <row r="6082" spans="11:12">
      <c r="K6082" s="65"/>
      <c r="L6082" s="65"/>
    </row>
    <row r="6083" spans="11:12">
      <c r="K6083" s="65"/>
      <c r="L6083" s="65"/>
    </row>
    <row r="6084" spans="11:12">
      <c r="K6084" s="65"/>
      <c r="L6084" s="65"/>
    </row>
    <row r="6085" spans="11:12">
      <c r="K6085" s="65"/>
      <c r="L6085" s="65"/>
    </row>
    <row r="6086" spans="11:12">
      <c r="K6086" s="65"/>
      <c r="L6086" s="65"/>
    </row>
    <row r="6087" spans="11:12">
      <c r="K6087" s="65"/>
      <c r="L6087" s="65"/>
    </row>
    <row r="6088" spans="11:12">
      <c r="K6088" s="65"/>
      <c r="L6088" s="65"/>
    </row>
    <row r="6089" spans="11:12">
      <c r="K6089" s="65"/>
      <c r="L6089" s="65"/>
    </row>
    <row r="6090" spans="11:12">
      <c r="K6090" s="65"/>
      <c r="L6090" s="65"/>
    </row>
    <row r="6091" spans="11:12">
      <c r="K6091" s="65"/>
      <c r="L6091" s="65"/>
    </row>
    <row r="6092" spans="11:12">
      <c r="K6092" s="65"/>
      <c r="L6092" s="65"/>
    </row>
    <row r="6093" spans="11:12">
      <c r="K6093" s="65"/>
      <c r="L6093" s="65"/>
    </row>
    <row r="6094" spans="11:12">
      <c r="K6094" s="65"/>
      <c r="L6094" s="65"/>
    </row>
    <row r="6095" spans="11:12">
      <c r="K6095" s="65"/>
      <c r="L6095" s="65"/>
    </row>
    <row r="6096" spans="11:12">
      <c r="K6096" s="65"/>
      <c r="L6096" s="65"/>
    </row>
    <row r="6097" spans="11:12">
      <c r="K6097" s="65"/>
      <c r="L6097" s="65"/>
    </row>
    <row r="6098" spans="11:12">
      <c r="K6098" s="65"/>
      <c r="L6098" s="65"/>
    </row>
    <row r="6099" spans="11:12">
      <c r="K6099" s="65"/>
      <c r="L6099" s="65"/>
    </row>
    <row r="6100" spans="11:12">
      <c r="K6100" s="65"/>
      <c r="L6100" s="65"/>
    </row>
    <row r="6101" spans="11:12">
      <c r="K6101" s="65"/>
      <c r="L6101" s="65"/>
    </row>
    <row r="6102" spans="11:12">
      <c r="K6102" s="65"/>
      <c r="L6102" s="65"/>
    </row>
    <row r="6103" spans="11:12">
      <c r="K6103" s="65"/>
      <c r="L6103" s="65"/>
    </row>
    <row r="6104" spans="11:12">
      <c r="K6104" s="65"/>
      <c r="L6104" s="65"/>
    </row>
    <row r="6105" spans="11:12">
      <c r="K6105" s="65"/>
      <c r="L6105" s="65"/>
    </row>
    <row r="6106" spans="11:12">
      <c r="K6106" s="65"/>
      <c r="L6106" s="65"/>
    </row>
    <row r="6107" spans="11:12">
      <c r="K6107" s="65"/>
      <c r="L6107" s="65"/>
    </row>
    <row r="6108" spans="11:12">
      <c r="K6108" s="65"/>
      <c r="L6108" s="65"/>
    </row>
    <row r="6109" spans="11:12">
      <c r="K6109" s="65"/>
      <c r="L6109" s="65"/>
    </row>
    <row r="6110" spans="11:12">
      <c r="K6110" s="65"/>
      <c r="L6110" s="65"/>
    </row>
    <row r="6111" spans="11:12">
      <c r="K6111" s="65"/>
      <c r="L6111" s="65"/>
    </row>
    <row r="6112" spans="11:12">
      <c r="K6112" s="65"/>
      <c r="L6112" s="65"/>
    </row>
    <row r="6113" spans="11:12">
      <c r="K6113" s="65"/>
      <c r="L6113" s="65"/>
    </row>
    <row r="6114" spans="11:12">
      <c r="K6114" s="65"/>
      <c r="L6114" s="65"/>
    </row>
    <row r="6115" spans="11:12">
      <c r="K6115" s="65"/>
      <c r="L6115" s="65"/>
    </row>
    <row r="6116" spans="11:12">
      <c r="K6116" s="65"/>
      <c r="L6116" s="65"/>
    </row>
    <row r="6117" spans="11:12">
      <c r="K6117" s="65"/>
      <c r="L6117" s="65"/>
    </row>
    <row r="6118" spans="11:12">
      <c r="K6118" s="65"/>
      <c r="L6118" s="65"/>
    </row>
    <row r="6119" spans="11:12">
      <c r="K6119" s="65"/>
      <c r="L6119" s="65"/>
    </row>
    <row r="6120" spans="11:12">
      <c r="K6120" s="65"/>
      <c r="L6120" s="65"/>
    </row>
    <row r="6121" spans="11:12">
      <c r="K6121" s="65"/>
      <c r="L6121" s="65"/>
    </row>
    <row r="6122" spans="11:12">
      <c r="K6122" s="65"/>
      <c r="L6122" s="65"/>
    </row>
    <row r="6123" spans="11:12">
      <c r="K6123" s="65"/>
      <c r="L6123" s="65"/>
    </row>
    <row r="6124" spans="11:12">
      <c r="K6124" s="65"/>
      <c r="L6124" s="65"/>
    </row>
    <row r="6125" spans="11:12">
      <c r="K6125" s="65"/>
      <c r="L6125" s="65"/>
    </row>
    <row r="6126" spans="11:12">
      <c r="K6126" s="65"/>
      <c r="L6126" s="65"/>
    </row>
    <row r="6127" spans="11:12">
      <c r="K6127" s="65"/>
      <c r="L6127" s="65"/>
    </row>
    <row r="6128" spans="11:12">
      <c r="K6128" s="65"/>
      <c r="L6128" s="65"/>
    </row>
    <row r="6129" spans="11:12">
      <c r="K6129" s="65"/>
      <c r="L6129" s="65"/>
    </row>
    <row r="6130" spans="11:12">
      <c r="K6130" s="65"/>
      <c r="L6130" s="65"/>
    </row>
    <row r="6131" spans="11:12">
      <c r="K6131" s="65"/>
      <c r="L6131" s="65"/>
    </row>
    <row r="6132" spans="11:12">
      <c r="K6132" s="65"/>
      <c r="L6132" s="65"/>
    </row>
    <row r="6133" spans="11:12">
      <c r="K6133" s="65"/>
      <c r="L6133" s="65"/>
    </row>
    <row r="6134" spans="11:12">
      <c r="K6134" s="65"/>
      <c r="L6134" s="65"/>
    </row>
    <row r="6135" spans="11:12">
      <c r="K6135" s="65"/>
      <c r="L6135" s="65"/>
    </row>
    <row r="6136" spans="11:12">
      <c r="K6136" s="65"/>
      <c r="L6136" s="65"/>
    </row>
    <row r="6137" spans="11:12">
      <c r="K6137" s="65"/>
      <c r="L6137" s="65"/>
    </row>
    <row r="6138" spans="11:12">
      <c r="K6138" s="65"/>
      <c r="L6138" s="65"/>
    </row>
    <row r="6139" spans="11:12">
      <c r="K6139" s="65"/>
      <c r="L6139" s="65"/>
    </row>
    <row r="6140" spans="11:12">
      <c r="K6140" s="65"/>
      <c r="L6140" s="65"/>
    </row>
    <row r="6141" spans="11:12">
      <c r="K6141" s="65"/>
      <c r="L6141" s="65"/>
    </row>
    <row r="6142" spans="11:12">
      <c r="K6142" s="65"/>
      <c r="L6142" s="65"/>
    </row>
    <row r="6143" spans="11:12">
      <c r="K6143" s="65"/>
      <c r="L6143" s="65"/>
    </row>
    <row r="6144" spans="11:12">
      <c r="K6144" s="65"/>
      <c r="L6144" s="65"/>
    </row>
    <row r="6145" spans="11:12">
      <c r="K6145" s="65"/>
      <c r="L6145" s="65"/>
    </row>
    <row r="6146" spans="11:12">
      <c r="K6146" s="65"/>
      <c r="L6146" s="65"/>
    </row>
    <row r="6147" spans="11:12">
      <c r="K6147" s="65"/>
      <c r="L6147" s="65"/>
    </row>
    <row r="6148" spans="11:12">
      <c r="K6148" s="65"/>
      <c r="L6148" s="65"/>
    </row>
    <row r="6149" spans="11:12">
      <c r="K6149" s="65"/>
      <c r="L6149" s="65"/>
    </row>
    <row r="6150" spans="11:12">
      <c r="K6150" s="65"/>
      <c r="L6150" s="65"/>
    </row>
    <row r="6151" spans="11:12">
      <c r="K6151" s="65"/>
      <c r="L6151" s="65"/>
    </row>
    <row r="6152" spans="11:12">
      <c r="K6152" s="65"/>
      <c r="L6152" s="65"/>
    </row>
    <row r="6153" spans="11:12">
      <c r="K6153" s="65"/>
      <c r="L6153" s="65"/>
    </row>
    <row r="6154" spans="11:12">
      <c r="K6154" s="65"/>
      <c r="L6154" s="65"/>
    </row>
    <row r="6155" spans="11:12">
      <c r="K6155" s="65"/>
      <c r="L6155" s="65"/>
    </row>
    <row r="6156" spans="11:12">
      <c r="K6156" s="65"/>
      <c r="L6156" s="65"/>
    </row>
    <row r="6157" spans="11:12">
      <c r="K6157" s="65"/>
      <c r="L6157" s="65"/>
    </row>
    <row r="6158" spans="11:12">
      <c r="K6158" s="65"/>
      <c r="L6158" s="65"/>
    </row>
    <row r="6159" spans="11:12">
      <c r="K6159" s="65"/>
      <c r="L6159" s="65"/>
    </row>
    <row r="6160" spans="11:12">
      <c r="K6160" s="65"/>
      <c r="L6160" s="65"/>
    </row>
    <row r="6161" spans="11:12">
      <c r="K6161" s="65"/>
      <c r="L6161" s="65"/>
    </row>
    <row r="6162" spans="11:12">
      <c r="K6162" s="65"/>
      <c r="L6162" s="65"/>
    </row>
    <row r="6163" spans="11:12">
      <c r="K6163" s="65"/>
      <c r="L6163" s="65"/>
    </row>
    <row r="6164" spans="11:12">
      <c r="K6164" s="65"/>
      <c r="L6164" s="65"/>
    </row>
    <row r="6165" spans="11:12">
      <c r="K6165" s="65"/>
      <c r="L6165" s="65"/>
    </row>
    <row r="6166" spans="11:12">
      <c r="K6166" s="65"/>
      <c r="L6166" s="65"/>
    </row>
    <row r="6167" spans="11:12">
      <c r="K6167" s="65"/>
      <c r="L6167" s="65"/>
    </row>
    <row r="6168" spans="11:12">
      <c r="K6168" s="65"/>
      <c r="L6168" s="65"/>
    </row>
    <row r="6169" spans="11:12">
      <c r="K6169" s="65"/>
      <c r="L6169" s="65"/>
    </row>
    <row r="6170" spans="11:12">
      <c r="K6170" s="65"/>
      <c r="L6170" s="65"/>
    </row>
    <row r="6171" spans="11:12">
      <c r="K6171" s="65"/>
      <c r="L6171" s="65"/>
    </row>
    <row r="6172" spans="11:12">
      <c r="K6172" s="65"/>
      <c r="L6172" s="65"/>
    </row>
    <row r="6173" spans="11:12">
      <c r="K6173" s="65"/>
      <c r="L6173" s="65"/>
    </row>
    <row r="6174" spans="11:12">
      <c r="K6174" s="65"/>
      <c r="L6174" s="65"/>
    </row>
    <row r="6175" spans="11:12">
      <c r="K6175" s="65"/>
      <c r="L6175" s="65"/>
    </row>
    <row r="6176" spans="11:12">
      <c r="K6176" s="65"/>
      <c r="L6176" s="65"/>
    </row>
    <row r="6177" spans="11:12">
      <c r="K6177" s="65"/>
      <c r="L6177" s="65"/>
    </row>
    <row r="6178" spans="11:12">
      <c r="K6178" s="65"/>
      <c r="L6178" s="65"/>
    </row>
    <row r="6179" spans="11:12">
      <c r="K6179" s="65"/>
      <c r="L6179" s="65"/>
    </row>
    <row r="6180" spans="11:12">
      <c r="K6180" s="65"/>
      <c r="L6180" s="65"/>
    </row>
    <row r="6181" spans="11:12">
      <c r="K6181" s="65"/>
      <c r="L6181" s="65"/>
    </row>
    <row r="6182" spans="11:12">
      <c r="K6182" s="65"/>
      <c r="L6182" s="65"/>
    </row>
    <row r="6183" spans="11:12">
      <c r="K6183" s="65"/>
      <c r="L6183" s="65"/>
    </row>
    <row r="6184" spans="11:12">
      <c r="K6184" s="65"/>
      <c r="L6184" s="65"/>
    </row>
    <row r="6185" spans="11:12">
      <c r="K6185" s="65"/>
      <c r="L6185" s="65"/>
    </row>
    <row r="6186" spans="11:12">
      <c r="K6186" s="65"/>
      <c r="L6186" s="65"/>
    </row>
    <row r="6187" spans="11:12">
      <c r="K6187" s="65"/>
      <c r="L6187" s="65"/>
    </row>
    <row r="6188" spans="11:12">
      <c r="K6188" s="65"/>
      <c r="L6188" s="65"/>
    </row>
    <row r="6189" spans="11:12">
      <c r="K6189" s="65"/>
      <c r="L6189" s="65"/>
    </row>
    <row r="6190" spans="11:12">
      <c r="K6190" s="65"/>
      <c r="L6190" s="65"/>
    </row>
    <row r="6191" spans="11:12">
      <c r="K6191" s="65"/>
      <c r="L6191" s="65"/>
    </row>
    <row r="6192" spans="11:12">
      <c r="K6192" s="65"/>
      <c r="L6192" s="65"/>
    </row>
    <row r="6193" spans="11:12">
      <c r="K6193" s="65"/>
      <c r="L6193" s="65"/>
    </row>
    <row r="6194" spans="11:12">
      <c r="K6194" s="65"/>
      <c r="L6194" s="65"/>
    </row>
    <row r="6195" spans="11:12">
      <c r="K6195" s="65"/>
      <c r="L6195" s="65"/>
    </row>
    <row r="6196" spans="11:12">
      <c r="K6196" s="65"/>
      <c r="L6196" s="65"/>
    </row>
    <row r="6197" spans="11:12">
      <c r="K6197" s="65"/>
      <c r="L6197" s="65"/>
    </row>
    <row r="6198" spans="11:12">
      <c r="K6198" s="65"/>
      <c r="L6198" s="65"/>
    </row>
    <row r="6199" spans="11:12">
      <c r="K6199" s="65"/>
      <c r="L6199" s="65"/>
    </row>
    <row r="6200" spans="11:12">
      <c r="K6200" s="65"/>
      <c r="L6200" s="65"/>
    </row>
    <row r="6201" spans="11:12">
      <c r="K6201" s="65"/>
      <c r="L6201" s="65"/>
    </row>
    <row r="6202" spans="11:12">
      <c r="K6202" s="65"/>
      <c r="L6202" s="65"/>
    </row>
    <row r="6203" spans="11:12">
      <c r="K6203" s="65"/>
      <c r="L6203" s="65"/>
    </row>
    <row r="6204" spans="11:12">
      <c r="K6204" s="65"/>
      <c r="L6204" s="65"/>
    </row>
    <row r="6205" spans="11:12">
      <c r="K6205" s="65"/>
      <c r="L6205" s="65"/>
    </row>
    <row r="6206" spans="11:12">
      <c r="K6206" s="65"/>
      <c r="L6206" s="65"/>
    </row>
    <row r="6207" spans="11:12">
      <c r="K6207" s="65"/>
      <c r="L6207" s="65"/>
    </row>
    <row r="6208" spans="11:12">
      <c r="K6208" s="65"/>
      <c r="L6208" s="65"/>
    </row>
    <row r="6209" spans="11:12">
      <c r="K6209" s="65"/>
      <c r="L6209" s="65"/>
    </row>
    <row r="6210" spans="11:12">
      <c r="K6210" s="65"/>
      <c r="L6210" s="65"/>
    </row>
    <row r="6211" spans="11:12">
      <c r="K6211" s="65"/>
      <c r="L6211" s="65"/>
    </row>
    <row r="6212" spans="11:12">
      <c r="K6212" s="65"/>
      <c r="L6212" s="65"/>
    </row>
    <row r="6213" spans="11:12">
      <c r="K6213" s="65"/>
      <c r="L6213" s="65"/>
    </row>
    <row r="6214" spans="11:12">
      <c r="K6214" s="65"/>
      <c r="L6214" s="65"/>
    </row>
    <row r="6215" spans="11:12">
      <c r="K6215" s="65"/>
      <c r="L6215" s="65"/>
    </row>
    <row r="6216" spans="11:12">
      <c r="K6216" s="65"/>
      <c r="L6216" s="65"/>
    </row>
    <row r="6217" spans="11:12">
      <c r="K6217" s="65"/>
      <c r="L6217" s="65"/>
    </row>
    <row r="6218" spans="11:12">
      <c r="K6218" s="65"/>
      <c r="L6218" s="65"/>
    </row>
    <row r="6219" spans="11:12">
      <c r="K6219" s="65"/>
      <c r="L6219" s="65"/>
    </row>
    <row r="6220" spans="11:12">
      <c r="K6220" s="65"/>
      <c r="L6220" s="65"/>
    </row>
    <row r="6221" spans="11:12">
      <c r="K6221" s="65"/>
      <c r="L6221" s="65"/>
    </row>
    <row r="6222" spans="11:12">
      <c r="K6222" s="65"/>
      <c r="L6222" s="65"/>
    </row>
    <row r="6223" spans="11:12">
      <c r="K6223" s="65"/>
      <c r="L6223" s="65"/>
    </row>
    <row r="6224" spans="11:12">
      <c r="K6224" s="65"/>
      <c r="L6224" s="65"/>
    </row>
    <row r="6225" spans="11:12">
      <c r="K6225" s="65"/>
      <c r="L6225" s="65"/>
    </row>
    <row r="6226" spans="11:12">
      <c r="K6226" s="65"/>
      <c r="L6226" s="65"/>
    </row>
    <row r="6227" spans="11:12">
      <c r="K6227" s="65"/>
      <c r="L6227" s="65"/>
    </row>
    <row r="6228" spans="11:12">
      <c r="K6228" s="65"/>
      <c r="L6228" s="65"/>
    </row>
    <row r="6229" spans="11:12">
      <c r="K6229" s="65"/>
      <c r="L6229" s="65"/>
    </row>
    <row r="6230" spans="11:12">
      <c r="K6230" s="65"/>
      <c r="L6230" s="65"/>
    </row>
    <row r="6231" spans="11:12">
      <c r="K6231" s="65"/>
      <c r="L6231" s="65"/>
    </row>
    <row r="6232" spans="11:12">
      <c r="K6232" s="65"/>
      <c r="L6232" s="65"/>
    </row>
    <row r="6233" spans="11:12">
      <c r="K6233" s="65"/>
      <c r="L6233" s="65"/>
    </row>
    <row r="6234" spans="11:12">
      <c r="K6234" s="65"/>
      <c r="L6234" s="65"/>
    </row>
    <row r="6235" spans="11:12">
      <c r="K6235" s="65"/>
      <c r="L6235" s="65"/>
    </row>
    <row r="6236" spans="11:12">
      <c r="K6236" s="65"/>
      <c r="L6236" s="65"/>
    </row>
    <row r="6237" spans="11:12">
      <c r="K6237" s="65"/>
      <c r="L6237" s="65"/>
    </row>
    <row r="6238" spans="11:12">
      <c r="K6238" s="65"/>
      <c r="L6238" s="65"/>
    </row>
    <row r="6239" spans="11:12">
      <c r="K6239" s="65"/>
      <c r="L6239" s="65"/>
    </row>
    <row r="6240" spans="11:12">
      <c r="K6240" s="65"/>
      <c r="L6240" s="65"/>
    </row>
    <row r="6241" spans="11:12">
      <c r="K6241" s="65"/>
      <c r="L6241" s="65"/>
    </row>
    <row r="6242" spans="11:12">
      <c r="K6242" s="65"/>
      <c r="L6242" s="65"/>
    </row>
    <row r="6243" spans="11:12">
      <c r="K6243" s="65"/>
      <c r="L6243" s="65"/>
    </row>
    <row r="6244" spans="11:12">
      <c r="K6244" s="65"/>
      <c r="L6244" s="65"/>
    </row>
    <row r="6245" spans="11:12">
      <c r="K6245" s="65"/>
      <c r="L6245" s="65"/>
    </row>
    <row r="6246" spans="11:12">
      <c r="K6246" s="65"/>
      <c r="L6246" s="65"/>
    </row>
    <row r="6247" spans="11:12">
      <c r="K6247" s="65"/>
      <c r="L6247" s="65"/>
    </row>
    <row r="6248" spans="11:12">
      <c r="K6248" s="65"/>
      <c r="L6248" s="65"/>
    </row>
    <row r="6249" spans="11:12">
      <c r="K6249" s="65"/>
      <c r="L6249" s="65"/>
    </row>
    <row r="6250" spans="11:12">
      <c r="K6250" s="65"/>
      <c r="L6250" s="65"/>
    </row>
    <row r="6251" spans="11:12">
      <c r="K6251" s="65"/>
      <c r="L6251" s="65"/>
    </row>
    <row r="6252" spans="11:12">
      <c r="K6252" s="65"/>
      <c r="L6252" s="65"/>
    </row>
    <row r="6253" spans="11:12">
      <c r="K6253" s="65"/>
      <c r="L6253" s="65"/>
    </row>
    <row r="6254" spans="11:12">
      <c r="K6254" s="65"/>
      <c r="L6254" s="65"/>
    </row>
    <row r="6255" spans="11:12">
      <c r="K6255" s="65"/>
      <c r="L6255" s="65"/>
    </row>
    <row r="6256" spans="11:12">
      <c r="K6256" s="65"/>
      <c r="L6256" s="65"/>
    </row>
    <row r="6257" spans="11:12">
      <c r="K6257" s="65"/>
      <c r="L6257" s="65"/>
    </row>
    <row r="6258" spans="11:12">
      <c r="K6258" s="65"/>
      <c r="L6258" s="65"/>
    </row>
    <row r="6259" spans="11:12">
      <c r="K6259" s="65"/>
      <c r="L6259" s="65"/>
    </row>
    <row r="6260" spans="11:12">
      <c r="K6260" s="65"/>
      <c r="L6260" s="65"/>
    </row>
    <row r="6261" spans="11:12">
      <c r="K6261" s="65"/>
      <c r="L6261" s="65"/>
    </row>
    <row r="6262" spans="11:12">
      <c r="K6262" s="65"/>
      <c r="L6262" s="65"/>
    </row>
    <row r="6263" spans="11:12">
      <c r="K6263" s="65"/>
      <c r="L6263" s="65"/>
    </row>
    <row r="6264" spans="11:12">
      <c r="K6264" s="65"/>
      <c r="L6264" s="65"/>
    </row>
    <row r="6265" spans="11:12">
      <c r="K6265" s="65"/>
      <c r="L6265" s="65"/>
    </row>
    <row r="6266" spans="11:12">
      <c r="K6266" s="65"/>
      <c r="L6266" s="65"/>
    </row>
    <row r="6267" spans="11:12">
      <c r="K6267" s="65"/>
      <c r="L6267" s="65"/>
    </row>
    <row r="6268" spans="11:12">
      <c r="K6268" s="65"/>
      <c r="L6268" s="65"/>
    </row>
    <row r="6269" spans="11:12">
      <c r="K6269" s="65"/>
      <c r="L6269" s="65"/>
    </row>
    <row r="6270" spans="11:12">
      <c r="K6270" s="65"/>
      <c r="L6270" s="65"/>
    </row>
    <row r="6271" spans="11:12">
      <c r="K6271" s="65"/>
      <c r="L6271" s="65"/>
    </row>
    <row r="6272" spans="11:12">
      <c r="K6272" s="65"/>
      <c r="L6272" s="65"/>
    </row>
    <row r="6273" spans="11:12">
      <c r="K6273" s="65"/>
      <c r="L6273" s="65"/>
    </row>
    <row r="6274" spans="11:12">
      <c r="K6274" s="65"/>
      <c r="L6274" s="65"/>
    </row>
    <row r="6275" spans="11:12">
      <c r="K6275" s="65"/>
      <c r="L6275" s="65"/>
    </row>
    <row r="6276" spans="11:12">
      <c r="K6276" s="65"/>
      <c r="L6276" s="65"/>
    </row>
    <row r="6277" spans="11:12">
      <c r="K6277" s="65"/>
      <c r="L6277" s="65"/>
    </row>
    <row r="6278" spans="11:12">
      <c r="K6278" s="65"/>
      <c r="L6278" s="65"/>
    </row>
    <row r="6279" spans="11:12">
      <c r="K6279" s="65"/>
      <c r="L6279" s="65"/>
    </row>
    <row r="6280" spans="11:12">
      <c r="K6280" s="65"/>
      <c r="L6280" s="65"/>
    </row>
    <row r="6281" spans="11:12">
      <c r="K6281" s="65"/>
      <c r="L6281" s="65"/>
    </row>
    <row r="6282" spans="11:12">
      <c r="K6282" s="65"/>
      <c r="L6282" s="65"/>
    </row>
    <row r="6283" spans="11:12">
      <c r="K6283" s="65"/>
      <c r="L6283" s="65"/>
    </row>
    <row r="6284" spans="11:12">
      <c r="K6284" s="65"/>
      <c r="L6284" s="65"/>
    </row>
    <row r="6285" spans="11:12">
      <c r="K6285" s="65"/>
      <c r="L6285" s="65"/>
    </row>
    <row r="6286" spans="11:12">
      <c r="K6286" s="65"/>
      <c r="L6286" s="65"/>
    </row>
    <row r="6287" spans="11:12">
      <c r="K6287" s="65"/>
      <c r="L6287" s="65"/>
    </row>
    <row r="6288" spans="11:12">
      <c r="K6288" s="65"/>
      <c r="L6288" s="65"/>
    </row>
    <row r="6289" spans="11:12">
      <c r="K6289" s="65"/>
      <c r="L6289" s="65"/>
    </row>
    <row r="6290" spans="11:12">
      <c r="K6290" s="65"/>
      <c r="L6290" s="65"/>
    </row>
    <row r="6291" spans="11:12">
      <c r="K6291" s="65"/>
      <c r="L6291" s="65"/>
    </row>
    <row r="6292" spans="11:12">
      <c r="K6292" s="65"/>
      <c r="L6292" s="65"/>
    </row>
    <row r="6293" spans="11:12">
      <c r="K6293" s="65"/>
      <c r="L6293" s="65"/>
    </row>
    <row r="6294" spans="11:12">
      <c r="K6294" s="65"/>
      <c r="L6294" s="65"/>
    </row>
    <row r="6295" spans="11:12">
      <c r="K6295" s="65"/>
      <c r="L6295" s="65"/>
    </row>
    <row r="6296" spans="11:12">
      <c r="K6296" s="65"/>
      <c r="L6296" s="65"/>
    </row>
    <row r="6297" spans="11:12">
      <c r="K6297" s="65"/>
      <c r="L6297" s="65"/>
    </row>
    <row r="6298" spans="11:12">
      <c r="K6298" s="65"/>
      <c r="L6298" s="65"/>
    </row>
    <row r="6299" spans="11:12">
      <c r="K6299" s="65"/>
      <c r="L6299" s="65"/>
    </row>
    <row r="6300" spans="11:12">
      <c r="K6300" s="65"/>
      <c r="L6300" s="65"/>
    </row>
    <row r="6301" spans="11:12">
      <c r="K6301" s="65"/>
      <c r="L6301" s="65"/>
    </row>
    <row r="6302" spans="11:12">
      <c r="K6302" s="65"/>
      <c r="L6302" s="65"/>
    </row>
    <row r="6303" spans="11:12">
      <c r="K6303" s="65"/>
      <c r="L6303" s="65"/>
    </row>
    <row r="6304" spans="11:12">
      <c r="K6304" s="65"/>
      <c r="L6304" s="65"/>
    </row>
    <row r="6305" spans="11:12">
      <c r="K6305" s="65"/>
      <c r="L6305" s="65"/>
    </row>
    <row r="6306" spans="11:12">
      <c r="K6306" s="65"/>
      <c r="L6306" s="65"/>
    </row>
    <row r="6307" spans="11:12">
      <c r="K6307" s="65"/>
      <c r="L6307" s="65"/>
    </row>
    <row r="6308" spans="11:12">
      <c r="K6308" s="65"/>
      <c r="L6308" s="65"/>
    </row>
    <row r="6309" spans="11:12">
      <c r="K6309" s="65"/>
      <c r="L6309" s="65"/>
    </row>
    <row r="6310" spans="11:12">
      <c r="K6310" s="65"/>
      <c r="L6310" s="65"/>
    </row>
    <row r="6311" spans="11:12">
      <c r="K6311" s="65"/>
      <c r="L6311" s="65"/>
    </row>
    <row r="6312" spans="11:12">
      <c r="K6312" s="65"/>
      <c r="L6312" s="65"/>
    </row>
    <row r="6313" spans="11:12">
      <c r="K6313" s="65"/>
      <c r="L6313" s="65"/>
    </row>
    <row r="6314" spans="11:12">
      <c r="K6314" s="65"/>
      <c r="L6314" s="65"/>
    </row>
    <row r="6315" spans="11:12">
      <c r="K6315" s="65"/>
      <c r="L6315" s="65"/>
    </row>
    <row r="6316" spans="11:12">
      <c r="K6316" s="65"/>
      <c r="L6316" s="65"/>
    </row>
    <row r="6317" spans="11:12">
      <c r="K6317" s="65"/>
      <c r="L6317" s="65"/>
    </row>
    <row r="6318" spans="11:12">
      <c r="K6318" s="65"/>
      <c r="L6318" s="65"/>
    </row>
    <row r="6319" spans="11:12">
      <c r="K6319" s="65"/>
      <c r="L6319" s="65"/>
    </row>
    <row r="6320" spans="11:12">
      <c r="K6320" s="65"/>
      <c r="L6320" s="65"/>
    </row>
    <row r="6321" spans="11:12">
      <c r="K6321" s="65"/>
      <c r="L6321" s="65"/>
    </row>
    <row r="6322" spans="11:12">
      <c r="K6322" s="65"/>
      <c r="L6322" s="65"/>
    </row>
    <row r="6323" spans="11:12">
      <c r="K6323" s="65"/>
      <c r="L6323" s="65"/>
    </row>
    <row r="6324" spans="11:12">
      <c r="K6324" s="65"/>
      <c r="L6324" s="65"/>
    </row>
    <row r="6325" spans="11:12">
      <c r="K6325" s="65"/>
      <c r="L6325" s="65"/>
    </row>
    <row r="6326" spans="11:12">
      <c r="K6326" s="65"/>
      <c r="L6326" s="65"/>
    </row>
    <row r="6327" spans="11:12">
      <c r="K6327" s="65"/>
      <c r="L6327" s="65"/>
    </row>
    <row r="6328" spans="11:12">
      <c r="K6328" s="65"/>
      <c r="L6328" s="65"/>
    </row>
    <row r="6329" spans="11:12">
      <c r="K6329" s="65"/>
      <c r="L6329" s="65"/>
    </row>
    <row r="6330" spans="11:12">
      <c r="K6330" s="65"/>
      <c r="L6330" s="65"/>
    </row>
    <row r="6331" spans="11:12">
      <c r="K6331" s="65"/>
      <c r="L6331" s="65"/>
    </row>
    <row r="6332" spans="11:12">
      <c r="K6332" s="65"/>
      <c r="L6332" s="65"/>
    </row>
    <row r="6333" spans="11:12">
      <c r="K6333" s="65"/>
      <c r="L6333" s="65"/>
    </row>
    <row r="6334" spans="11:12">
      <c r="K6334" s="65"/>
      <c r="L6334" s="65"/>
    </row>
    <row r="6335" spans="11:12">
      <c r="K6335" s="65"/>
      <c r="L6335" s="65"/>
    </row>
    <row r="6336" spans="11:12">
      <c r="K6336" s="65"/>
      <c r="L6336" s="65"/>
    </row>
    <row r="6337" spans="11:12">
      <c r="K6337" s="65"/>
      <c r="L6337" s="65"/>
    </row>
    <row r="6338" spans="11:12">
      <c r="K6338" s="65"/>
      <c r="L6338" s="65"/>
    </row>
    <row r="6339" spans="11:12">
      <c r="K6339" s="65"/>
      <c r="L6339" s="65"/>
    </row>
    <row r="6340" spans="11:12">
      <c r="K6340" s="65"/>
      <c r="L6340" s="65"/>
    </row>
    <row r="6341" spans="11:12">
      <c r="K6341" s="65"/>
      <c r="L6341" s="65"/>
    </row>
    <row r="6342" spans="11:12">
      <c r="K6342" s="65"/>
      <c r="L6342" s="65"/>
    </row>
    <row r="6343" spans="11:12">
      <c r="K6343" s="65"/>
      <c r="L6343" s="65"/>
    </row>
    <row r="6344" spans="11:12">
      <c r="K6344" s="65"/>
      <c r="L6344" s="65"/>
    </row>
    <row r="6345" spans="11:12">
      <c r="K6345" s="65"/>
      <c r="L6345" s="65"/>
    </row>
    <row r="6346" spans="11:12">
      <c r="K6346" s="65"/>
      <c r="L6346" s="65"/>
    </row>
    <row r="6347" spans="11:12">
      <c r="K6347" s="65"/>
      <c r="L6347" s="65"/>
    </row>
    <row r="6348" spans="11:12">
      <c r="K6348" s="65"/>
      <c r="L6348" s="65"/>
    </row>
    <row r="6349" spans="11:12">
      <c r="K6349" s="65"/>
      <c r="L6349" s="65"/>
    </row>
    <row r="6350" spans="11:12">
      <c r="K6350" s="65"/>
      <c r="L6350" s="65"/>
    </row>
    <row r="6351" spans="11:12">
      <c r="K6351" s="65"/>
      <c r="L6351" s="65"/>
    </row>
    <row r="6352" spans="11:12">
      <c r="K6352" s="65"/>
      <c r="L6352" s="65"/>
    </row>
    <row r="6353" spans="11:12">
      <c r="K6353" s="65"/>
      <c r="L6353" s="65"/>
    </row>
    <row r="6354" spans="11:12">
      <c r="K6354" s="65"/>
      <c r="L6354" s="65"/>
    </row>
    <row r="6355" spans="11:12">
      <c r="K6355" s="65"/>
      <c r="L6355" s="65"/>
    </row>
    <row r="6356" spans="11:12">
      <c r="K6356" s="65"/>
      <c r="L6356" s="65"/>
    </row>
    <row r="6357" spans="11:12">
      <c r="K6357" s="65"/>
      <c r="L6357" s="65"/>
    </row>
    <row r="6358" spans="11:12">
      <c r="K6358" s="65"/>
      <c r="L6358" s="65"/>
    </row>
    <row r="6359" spans="11:12">
      <c r="K6359" s="65"/>
      <c r="L6359" s="65"/>
    </row>
    <row r="6360" spans="11:12">
      <c r="K6360" s="65"/>
      <c r="L6360" s="65"/>
    </row>
    <row r="6361" spans="11:12">
      <c r="K6361" s="65"/>
      <c r="L6361" s="65"/>
    </row>
    <row r="6362" spans="11:12">
      <c r="K6362" s="65"/>
      <c r="L6362" s="65"/>
    </row>
    <row r="6363" spans="11:12">
      <c r="K6363" s="65"/>
      <c r="L6363" s="65"/>
    </row>
    <row r="6364" spans="11:12">
      <c r="K6364" s="65"/>
      <c r="L6364" s="65"/>
    </row>
    <row r="6365" spans="11:12">
      <c r="K6365" s="65"/>
      <c r="L6365" s="65"/>
    </row>
    <row r="6366" spans="11:12">
      <c r="K6366" s="65"/>
      <c r="L6366" s="65"/>
    </row>
    <row r="6367" spans="11:12">
      <c r="K6367" s="65"/>
      <c r="L6367" s="65"/>
    </row>
    <row r="6368" spans="11:12">
      <c r="K6368" s="65"/>
      <c r="L6368" s="65"/>
    </row>
    <row r="6369" spans="11:12">
      <c r="K6369" s="65"/>
      <c r="L6369" s="65"/>
    </row>
    <row r="6370" spans="11:12">
      <c r="K6370" s="65"/>
      <c r="L6370" s="65"/>
    </row>
    <row r="6371" spans="11:12">
      <c r="K6371" s="65"/>
      <c r="L6371" s="65"/>
    </row>
    <row r="6372" spans="11:12">
      <c r="K6372" s="65"/>
      <c r="L6372" s="65"/>
    </row>
    <row r="6373" spans="11:12">
      <c r="K6373" s="65"/>
      <c r="L6373" s="65"/>
    </row>
    <row r="6374" spans="11:12">
      <c r="K6374" s="65"/>
      <c r="L6374" s="65"/>
    </row>
    <row r="6375" spans="11:12">
      <c r="K6375" s="65"/>
      <c r="L6375" s="65"/>
    </row>
    <row r="6376" spans="11:12">
      <c r="K6376" s="65"/>
      <c r="L6376" s="65"/>
    </row>
    <row r="6377" spans="11:12">
      <c r="K6377" s="65"/>
      <c r="L6377" s="65"/>
    </row>
    <row r="6378" spans="11:12">
      <c r="K6378" s="65"/>
      <c r="L6378" s="65"/>
    </row>
    <row r="6379" spans="11:12">
      <c r="K6379" s="65"/>
      <c r="L6379" s="65"/>
    </row>
    <row r="6380" spans="11:12">
      <c r="K6380" s="65"/>
      <c r="L6380" s="65"/>
    </row>
    <row r="6381" spans="11:12">
      <c r="K6381" s="65"/>
      <c r="L6381" s="65"/>
    </row>
    <row r="6382" spans="11:12">
      <c r="K6382" s="65"/>
      <c r="L6382" s="65"/>
    </row>
    <row r="6383" spans="11:12">
      <c r="K6383" s="65"/>
      <c r="L6383" s="65"/>
    </row>
    <row r="6384" spans="11:12">
      <c r="K6384" s="65"/>
      <c r="L6384" s="65"/>
    </row>
    <row r="6385" spans="11:12">
      <c r="K6385" s="65"/>
      <c r="L6385" s="65"/>
    </row>
    <row r="6386" spans="11:12">
      <c r="K6386" s="65"/>
      <c r="L6386" s="65"/>
    </row>
    <row r="6387" spans="11:12">
      <c r="K6387" s="65"/>
      <c r="L6387" s="65"/>
    </row>
    <row r="6388" spans="11:12">
      <c r="K6388" s="65"/>
      <c r="L6388" s="65"/>
    </row>
    <row r="6389" spans="11:12">
      <c r="K6389" s="65"/>
      <c r="L6389" s="65"/>
    </row>
    <row r="6390" spans="11:12">
      <c r="K6390" s="65"/>
      <c r="L6390" s="65"/>
    </row>
    <row r="6391" spans="11:12">
      <c r="K6391" s="65"/>
      <c r="L6391" s="65"/>
    </row>
    <row r="6392" spans="11:12">
      <c r="K6392" s="65"/>
      <c r="L6392" s="65"/>
    </row>
    <row r="6393" spans="11:12">
      <c r="K6393" s="65"/>
      <c r="L6393" s="65"/>
    </row>
    <row r="6394" spans="11:12">
      <c r="K6394" s="65"/>
      <c r="L6394" s="65"/>
    </row>
    <row r="6395" spans="11:12">
      <c r="K6395" s="65"/>
      <c r="L6395" s="65"/>
    </row>
    <row r="6396" spans="11:12">
      <c r="K6396" s="65"/>
      <c r="L6396" s="65"/>
    </row>
    <row r="6397" spans="11:12">
      <c r="K6397" s="65"/>
      <c r="L6397" s="65"/>
    </row>
    <row r="6398" spans="11:12">
      <c r="K6398" s="65"/>
      <c r="L6398" s="65"/>
    </row>
    <row r="6399" spans="11:12">
      <c r="K6399" s="65"/>
      <c r="L6399" s="65"/>
    </row>
    <row r="6400" spans="11:12">
      <c r="K6400" s="65"/>
      <c r="L6400" s="65"/>
    </row>
    <row r="6401" spans="11:12">
      <c r="K6401" s="65"/>
      <c r="L6401" s="65"/>
    </row>
    <row r="6402" spans="11:12">
      <c r="K6402" s="65"/>
      <c r="L6402" s="65"/>
    </row>
    <row r="6403" spans="11:12">
      <c r="K6403" s="65"/>
      <c r="L6403" s="65"/>
    </row>
    <row r="6404" spans="11:12">
      <c r="K6404" s="65"/>
      <c r="L6404" s="65"/>
    </row>
    <row r="6405" spans="11:12">
      <c r="K6405" s="65"/>
      <c r="L6405" s="65"/>
    </row>
    <row r="6406" spans="11:12">
      <c r="K6406" s="65"/>
      <c r="L6406" s="65"/>
    </row>
    <row r="6407" spans="11:12">
      <c r="K6407" s="65"/>
      <c r="L6407" s="65"/>
    </row>
    <row r="6408" spans="11:12">
      <c r="K6408" s="65"/>
      <c r="L6408" s="65"/>
    </row>
    <row r="6409" spans="11:12">
      <c r="K6409" s="65"/>
      <c r="L6409" s="65"/>
    </row>
    <row r="6410" spans="11:12">
      <c r="K6410" s="65"/>
      <c r="L6410" s="65"/>
    </row>
    <row r="6411" spans="11:12">
      <c r="K6411" s="65"/>
      <c r="L6411" s="65"/>
    </row>
    <row r="6412" spans="11:12">
      <c r="K6412" s="65"/>
      <c r="L6412" s="65"/>
    </row>
    <row r="6413" spans="11:12">
      <c r="K6413" s="65"/>
      <c r="L6413" s="65"/>
    </row>
    <row r="6414" spans="11:12">
      <c r="K6414" s="65"/>
      <c r="L6414" s="65"/>
    </row>
    <row r="6415" spans="11:12">
      <c r="K6415" s="65"/>
      <c r="L6415" s="65"/>
    </row>
    <row r="6416" spans="11:12">
      <c r="K6416" s="65"/>
      <c r="L6416" s="65"/>
    </row>
    <row r="6417" spans="11:12">
      <c r="K6417" s="65"/>
      <c r="L6417" s="65"/>
    </row>
    <row r="6418" spans="11:12">
      <c r="K6418" s="65"/>
      <c r="L6418" s="65"/>
    </row>
    <row r="6419" spans="11:12">
      <c r="K6419" s="65"/>
      <c r="L6419" s="65"/>
    </row>
    <row r="6420" spans="11:12">
      <c r="K6420" s="65"/>
      <c r="L6420" s="65"/>
    </row>
    <row r="6421" spans="11:12">
      <c r="K6421" s="65"/>
      <c r="L6421" s="65"/>
    </row>
    <row r="6422" spans="11:12">
      <c r="K6422" s="65"/>
      <c r="L6422" s="65"/>
    </row>
    <row r="6423" spans="11:12">
      <c r="K6423" s="65"/>
      <c r="L6423" s="65"/>
    </row>
    <row r="6424" spans="11:12">
      <c r="K6424" s="65"/>
      <c r="L6424" s="65"/>
    </row>
    <row r="6425" spans="11:12">
      <c r="K6425" s="65"/>
      <c r="L6425" s="65"/>
    </row>
    <row r="6426" spans="11:12">
      <c r="K6426" s="65"/>
      <c r="L6426" s="65"/>
    </row>
    <row r="6427" spans="11:12">
      <c r="K6427" s="65"/>
      <c r="L6427" s="65"/>
    </row>
    <row r="6428" spans="11:12">
      <c r="K6428" s="65"/>
      <c r="L6428" s="65"/>
    </row>
    <row r="6429" spans="11:12">
      <c r="K6429" s="65"/>
      <c r="L6429" s="65"/>
    </row>
    <row r="6430" spans="11:12">
      <c r="K6430" s="65"/>
      <c r="L6430" s="65"/>
    </row>
    <row r="6431" spans="11:12">
      <c r="K6431" s="65"/>
      <c r="L6431" s="65"/>
    </row>
    <row r="6432" spans="11:12">
      <c r="K6432" s="65"/>
      <c r="L6432" s="65"/>
    </row>
    <row r="6433" spans="11:12">
      <c r="K6433" s="65"/>
      <c r="L6433" s="65"/>
    </row>
    <row r="6434" spans="11:12">
      <c r="K6434" s="65"/>
      <c r="L6434" s="65"/>
    </row>
    <row r="6435" spans="11:12">
      <c r="K6435" s="65"/>
      <c r="L6435" s="65"/>
    </row>
    <row r="6436" spans="11:12">
      <c r="K6436" s="65"/>
      <c r="L6436" s="65"/>
    </row>
    <row r="6437" spans="11:12">
      <c r="K6437" s="65"/>
      <c r="L6437" s="65"/>
    </row>
    <row r="6438" spans="11:12">
      <c r="K6438" s="65"/>
      <c r="L6438" s="65"/>
    </row>
    <row r="6439" spans="11:12">
      <c r="K6439" s="65"/>
      <c r="L6439" s="65"/>
    </row>
    <row r="6440" spans="11:12">
      <c r="K6440" s="65"/>
      <c r="L6440" s="65"/>
    </row>
    <row r="6441" spans="11:12">
      <c r="K6441" s="65"/>
      <c r="L6441" s="65"/>
    </row>
    <row r="6442" spans="11:12">
      <c r="K6442" s="65"/>
      <c r="L6442" s="65"/>
    </row>
    <row r="6443" spans="11:12">
      <c r="K6443" s="65"/>
      <c r="L6443" s="65"/>
    </row>
    <row r="6444" spans="11:12">
      <c r="K6444" s="65"/>
      <c r="L6444" s="65"/>
    </row>
    <row r="6445" spans="11:12">
      <c r="K6445" s="65"/>
      <c r="L6445" s="65"/>
    </row>
    <row r="6446" spans="11:12">
      <c r="K6446" s="65"/>
      <c r="L6446" s="65"/>
    </row>
    <row r="6447" spans="11:12">
      <c r="K6447" s="65"/>
      <c r="L6447" s="65"/>
    </row>
    <row r="6448" spans="11:12">
      <c r="K6448" s="65"/>
      <c r="L6448" s="65"/>
    </row>
    <row r="6449" spans="11:12">
      <c r="K6449" s="65"/>
      <c r="L6449" s="65"/>
    </row>
    <row r="6450" spans="11:12">
      <c r="K6450" s="65"/>
      <c r="L6450" s="65"/>
    </row>
    <row r="6451" spans="11:12">
      <c r="K6451" s="65"/>
      <c r="L6451" s="65"/>
    </row>
    <row r="6452" spans="11:12">
      <c r="K6452" s="65"/>
      <c r="L6452" s="65"/>
    </row>
    <row r="6453" spans="11:12">
      <c r="K6453" s="65"/>
      <c r="L6453" s="65"/>
    </row>
    <row r="6454" spans="11:12">
      <c r="K6454" s="65"/>
      <c r="L6454" s="65"/>
    </row>
    <row r="6455" spans="11:12">
      <c r="K6455" s="65"/>
      <c r="L6455" s="65"/>
    </row>
    <row r="6456" spans="11:12">
      <c r="K6456" s="65"/>
      <c r="L6456" s="65"/>
    </row>
    <row r="6457" spans="11:12">
      <c r="K6457" s="65"/>
      <c r="L6457" s="65"/>
    </row>
    <row r="6458" spans="11:12">
      <c r="K6458" s="65"/>
      <c r="L6458" s="65"/>
    </row>
    <row r="6459" spans="11:12">
      <c r="K6459" s="65"/>
      <c r="L6459" s="65"/>
    </row>
    <row r="6460" spans="11:12">
      <c r="K6460" s="65"/>
      <c r="L6460" s="65"/>
    </row>
    <row r="6461" spans="11:12">
      <c r="K6461" s="65"/>
      <c r="L6461" s="65"/>
    </row>
    <row r="6462" spans="11:12">
      <c r="K6462" s="65"/>
      <c r="L6462" s="65"/>
    </row>
    <row r="6463" spans="11:12">
      <c r="K6463" s="65"/>
      <c r="L6463" s="65"/>
    </row>
    <row r="6464" spans="11:12">
      <c r="K6464" s="65"/>
      <c r="L6464" s="65"/>
    </row>
    <row r="6465" spans="11:12">
      <c r="K6465" s="65"/>
      <c r="L6465" s="65"/>
    </row>
    <row r="6466" spans="11:12">
      <c r="K6466" s="65"/>
      <c r="L6466" s="65"/>
    </row>
    <row r="6467" spans="11:12">
      <c r="K6467" s="65"/>
      <c r="L6467" s="65"/>
    </row>
    <row r="6468" spans="11:12">
      <c r="K6468" s="65"/>
      <c r="L6468" s="65"/>
    </row>
    <row r="6469" spans="11:12">
      <c r="K6469" s="65"/>
      <c r="L6469" s="65"/>
    </row>
    <row r="6470" spans="11:12">
      <c r="K6470" s="65"/>
      <c r="L6470" s="65"/>
    </row>
    <row r="6471" spans="11:12">
      <c r="K6471" s="65"/>
      <c r="L6471" s="65"/>
    </row>
    <row r="6472" spans="11:12">
      <c r="K6472" s="65"/>
      <c r="L6472" s="65"/>
    </row>
    <row r="6473" spans="11:12">
      <c r="K6473" s="65"/>
      <c r="L6473" s="65"/>
    </row>
    <row r="6474" spans="11:12">
      <c r="K6474" s="65"/>
      <c r="L6474" s="65"/>
    </row>
    <row r="6475" spans="11:12">
      <c r="K6475" s="65"/>
      <c r="L6475" s="65"/>
    </row>
    <row r="6476" spans="11:12">
      <c r="K6476" s="65"/>
      <c r="L6476" s="65"/>
    </row>
    <row r="6477" spans="11:12">
      <c r="K6477" s="65"/>
      <c r="L6477" s="65"/>
    </row>
    <row r="6478" spans="11:12">
      <c r="K6478" s="65"/>
      <c r="L6478" s="65"/>
    </row>
    <row r="6479" spans="11:12">
      <c r="K6479" s="65"/>
      <c r="L6479" s="65"/>
    </row>
    <row r="6480" spans="11:12">
      <c r="K6480" s="65"/>
      <c r="L6480" s="65"/>
    </row>
    <row r="6481" spans="11:12">
      <c r="K6481" s="65"/>
      <c r="L6481" s="65"/>
    </row>
    <row r="6482" spans="11:12">
      <c r="K6482" s="65"/>
      <c r="L6482" s="65"/>
    </row>
    <row r="6483" spans="11:12">
      <c r="K6483" s="65"/>
      <c r="L6483" s="65"/>
    </row>
    <row r="6484" spans="11:12">
      <c r="K6484" s="65"/>
      <c r="L6484" s="65"/>
    </row>
    <row r="6485" spans="11:12">
      <c r="K6485" s="65"/>
      <c r="L6485" s="65"/>
    </row>
    <row r="6486" spans="11:12">
      <c r="K6486" s="65"/>
      <c r="L6486" s="65"/>
    </row>
    <row r="6487" spans="11:12">
      <c r="K6487" s="65"/>
      <c r="L6487" s="65"/>
    </row>
    <row r="6488" spans="11:12">
      <c r="K6488" s="65"/>
      <c r="L6488" s="65"/>
    </row>
    <row r="6489" spans="11:12">
      <c r="K6489" s="65"/>
      <c r="L6489" s="65"/>
    </row>
    <row r="6490" spans="11:12">
      <c r="K6490" s="65"/>
      <c r="L6490" s="65"/>
    </row>
    <row r="6491" spans="11:12">
      <c r="K6491" s="65"/>
      <c r="L6491" s="65"/>
    </row>
    <row r="6492" spans="11:12">
      <c r="K6492" s="65"/>
      <c r="L6492" s="65"/>
    </row>
    <row r="6493" spans="11:12">
      <c r="K6493" s="65"/>
      <c r="L6493" s="65"/>
    </row>
    <row r="6494" spans="11:12">
      <c r="K6494" s="65"/>
      <c r="L6494" s="65"/>
    </row>
    <row r="6495" spans="11:12">
      <c r="K6495" s="65"/>
      <c r="L6495" s="65"/>
    </row>
    <row r="6496" spans="11:12">
      <c r="K6496" s="65"/>
      <c r="L6496" s="65"/>
    </row>
    <row r="6497" spans="11:12">
      <c r="K6497" s="65"/>
      <c r="L6497" s="65"/>
    </row>
    <row r="6498" spans="11:12">
      <c r="K6498" s="65"/>
      <c r="L6498" s="65"/>
    </row>
    <row r="6499" spans="11:12">
      <c r="K6499" s="65"/>
      <c r="L6499" s="65"/>
    </row>
    <row r="6500" spans="11:12">
      <c r="K6500" s="65"/>
      <c r="L6500" s="65"/>
    </row>
    <row r="6501" spans="11:12">
      <c r="K6501" s="65"/>
      <c r="L6501" s="65"/>
    </row>
    <row r="6502" spans="11:12">
      <c r="K6502" s="65"/>
      <c r="L6502" s="65"/>
    </row>
    <row r="6503" spans="11:12">
      <c r="K6503" s="65"/>
      <c r="L6503" s="65"/>
    </row>
    <row r="6504" spans="11:12">
      <c r="K6504" s="65"/>
      <c r="L6504" s="65"/>
    </row>
    <row r="6505" spans="11:12">
      <c r="K6505" s="65"/>
      <c r="L6505" s="65"/>
    </row>
    <row r="6506" spans="11:12">
      <c r="K6506" s="65"/>
      <c r="L6506" s="65"/>
    </row>
    <row r="6507" spans="11:12">
      <c r="K6507" s="65"/>
      <c r="L6507" s="65"/>
    </row>
    <row r="6508" spans="11:12">
      <c r="K6508" s="65"/>
      <c r="L6508" s="65"/>
    </row>
    <row r="6509" spans="11:12">
      <c r="K6509" s="65"/>
      <c r="L6509" s="65"/>
    </row>
    <row r="6510" spans="11:12">
      <c r="K6510" s="65"/>
      <c r="L6510" s="65"/>
    </row>
    <row r="6511" spans="11:12">
      <c r="K6511" s="65"/>
      <c r="L6511" s="65"/>
    </row>
    <row r="6512" spans="11:12">
      <c r="K6512" s="65"/>
      <c r="L6512" s="65"/>
    </row>
    <row r="6513" spans="11:12">
      <c r="K6513" s="65"/>
      <c r="L6513" s="65"/>
    </row>
    <row r="6514" spans="11:12">
      <c r="K6514" s="65"/>
      <c r="L6514" s="65"/>
    </row>
    <row r="6515" spans="11:12">
      <c r="K6515" s="65"/>
      <c r="L6515" s="65"/>
    </row>
    <row r="6516" spans="11:12">
      <c r="K6516" s="65"/>
      <c r="L6516" s="65"/>
    </row>
    <row r="6517" spans="11:12">
      <c r="K6517" s="65"/>
      <c r="L6517" s="65"/>
    </row>
    <row r="6518" spans="11:12">
      <c r="K6518" s="65"/>
      <c r="L6518" s="65"/>
    </row>
    <row r="6519" spans="11:12">
      <c r="K6519" s="65"/>
      <c r="L6519" s="65"/>
    </row>
    <row r="6520" spans="11:12">
      <c r="K6520" s="65"/>
      <c r="L6520" s="65"/>
    </row>
    <row r="6521" spans="11:12">
      <c r="K6521" s="65"/>
      <c r="L6521" s="65"/>
    </row>
    <row r="6522" spans="11:12">
      <c r="K6522" s="65"/>
      <c r="L6522" s="65"/>
    </row>
    <row r="6523" spans="11:12">
      <c r="K6523" s="65"/>
      <c r="L6523" s="65"/>
    </row>
    <row r="6524" spans="11:12">
      <c r="K6524" s="65"/>
      <c r="L6524" s="65"/>
    </row>
    <row r="6525" spans="11:12">
      <c r="K6525" s="65"/>
      <c r="L6525" s="65"/>
    </row>
    <row r="6526" spans="11:12">
      <c r="K6526" s="65"/>
      <c r="L6526" s="65"/>
    </row>
    <row r="6527" spans="11:12">
      <c r="K6527" s="65"/>
      <c r="L6527" s="65"/>
    </row>
    <row r="6528" spans="11:12">
      <c r="K6528" s="65"/>
      <c r="L6528" s="65"/>
    </row>
    <row r="6529" spans="11:12">
      <c r="K6529" s="65"/>
      <c r="L6529" s="65"/>
    </row>
    <row r="6530" spans="11:12">
      <c r="K6530" s="65"/>
      <c r="L6530" s="65"/>
    </row>
    <row r="6531" spans="11:12">
      <c r="K6531" s="65"/>
      <c r="L6531" s="65"/>
    </row>
    <row r="6532" spans="11:12">
      <c r="K6532" s="65"/>
      <c r="L6532" s="65"/>
    </row>
    <row r="6533" spans="11:12">
      <c r="K6533" s="65"/>
      <c r="L6533" s="65"/>
    </row>
    <row r="6534" spans="11:12">
      <c r="K6534" s="65"/>
      <c r="L6534" s="65"/>
    </row>
    <row r="6535" spans="11:12">
      <c r="K6535" s="65"/>
      <c r="L6535" s="65"/>
    </row>
    <row r="6536" spans="11:12">
      <c r="K6536" s="65"/>
      <c r="L6536" s="65"/>
    </row>
    <row r="6537" spans="11:12">
      <c r="K6537" s="65"/>
      <c r="L6537" s="65"/>
    </row>
    <row r="6538" spans="11:12">
      <c r="K6538" s="65"/>
      <c r="L6538" s="65"/>
    </row>
    <row r="6539" spans="11:12">
      <c r="K6539" s="65"/>
      <c r="L6539" s="65"/>
    </row>
    <row r="6540" spans="11:12">
      <c r="K6540" s="65"/>
      <c r="L6540" s="65"/>
    </row>
    <row r="6541" spans="11:12">
      <c r="K6541" s="65"/>
      <c r="L6541" s="65"/>
    </row>
    <row r="6542" spans="11:12">
      <c r="K6542" s="65"/>
      <c r="L6542" s="65"/>
    </row>
    <row r="6543" spans="11:12">
      <c r="K6543" s="65"/>
      <c r="L6543" s="65"/>
    </row>
    <row r="6544" spans="11:12">
      <c r="K6544" s="65"/>
      <c r="L6544" s="65"/>
    </row>
    <row r="6545" spans="11:12">
      <c r="K6545" s="65"/>
      <c r="L6545" s="65"/>
    </row>
    <row r="6546" spans="11:12">
      <c r="K6546" s="65"/>
      <c r="L6546" s="65"/>
    </row>
    <row r="6547" spans="11:12">
      <c r="K6547" s="65"/>
      <c r="L6547" s="65"/>
    </row>
    <row r="6548" spans="11:12">
      <c r="K6548" s="65"/>
      <c r="L6548" s="65"/>
    </row>
    <row r="6549" spans="11:12">
      <c r="K6549" s="65"/>
      <c r="L6549" s="65"/>
    </row>
    <row r="6550" spans="11:12">
      <c r="K6550" s="65"/>
      <c r="L6550" s="65"/>
    </row>
    <row r="6551" spans="11:12">
      <c r="K6551" s="65"/>
      <c r="L6551" s="65"/>
    </row>
    <row r="6552" spans="11:12">
      <c r="K6552" s="65"/>
      <c r="L6552" s="65"/>
    </row>
    <row r="6553" spans="11:12">
      <c r="K6553" s="65"/>
      <c r="L6553" s="65"/>
    </row>
    <row r="6554" spans="11:12">
      <c r="K6554" s="65"/>
      <c r="L6554" s="65"/>
    </row>
    <row r="6555" spans="11:12">
      <c r="K6555" s="65"/>
      <c r="L6555" s="65"/>
    </row>
    <row r="6556" spans="11:12">
      <c r="K6556" s="65"/>
      <c r="L6556" s="65"/>
    </row>
    <row r="6557" spans="11:12">
      <c r="K6557" s="65"/>
      <c r="L6557" s="65"/>
    </row>
    <row r="6558" spans="11:12">
      <c r="K6558" s="65"/>
      <c r="L6558" s="65"/>
    </row>
    <row r="6559" spans="11:12">
      <c r="K6559" s="65"/>
      <c r="L6559" s="65"/>
    </row>
    <row r="6560" spans="11:12">
      <c r="K6560" s="65"/>
      <c r="L6560" s="65"/>
    </row>
    <row r="6561" spans="11:12">
      <c r="K6561" s="65"/>
      <c r="L6561" s="65"/>
    </row>
    <row r="6562" spans="11:12">
      <c r="K6562" s="65"/>
      <c r="L6562" s="65"/>
    </row>
    <row r="6563" spans="11:12">
      <c r="K6563" s="65"/>
      <c r="L6563" s="65"/>
    </row>
    <row r="6564" spans="11:12">
      <c r="K6564" s="65"/>
      <c r="L6564" s="65"/>
    </row>
    <row r="6565" spans="11:12">
      <c r="K6565" s="65"/>
      <c r="L6565" s="65"/>
    </row>
    <row r="6566" spans="11:12">
      <c r="K6566" s="65"/>
      <c r="L6566" s="65"/>
    </row>
    <row r="6567" spans="11:12">
      <c r="K6567" s="65"/>
      <c r="L6567" s="65"/>
    </row>
    <row r="6568" spans="11:12">
      <c r="K6568" s="65"/>
      <c r="L6568" s="65"/>
    </row>
    <row r="6569" spans="11:12">
      <c r="K6569" s="65"/>
      <c r="L6569" s="65"/>
    </row>
    <row r="6570" spans="11:12">
      <c r="K6570" s="65"/>
      <c r="L6570" s="65"/>
    </row>
    <row r="6571" spans="11:12">
      <c r="K6571" s="65"/>
      <c r="L6571" s="65"/>
    </row>
    <row r="6572" spans="11:12">
      <c r="K6572" s="65"/>
      <c r="L6572" s="65"/>
    </row>
    <row r="6573" spans="11:12">
      <c r="K6573" s="65"/>
      <c r="L6573" s="65"/>
    </row>
    <row r="6574" spans="11:12">
      <c r="K6574" s="65"/>
      <c r="L6574" s="65"/>
    </row>
    <row r="6575" spans="11:12">
      <c r="K6575" s="65"/>
      <c r="L6575" s="65"/>
    </row>
    <row r="6576" spans="11:12">
      <c r="K6576" s="65"/>
      <c r="L6576" s="65"/>
    </row>
    <row r="6577" spans="11:12">
      <c r="K6577" s="65"/>
      <c r="L6577" s="65"/>
    </row>
    <row r="6578" spans="11:12">
      <c r="K6578" s="65"/>
      <c r="L6578" s="65"/>
    </row>
    <row r="6579" spans="11:12">
      <c r="K6579" s="65"/>
      <c r="L6579" s="65"/>
    </row>
    <row r="6580" spans="11:12">
      <c r="K6580" s="65"/>
      <c r="L6580" s="65"/>
    </row>
    <row r="6581" spans="11:12">
      <c r="K6581" s="65"/>
      <c r="L6581" s="65"/>
    </row>
    <row r="6582" spans="11:12">
      <c r="K6582" s="65"/>
      <c r="L6582" s="65"/>
    </row>
    <row r="6583" spans="11:12">
      <c r="K6583" s="65"/>
      <c r="L6583" s="65"/>
    </row>
    <row r="6584" spans="11:12">
      <c r="K6584" s="65"/>
      <c r="L6584" s="65"/>
    </row>
    <row r="6585" spans="11:12">
      <c r="K6585" s="65"/>
      <c r="L6585" s="65"/>
    </row>
    <row r="6586" spans="11:12">
      <c r="K6586" s="65"/>
      <c r="L6586" s="65"/>
    </row>
    <row r="6587" spans="11:12">
      <c r="K6587" s="65"/>
      <c r="L6587" s="65"/>
    </row>
    <row r="6588" spans="11:12">
      <c r="K6588" s="65"/>
      <c r="L6588" s="65"/>
    </row>
    <row r="6589" spans="11:12">
      <c r="K6589" s="65"/>
      <c r="L6589" s="65"/>
    </row>
    <row r="6590" spans="11:12">
      <c r="K6590" s="65"/>
      <c r="L6590" s="65"/>
    </row>
    <row r="6591" spans="11:12">
      <c r="K6591" s="65"/>
      <c r="L6591" s="65"/>
    </row>
    <row r="6592" spans="11:12">
      <c r="K6592" s="65"/>
      <c r="L6592" s="65"/>
    </row>
    <row r="6593" spans="11:12">
      <c r="K6593" s="65"/>
      <c r="L6593" s="65"/>
    </row>
    <row r="6594" spans="11:12">
      <c r="K6594" s="65"/>
      <c r="L6594" s="65"/>
    </row>
    <row r="6595" spans="11:12">
      <c r="K6595" s="65"/>
      <c r="L6595" s="65"/>
    </row>
    <row r="6596" spans="11:12">
      <c r="K6596" s="65"/>
      <c r="L6596" s="65"/>
    </row>
    <row r="6597" spans="11:12">
      <c r="K6597" s="65"/>
      <c r="L6597" s="65"/>
    </row>
    <row r="6598" spans="11:12">
      <c r="K6598" s="65"/>
      <c r="L6598" s="65"/>
    </row>
    <row r="6599" spans="11:12">
      <c r="K6599" s="65"/>
      <c r="L6599" s="65"/>
    </row>
    <row r="6600" spans="11:12">
      <c r="K6600" s="65"/>
      <c r="L6600" s="65"/>
    </row>
    <row r="6601" spans="11:12">
      <c r="K6601" s="65"/>
      <c r="L6601" s="65"/>
    </row>
    <row r="6602" spans="11:12">
      <c r="K6602" s="65"/>
      <c r="L6602" s="65"/>
    </row>
    <row r="6603" spans="11:12">
      <c r="K6603" s="65"/>
      <c r="L6603" s="65"/>
    </row>
    <row r="6604" spans="11:12">
      <c r="K6604" s="65"/>
      <c r="L6604" s="65"/>
    </row>
    <row r="6605" spans="11:12">
      <c r="K6605" s="65"/>
      <c r="L6605" s="65"/>
    </row>
    <row r="6606" spans="11:12">
      <c r="K6606" s="65"/>
      <c r="L6606" s="65"/>
    </row>
    <row r="6607" spans="11:12">
      <c r="K6607" s="65"/>
      <c r="L6607" s="65"/>
    </row>
    <row r="6608" spans="11:12">
      <c r="K6608" s="65"/>
      <c r="L6608" s="65"/>
    </row>
    <row r="6609" spans="11:12">
      <c r="K6609" s="65"/>
      <c r="L6609" s="65"/>
    </row>
    <row r="6610" spans="11:12">
      <c r="K6610" s="65"/>
      <c r="L6610" s="65"/>
    </row>
    <row r="6611" spans="11:12">
      <c r="K6611" s="65"/>
      <c r="L6611" s="65"/>
    </row>
    <row r="6612" spans="11:12">
      <c r="K6612" s="65"/>
      <c r="L6612" s="65"/>
    </row>
    <row r="6613" spans="11:12">
      <c r="K6613" s="65"/>
      <c r="L6613" s="65"/>
    </row>
    <row r="6614" spans="11:12">
      <c r="K6614" s="65"/>
      <c r="L6614" s="65"/>
    </row>
    <row r="6615" spans="11:12">
      <c r="K6615" s="65"/>
      <c r="L6615" s="65"/>
    </row>
    <row r="6616" spans="11:12">
      <c r="K6616" s="65"/>
      <c r="L6616" s="65"/>
    </row>
    <row r="6617" spans="11:12">
      <c r="K6617" s="65"/>
      <c r="L6617" s="65"/>
    </row>
    <row r="6618" spans="11:12">
      <c r="K6618" s="65"/>
      <c r="L6618" s="65"/>
    </row>
    <row r="6619" spans="11:12">
      <c r="K6619" s="65"/>
      <c r="L6619" s="65"/>
    </row>
    <row r="6620" spans="11:12">
      <c r="K6620" s="65"/>
      <c r="L6620" s="65"/>
    </row>
    <row r="6621" spans="11:12">
      <c r="K6621" s="65"/>
      <c r="L6621" s="65"/>
    </row>
    <row r="6622" spans="11:12">
      <c r="K6622" s="65"/>
      <c r="L6622" s="65"/>
    </row>
    <row r="6623" spans="11:12">
      <c r="K6623" s="65"/>
      <c r="L6623" s="65"/>
    </row>
    <row r="6624" spans="11:12">
      <c r="K6624" s="65"/>
      <c r="L6624" s="65"/>
    </row>
    <row r="6625" spans="11:12">
      <c r="K6625" s="65"/>
      <c r="L6625" s="65"/>
    </row>
    <row r="6626" spans="11:12">
      <c r="K6626" s="65"/>
      <c r="L6626" s="65"/>
    </row>
    <row r="6627" spans="11:12">
      <c r="K6627" s="65"/>
      <c r="L6627" s="65"/>
    </row>
    <row r="6628" spans="11:12">
      <c r="K6628" s="65"/>
      <c r="L6628" s="65"/>
    </row>
    <row r="6629" spans="11:12">
      <c r="K6629" s="65"/>
      <c r="L6629" s="65"/>
    </row>
    <row r="6630" spans="11:12">
      <c r="K6630" s="65"/>
      <c r="L6630" s="65"/>
    </row>
    <row r="6631" spans="11:12">
      <c r="K6631" s="65"/>
      <c r="L6631" s="65"/>
    </row>
    <row r="6632" spans="11:12">
      <c r="K6632" s="65"/>
      <c r="L6632" s="65"/>
    </row>
    <row r="6633" spans="11:12">
      <c r="K6633" s="65"/>
      <c r="L6633" s="65"/>
    </row>
    <row r="6634" spans="11:12">
      <c r="K6634" s="65"/>
      <c r="L6634" s="65"/>
    </row>
    <row r="6635" spans="11:12">
      <c r="K6635" s="65"/>
      <c r="L6635" s="65"/>
    </row>
    <row r="6636" spans="11:12">
      <c r="K6636" s="65"/>
      <c r="L6636" s="65"/>
    </row>
    <row r="6637" spans="11:12">
      <c r="K6637" s="65"/>
      <c r="L6637" s="65"/>
    </row>
    <row r="6638" spans="11:12">
      <c r="K6638" s="65"/>
      <c r="L6638" s="65"/>
    </row>
    <row r="6639" spans="11:12">
      <c r="K6639" s="65"/>
      <c r="L6639" s="65"/>
    </row>
    <row r="6640" spans="11:12">
      <c r="K6640" s="65"/>
      <c r="L6640" s="65"/>
    </row>
    <row r="6641" spans="11:12">
      <c r="K6641" s="65"/>
      <c r="L6641" s="65"/>
    </row>
    <row r="6642" spans="11:12">
      <c r="K6642" s="65"/>
      <c r="L6642" s="65"/>
    </row>
    <row r="6643" spans="11:12">
      <c r="K6643" s="65"/>
      <c r="L6643" s="65"/>
    </row>
    <row r="6644" spans="11:12">
      <c r="K6644" s="65"/>
      <c r="L6644" s="65"/>
    </row>
    <row r="6645" spans="11:12">
      <c r="K6645" s="65"/>
      <c r="L6645" s="65"/>
    </row>
    <row r="6646" spans="11:12">
      <c r="K6646" s="65"/>
      <c r="L6646" s="65"/>
    </row>
    <row r="6647" spans="11:12">
      <c r="K6647" s="65"/>
      <c r="L6647" s="65"/>
    </row>
    <row r="6648" spans="11:12">
      <c r="K6648" s="65"/>
      <c r="L6648" s="65"/>
    </row>
    <row r="6649" spans="11:12">
      <c r="K6649" s="65"/>
      <c r="L6649" s="65"/>
    </row>
    <row r="6650" spans="11:12">
      <c r="K6650" s="65"/>
      <c r="L6650" s="65"/>
    </row>
    <row r="6651" spans="11:12">
      <c r="K6651" s="65"/>
      <c r="L6651" s="65"/>
    </row>
    <row r="6652" spans="11:12">
      <c r="K6652" s="65"/>
      <c r="L6652" s="65"/>
    </row>
    <row r="6653" spans="11:12">
      <c r="K6653" s="65"/>
      <c r="L6653" s="65"/>
    </row>
    <row r="6654" spans="11:12">
      <c r="K6654" s="65"/>
      <c r="L6654" s="65"/>
    </row>
    <row r="6655" spans="11:12">
      <c r="K6655" s="65"/>
      <c r="L6655" s="65"/>
    </row>
    <row r="6656" spans="11:12">
      <c r="K6656" s="65"/>
      <c r="L6656" s="65"/>
    </row>
    <row r="6657" spans="11:12">
      <c r="K6657" s="65"/>
      <c r="L6657" s="65"/>
    </row>
    <row r="6658" spans="11:12">
      <c r="K6658" s="65"/>
      <c r="L6658" s="65"/>
    </row>
    <row r="6659" spans="11:12">
      <c r="K6659" s="65"/>
      <c r="L6659" s="65"/>
    </row>
    <row r="6660" spans="11:12">
      <c r="K6660" s="65"/>
      <c r="L6660" s="65"/>
    </row>
    <row r="6661" spans="11:12">
      <c r="K6661" s="65"/>
      <c r="L6661" s="65"/>
    </row>
    <row r="6662" spans="11:12">
      <c r="K6662" s="65"/>
      <c r="L6662" s="65"/>
    </row>
    <row r="6663" spans="11:12">
      <c r="K6663" s="65"/>
      <c r="L6663" s="65"/>
    </row>
    <row r="6664" spans="11:12">
      <c r="K6664" s="65"/>
      <c r="L6664" s="65"/>
    </row>
    <row r="6665" spans="11:12">
      <c r="K6665" s="65"/>
      <c r="L6665" s="65"/>
    </row>
    <row r="6666" spans="11:12">
      <c r="K6666" s="65"/>
      <c r="L6666" s="65"/>
    </row>
    <row r="6667" spans="11:12">
      <c r="K6667" s="65"/>
      <c r="L6667" s="65"/>
    </row>
    <row r="6668" spans="11:12">
      <c r="K6668" s="65"/>
      <c r="L6668" s="65"/>
    </row>
    <row r="6669" spans="11:12">
      <c r="K6669" s="65"/>
      <c r="L6669" s="65"/>
    </row>
    <row r="6670" spans="11:12">
      <c r="K6670" s="65"/>
      <c r="L6670" s="65"/>
    </row>
    <row r="6671" spans="11:12">
      <c r="K6671" s="65"/>
      <c r="L6671" s="65"/>
    </row>
    <row r="6672" spans="11:12">
      <c r="K6672" s="65"/>
      <c r="L6672" s="65"/>
    </row>
    <row r="6673" spans="11:12">
      <c r="K6673" s="65"/>
      <c r="L6673" s="65"/>
    </row>
    <row r="6674" spans="11:12">
      <c r="K6674" s="65"/>
      <c r="L6674" s="65"/>
    </row>
    <row r="6675" spans="11:12">
      <c r="K6675" s="65"/>
      <c r="L6675" s="65"/>
    </row>
    <row r="6676" spans="11:12">
      <c r="K6676" s="65"/>
      <c r="L6676" s="65"/>
    </row>
    <row r="6677" spans="11:12">
      <c r="K6677" s="65"/>
      <c r="L6677" s="65"/>
    </row>
    <row r="6678" spans="11:12">
      <c r="K6678" s="65"/>
      <c r="L6678" s="65"/>
    </row>
    <row r="6679" spans="11:12">
      <c r="K6679" s="65"/>
      <c r="L6679" s="65"/>
    </row>
    <row r="6680" spans="11:12">
      <c r="K6680" s="65"/>
      <c r="L6680" s="65"/>
    </row>
    <row r="6681" spans="11:12">
      <c r="K6681" s="65"/>
      <c r="L6681" s="65"/>
    </row>
    <row r="6682" spans="11:12">
      <c r="K6682" s="65"/>
      <c r="L6682" s="65"/>
    </row>
    <row r="6683" spans="11:12">
      <c r="K6683" s="65"/>
      <c r="L6683" s="65"/>
    </row>
    <row r="6684" spans="11:12">
      <c r="K6684" s="65"/>
      <c r="L6684" s="65"/>
    </row>
    <row r="6685" spans="11:12">
      <c r="K6685" s="65"/>
      <c r="L6685" s="65"/>
    </row>
    <row r="6686" spans="11:12">
      <c r="K6686" s="65"/>
      <c r="L6686" s="65"/>
    </row>
    <row r="6687" spans="11:12">
      <c r="K6687" s="65"/>
      <c r="L6687" s="65"/>
    </row>
    <row r="6688" spans="11:12">
      <c r="K6688" s="65"/>
      <c r="L6688" s="65"/>
    </row>
    <row r="6689" spans="11:12">
      <c r="K6689" s="65"/>
      <c r="L6689" s="65"/>
    </row>
    <row r="6690" spans="11:12">
      <c r="K6690" s="65"/>
      <c r="L6690" s="65"/>
    </row>
    <row r="6691" spans="11:12">
      <c r="K6691" s="65"/>
      <c r="L6691" s="65"/>
    </row>
    <row r="6692" spans="11:12">
      <c r="K6692" s="65"/>
      <c r="L6692" s="65"/>
    </row>
    <row r="6693" spans="11:12">
      <c r="K6693" s="65"/>
      <c r="L6693" s="65"/>
    </row>
    <row r="6694" spans="11:12">
      <c r="K6694" s="65"/>
      <c r="L6694" s="65"/>
    </row>
    <row r="6695" spans="11:12">
      <c r="K6695" s="65"/>
      <c r="L6695" s="65"/>
    </row>
    <row r="6696" spans="11:12">
      <c r="K6696" s="65"/>
      <c r="L6696" s="65"/>
    </row>
    <row r="6697" spans="11:12">
      <c r="K6697" s="65"/>
      <c r="L6697" s="65"/>
    </row>
    <row r="6698" spans="11:12">
      <c r="K6698" s="65"/>
      <c r="L6698" s="65"/>
    </row>
    <row r="6699" spans="11:12">
      <c r="K6699" s="65"/>
      <c r="L6699" s="65"/>
    </row>
    <row r="6700" spans="11:12">
      <c r="K6700" s="65"/>
      <c r="L6700" s="65"/>
    </row>
    <row r="6701" spans="11:12">
      <c r="K6701" s="65"/>
      <c r="L6701" s="65"/>
    </row>
    <row r="6702" spans="11:12">
      <c r="K6702" s="65"/>
      <c r="L6702" s="65"/>
    </row>
    <row r="6703" spans="11:12">
      <c r="K6703" s="65"/>
      <c r="L6703" s="65"/>
    </row>
    <row r="6704" spans="11:12">
      <c r="K6704" s="65"/>
      <c r="L6704" s="65"/>
    </row>
    <row r="6705" spans="11:12">
      <c r="K6705" s="65"/>
      <c r="L6705" s="65"/>
    </row>
    <row r="6706" spans="11:12">
      <c r="K6706" s="65"/>
      <c r="L6706" s="65"/>
    </row>
    <row r="6707" spans="11:12">
      <c r="K6707" s="65"/>
      <c r="L6707" s="65"/>
    </row>
    <row r="6708" spans="11:12">
      <c r="K6708" s="65"/>
      <c r="L6708" s="65"/>
    </row>
    <row r="6709" spans="11:12">
      <c r="K6709" s="65"/>
      <c r="L6709" s="65"/>
    </row>
    <row r="6710" spans="11:12">
      <c r="K6710" s="65"/>
      <c r="L6710" s="65"/>
    </row>
    <row r="6711" spans="11:12">
      <c r="K6711" s="65"/>
      <c r="L6711" s="65"/>
    </row>
    <row r="6712" spans="11:12">
      <c r="K6712" s="65"/>
      <c r="L6712" s="65"/>
    </row>
    <row r="6713" spans="11:12">
      <c r="K6713" s="65"/>
      <c r="L6713" s="65"/>
    </row>
    <row r="6714" spans="11:12">
      <c r="K6714" s="65"/>
      <c r="L6714" s="65"/>
    </row>
    <row r="6715" spans="11:12">
      <c r="K6715" s="65"/>
      <c r="L6715" s="65"/>
    </row>
    <row r="6716" spans="11:12">
      <c r="K6716" s="65"/>
      <c r="L6716" s="65"/>
    </row>
    <row r="6717" spans="11:12">
      <c r="K6717" s="65"/>
      <c r="L6717" s="65"/>
    </row>
    <row r="6718" spans="11:12">
      <c r="K6718" s="65"/>
      <c r="L6718" s="65"/>
    </row>
    <row r="6719" spans="11:12">
      <c r="K6719" s="65"/>
      <c r="L6719" s="65"/>
    </row>
    <row r="6720" spans="11:12">
      <c r="K6720" s="65"/>
      <c r="L6720" s="65"/>
    </row>
    <row r="6721" spans="11:12">
      <c r="K6721" s="65"/>
      <c r="L6721" s="65"/>
    </row>
    <row r="6722" spans="11:12">
      <c r="K6722" s="65"/>
      <c r="L6722" s="65"/>
    </row>
    <row r="6723" spans="11:12">
      <c r="K6723" s="65"/>
      <c r="L6723" s="65"/>
    </row>
    <row r="6724" spans="11:12">
      <c r="K6724" s="65"/>
      <c r="L6724" s="65"/>
    </row>
    <row r="6725" spans="11:12">
      <c r="K6725" s="65"/>
      <c r="L6725" s="65"/>
    </row>
    <row r="6726" spans="11:12">
      <c r="K6726" s="65"/>
      <c r="L6726" s="65"/>
    </row>
    <row r="6727" spans="11:12">
      <c r="K6727" s="65"/>
      <c r="L6727" s="65"/>
    </row>
    <row r="6728" spans="11:12">
      <c r="K6728" s="65"/>
      <c r="L6728" s="65"/>
    </row>
    <row r="6729" spans="11:12">
      <c r="K6729" s="65"/>
      <c r="L6729" s="65"/>
    </row>
    <row r="6730" spans="11:12">
      <c r="K6730" s="65"/>
      <c r="L6730" s="65"/>
    </row>
    <row r="6731" spans="11:12">
      <c r="K6731" s="65"/>
      <c r="L6731" s="65"/>
    </row>
    <row r="6732" spans="11:12">
      <c r="K6732" s="65"/>
      <c r="L6732" s="65"/>
    </row>
    <row r="6733" spans="11:12">
      <c r="K6733" s="65"/>
      <c r="L6733" s="65"/>
    </row>
    <row r="6734" spans="11:12">
      <c r="K6734" s="65"/>
      <c r="L6734" s="65"/>
    </row>
    <row r="6735" spans="11:12">
      <c r="K6735" s="65"/>
      <c r="L6735" s="65"/>
    </row>
    <row r="6736" spans="11:12">
      <c r="K6736" s="65"/>
      <c r="L6736" s="65"/>
    </row>
    <row r="6737" spans="11:12">
      <c r="K6737" s="65"/>
      <c r="L6737" s="65"/>
    </row>
    <row r="6738" spans="11:12">
      <c r="K6738" s="65"/>
      <c r="L6738" s="65"/>
    </row>
    <row r="6739" spans="11:12">
      <c r="K6739" s="65"/>
      <c r="L6739" s="65"/>
    </row>
    <row r="6740" spans="11:12">
      <c r="K6740" s="65"/>
      <c r="L6740" s="65"/>
    </row>
    <row r="6741" spans="11:12">
      <c r="K6741" s="65"/>
      <c r="L6741" s="65"/>
    </row>
    <row r="6742" spans="11:12">
      <c r="K6742" s="65"/>
      <c r="L6742" s="65"/>
    </row>
    <row r="6743" spans="11:12">
      <c r="K6743" s="65"/>
      <c r="L6743" s="65"/>
    </row>
    <row r="6744" spans="11:12">
      <c r="K6744" s="65"/>
      <c r="L6744" s="65"/>
    </row>
    <row r="6745" spans="11:12">
      <c r="K6745" s="65"/>
      <c r="L6745" s="65"/>
    </row>
    <row r="6746" spans="11:12">
      <c r="K6746" s="65"/>
      <c r="L6746" s="65"/>
    </row>
    <row r="6747" spans="11:12">
      <c r="K6747" s="65"/>
      <c r="L6747" s="65"/>
    </row>
    <row r="6748" spans="11:12">
      <c r="K6748" s="65"/>
      <c r="L6748" s="65"/>
    </row>
    <row r="6749" spans="11:12">
      <c r="K6749" s="65"/>
      <c r="L6749" s="65"/>
    </row>
    <row r="6750" spans="11:12">
      <c r="K6750" s="65"/>
      <c r="L6750" s="65"/>
    </row>
    <row r="6751" spans="11:12">
      <c r="K6751" s="65"/>
      <c r="L6751" s="65"/>
    </row>
    <row r="6752" spans="11:12">
      <c r="K6752" s="65"/>
      <c r="L6752" s="65"/>
    </row>
    <row r="6753" spans="11:12">
      <c r="K6753" s="65"/>
      <c r="L6753" s="65"/>
    </row>
    <row r="6754" spans="11:12">
      <c r="K6754" s="65"/>
      <c r="L6754" s="65"/>
    </row>
    <row r="6755" spans="11:12">
      <c r="K6755" s="65"/>
      <c r="L6755" s="65"/>
    </row>
    <row r="6756" spans="11:12">
      <c r="K6756" s="65"/>
      <c r="L6756" s="65"/>
    </row>
    <row r="6757" spans="11:12">
      <c r="K6757" s="65"/>
      <c r="L6757" s="65"/>
    </row>
    <row r="6758" spans="11:12">
      <c r="K6758" s="65"/>
      <c r="L6758" s="65"/>
    </row>
    <row r="6759" spans="11:12">
      <c r="K6759" s="65"/>
      <c r="L6759" s="65"/>
    </row>
    <row r="6760" spans="11:12">
      <c r="K6760" s="65"/>
      <c r="L6760" s="65"/>
    </row>
    <row r="6761" spans="11:12">
      <c r="K6761" s="65"/>
      <c r="L6761" s="65"/>
    </row>
    <row r="6762" spans="11:12">
      <c r="K6762" s="65"/>
      <c r="L6762" s="65"/>
    </row>
    <row r="6763" spans="11:12">
      <c r="K6763" s="65"/>
      <c r="L6763" s="65"/>
    </row>
    <row r="6764" spans="11:12">
      <c r="K6764" s="65"/>
      <c r="L6764" s="65"/>
    </row>
    <row r="6765" spans="11:12">
      <c r="K6765" s="65"/>
      <c r="L6765" s="65"/>
    </row>
    <row r="6766" spans="11:12">
      <c r="K6766" s="65"/>
      <c r="L6766" s="65"/>
    </row>
    <row r="6767" spans="11:12">
      <c r="K6767" s="65"/>
      <c r="L6767" s="65"/>
    </row>
    <row r="6768" spans="11:12">
      <c r="K6768" s="65"/>
      <c r="L6768" s="65"/>
    </row>
    <row r="6769" spans="11:12">
      <c r="K6769" s="65"/>
      <c r="L6769" s="65"/>
    </row>
    <row r="6770" spans="11:12">
      <c r="K6770" s="65"/>
      <c r="L6770" s="65"/>
    </row>
    <row r="6771" spans="11:12">
      <c r="K6771" s="65"/>
      <c r="L6771" s="65"/>
    </row>
    <row r="6772" spans="11:12">
      <c r="K6772" s="65"/>
      <c r="L6772" s="65"/>
    </row>
    <row r="6773" spans="11:12">
      <c r="K6773" s="65"/>
      <c r="L6773" s="65"/>
    </row>
    <row r="6774" spans="11:12">
      <c r="K6774" s="65"/>
      <c r="L6774" s="65"/>
    </row>
    <row r="6775" spans="11:12">
      <c r="K6775" s="65"/>
      <c r="L6775" s="65"/>
    </row>
    <row r="6776" spans="11:12">
      <c r="K6776" s="65"/>
      <c r="L6776" s="65"/>
    </row>
    <row r="6777" spans="11:12">
      <c r="K6777" s="65"/>
      <c r="L6777" s="65"/>
    </row>
    <row r="6778" spans="11:12">
      <c r="K6778" s="65"/>
      <c r="L6778" s="65"/>
    </row>
    <row r="6779" spans="11:12">
      <c r="K6779" s="65"/>
      <c r="L6779" s="65"/>
    </row>
    <row r="6780" spans="11:12">
      <c r="K6780" s="65"/>
      <c r="L6780" s="65"/>
    </row>
    <row r="6781" spans="11:12">
      <c r="K6781" s="65"/>
      <c r="L6781" s="65"/>
    </row>
    <row r="6782" spans="11:12">
      <c r="K6782" s="65"/>
      <c r="L6782" s="65"/>
    </row>
    <row r="6783" spans="11:12">
      <c r="K6783" s="65"/>
      <c r="L6783" s="65"/>
    </row>
    <row r="6784" spans="11:12">
      <c r="K6784" s="65"/>
      <c r="L6784" s="65"/>
    </row>
    <row r="6785" spans="11:12">
      <c r="K6785" s="65"/>
      <c r="L6785" s="65"/>
    </row>
    <row r="6786" spans="11:12">
      <c r="K6786" s="65"/>
      <c r="L6786" s="65"/>
    </row>
    <row r="6787" spans="11:12">
      <c r="K6787" s="65"/>
      <c r="L6787" s="65"/>
    </row>
    <row r="6788" spans="11:12">
      <c r="K6788" s="65"/>
      <c r="L6788" s="65"/>
    </row>
    <row r="6789" spans="11:12">
      <c r="K6789" s="65"/>
      <c r="L6789" s="65"/>
    </row>
    <row r="6790" spans="11:12">
      <c r="K6790" s="65"/>
      <c r="L6790" s="65"/>
    </row>
    <row r="6791" spans="11:12">
      <c r="K6791" s="65"/>
      <c r="L6791" s="65"/>
    </row>
    <row r="6792" spans="11:12">
      <c r="K6792" s="65"/>
      <c r="L6792" s="65"/>
    </row>
    <row r="6793" spans="11:12">
      <c r="K6793" s="65"/>
      <c r="L6793" s="65"/>
    </row>
    <row r="6794" spans="11:12">
      <c r="K6794" s="65"/>
      <c r="L6794" s="65"/>
    </row>
    <row r="6795" spans="11:12">
      <c r="K6795" s="65"/>
      <c r="L6795" s="65"/>
    </row>
    <row r="6796" spans="11:12">
      <c r="K6796" s="65"/>
      <c r="L6796" s="65"/>
    </row>
    <row r="6797" spans="11:12">
      <c r="K6797" s="65"/>
      <c r="L6797" s="65"/>
    </row>
    <row r="6798" spans="11:12">
      <c r="K6798" s="65"/>
      <c r="L6798" s="65"/>
    </row>
    <row r="6799" spans="11:12">
      <c r="K6799" s="65"/>
      <c r="L6799" s="65"/>
    </row>
    <row r="6800" spans="11:12">
      <c r="K6800" s="65"/>
      <c r="L6800" s="65"/>
    </row>
    <row r="6801" spans="11:12">
      <c r="K6801" s="65"/>
      <c r="L6801" s="65"/>
    </row>
    <row r="6802" spans="11:12">
      <c r="K6802" s="65"/>
      <c r="L6802" s="65"/>
    </row>
    <row r="6803" spans="11:12">
      <c r="K6803" s="65"/>
      <c r="L6803" s="65"/>
    </row>
    <row r="6804" spans="11:12">
      <c r="K6804" s="65"/>
      <c r="L6804" s="65"/>
    </row>
    <row r="6805" spans="11:12">
      <c r="K6805" s="65"/>
      <c r="L6805" s="65"/>
    </row>
    <row r="6806" spans="11:12">
      <c r="K6806" s="65"/>
      <c r="L6806" s="65"/>
    </row>
    <row r="6807" spans="11:12">
      <c r="K6807" s="65"/>
      <c r="L6807" s="65"/>
    </row>
    <row r="6808" spans="11:12">
      <c r="K6808" s="65"/>
      <c r="L6808" s="65"/>
    </row>
    <row r="6809" spans="11:12">
      <c r="K6809" s="65"/>
      <c r="L6809" s="65"/>
    </row>
    <row r="6810" spans="11:12">
      <c r="K6810" s="65"/>
      <c r="L6810" s="65"/>
    </row>
    <row r="6811" spans="11:12">
      <c r="K6811" s="65"/>
      <c r="L6811" s="65"/>
    </row>
    <row r="6812" spans="11:12">
      <c r="K6812" s="65"/>
      <c r="L6812" s="65"/>
    </row>
    <row r="6813" spans="11:12">
      <c r="K6813" s="65"/>
      <c r="L6813" s="65"/>
    </row>
    <row r="6814" spans="11:12">
      <c r="K6814" s="65"/>
      <c r="L6814" s="65"/>
    </row>
    <row r="6815" spans="11:12">
      <c r="K6815" s="65"/>
      <c r="L6815" s="65"/>
    </row>
    <row r="6816" spans="11:12">
      <c r="K6816" s="65"/>
      <c r="L6816" s="65"/>
    </row>
    <row r="6817" spans="11:12">
      <c r="K6817" s="65"/>
      <c r="L6817" s="65"/>
    </row>
    <row r="6818" spans="11:12">
      <c r="K6818" s="65"/>
      <c r="L6818" s="65"/>
    </row>
    <row r="6819" spans="11:12">
      <c r="K6819" s="65"/>
      <c r="L6819" s="65"/>
    </row>
    <row r="6820" spans="11:12">
      <c r="K6820" s="65"/>
      <c r="L6820" s="65"/>
    </row>
    <row r="6821" spans="11:12">
      <c r="K6821" s="65"/>
      <c r="L6821" s="65"/>
    </row>
    <row r="6822" spans="11:12">
      <c r="K6822" s="65"/>
      <c r="L6822" s="65"/>
    </row>
    <row r="6823" spans="11:12">
      <c r="K6823" s="65"/>
      <c r="L6823" s="65"/>
    </row>
    <row r="6824" spans="11:12">
      <c r="K6824" s="65"/>
      <c r="L6824" s="65"/>
    </row>
    <row r="6825" spans="11:12">
      <c r="K6825" s="65"/>
      <c r="L6825" s="65"/>
    </row>
    <row r="6826" spans="11:12">
      <c r="K6826" s="65"/>
      <c r="L6826" s="65"/>
    </row>
    <row r="6827" spans="11:12">
      <c r="K6827" s="65"/>
      <c r="L6827" s="65"/>
    </row>
    <row r="6828" spans="11:12">
      <c r="K6828" s="65"/>
      <c r="L6828" s="65"/>
    </row>
    <row r="6829" spans="11:12">
      <c r="K6829" s="65"/>
      <c r="L6829" s="65"/>
    </row>
    <row r="6830" spans="11:12">
      <c r="K6830" s="65"/>
      <c r="L6830" s="65"/>
    </row>
    <row r="6831" spans="11:12">
      <c r="K6831" s="65"/>
      <c r="L6831" s="65"/>
    </row>
    <row r="6832" spans="11:12">
      <c r="K6832" s="65"/>
      <c r="L6832" s="65"/>
    </row>
    <row r="6833" spans="11:12">
      <c r="K6833" s="65"/>
      <c r="L6833" s="65"/>
    </row>
    <row r="6834" spans="11:12">
      <c r="K6834" s="65"/>
      <c r="L6834" s="65"/>
    </row>
    <row r="6835" spans="11:12">
      <c r="K6835" s="65"/>
      <c r="L6835" s="65"/>
    </row>
    <row r="6836" spans="11:12">
      <c r="K6836" s="65"/>
      <c r="L6836" s="65"/>
    </row>
    <row r="6837" spans="11:12">
      <c r="K6837" s="65"/>
      <c r="L6837" s="65"/>
    </row>
    <row r="6838" spans="11:12">
      <c r="K6838" s="65"/>
      <c r="L6838" s="65"/>
    </row>
    <row r="6839" spans="11:12">
      <c r="K6839" s="65"/>
      <c r="L6839" s="65"/>
    </row>
    <row r="6840" spans="11:12">
      <c r="K6840" s="65"/>
      <c r="L6840" s="65"/>
    </row>
    <row r="6841" spans="11:12">
      <c r="K6841" s="65"/>
      <c r="L6841" s="65"/>
    </row>
    <row r="6842" spans="11:12">
      <c r="K6842" s="65"/>
      <c r="L6842" s="65"/>
    </row>
    <row r="6843" spans="11:12">
      <c r="K6843" s="65"/>
      <c r="L6843" s="65"/>
    </row>
    <row r="6844" spans="11:12">
      <c r="K6844" s="65"/>
      <c r="L6844" s="65"/>
    </row>
    <row r="6845" spans="11:12">
      <c r="K6845" s="65"/>
      <c r="L6845" s="65"/>
    </row>
    <row r="6846" spans="11:12">
      <c r="K6846" s="65"/>
      <c r="L6846" s="65"/>
    </row>
    <row r="6847" spans="11:12">
      <c r="K6847" s="65"/>
      <c r="L6847" s="65"/>
    </row>
    <row r="6848" spans="11:12">
      <c r="K6848" s="65"/>
      <c r="L6848" s="65"/>
    </row>
    <row r="6849" spans="11:12">
      <c r="K6849" s="65"/>
      <c r="L6849" s="65"/>
    </row>
    <row r="6850" spans="11:12">
      <c r="K6850" s="65"/>
      <c r="L6850" s="65"/>
    </row>
    <row r="6851" spans="11:12">
      <c r="K6851" s="65"/>
      <c r="L6851" s="65"/>
    </row>
    <row r="6852" spans="11:12">
      <c r="K6852" s="65"/>
      <c r="L6852" s="65"/>
    </row>
    <row r="6853" spans="11:12">
      <c r="K6853" s="65"/>
      <c r="L6853" s="65"/>
    </row>
    <row r="6854" spans="11:12">
      <c r="K6854" s="65"/>
      <c r="L6854" s="65"/>
    </row>
    <row r="6855" spans="11:12">
      <c r="K6855" s="65"/>
      <c r="L6855" s="65"/>
    </row>
    <row r="6856" spans="11:12">
      <c r="K6856" s="65"/>
      <c r="L6856" s="65"/>
    </row>
    <row r="6857" spans="11:12">
      <c r="K6857" s="65"/>
      <c r="L6857" s="65"/>
    </row>
    <row r="6858" spans="11:12">
      <c r="K6858" s="65"/>
      <c r="L6858" s="65"/>
    </row>
    <row r="6859" spans="11:12">
      <c r="K6859" s="65"/>
      <c r="L6859" s="65"/>
    </row>
    <row r="6860" spans="11:12">
      <c r="K6860" s="65"/>
      <c r="L6860" s="65"/>
    </row>
    <row r="6861" spans="11:12">
      <c r="K6861" s="65"/>
      <c r="L6861" s="65"/>
    </row>
    <row r="6862" spans="11:12">
      <c r="K6862" s="65"/>
      <c r="L6862" s="65"/>
    </row>
    <row r="6863" spans="11:12">
      <c r="K6863" s="65"/>
      <c r="L6863" s="65"/>
    </row>
    <row r="6864" spans="11:12">
      <c r="K6864" s="65"/>
      <c r="L6864" s="65"/>
    </row>
    <row r="6865" spans="11:12">
      <c r="K6865" s="65"/>
      <c r="L6865" s="65"/>
    </row>
    <row r="6866" spans="11:12">
      <c r="K6866" s="65"/>
      <c r="L6866" s="65"/>
    </row>
    <row r="6867" spans="11:12">
      <c r="K6867" s="65"/>
      <c r="L6867" s="65"/>
    </row>
    <row r="6868" spans="11:12">
      <c r="K6868" s="65"/>
      <c r="L6868" s="65"/>
    </row>
    <row r="6869" spans="11:12">
      <c r="K6869" s="65"/>
      <c r="L6869" s="65"/>
    </row>
    <row r="6870" spans="11:12">
      <c r="K6870" s="65"/>
      <c r="L6870" s="65"/>
    </row>
    <row r="6871" spans="11:12">
      <c r="K6871" s="65"/>
      <c r="L6871" s="65"/>
    </row>
    <row r="6872" spans="11:12">
      <c r="K6872" s="65"/>
      <c r="L6872" s="65"/>
    </row>
    <row r="6873" spans="11:12">
      <c r="K6873" s="65"/>
      <c r="L6873" s="65"/>
    </row>
    <row r="6874" spans="11:12">
      <c r="K6874" s="65"/>
      <c r="L6874" s="65"/>
    </row>
    <row r="6875" spans="11:12">
      <c r="K6875" s="65"/>
      <c r="L6875" s="65"/>
    </row>
    <row r="6876" spans="11:12">
      <c r="K6876" s="65"/>
      <c r="L6876" s="65"/>
    </row>
    <row r="6877" spans="11:12">
      <c r="K6877" s="65"/>
      <c r="L6877" s="65"/>
    </row>
    <row r="6878" spans="11:12">
      <c r="K6878" s="65"/>
      <c r="L6878" s="65"/>
    </row>
    <row r="6879" spans="11:12">
      <c r="K6879" s="65"/>
      <c r="L6879" s="65"/>
    </row>
    <row r="6880" spans="11:12">
      <c r="K6880" s="65"/>
      <c r="L6880" s="65"/>
    </row>
    <row r="6881" spans="11:12">
      <c r="K6881" s="65"/>
      <c r="L6881" s="65"/>
    </row>
    <row r="6882" spans="11:12">
      <c r="K6882" s="65"/>
      <c r="L6882" s="65"/>
    </row>
    <row r="6883" spans="11:12">
      <c r="K6883" s="65"/>
      <c r="L6883" s="65"/>
    </row>
    <row r="6884" spans="11:12">
      <c r="K6884" s="65"/>
      <c r="L6884" s="65"/>
    </row>
    <row r="6885" spans="11:12">
      <c r="K6885" s="65"/>
      <c r="L6885" s="65"/>
    </row>
    <row r="6886" spans="11:12">
      <c r="K6886" s="65"/>
      <c r="L6886" s="65"/>
    </row>
    <row r="6887" spans="11:12">
      <c r="K6887" s="65"/>
      <c r="L6887" s="65"/>
    </row>
    <row r="6888" spans="11:12">
      <c r="K6888" s="65"/>
      <c r="L6888" s="65"/>
    </row>
    <row r="6889" spans="11:12">
      <c r="K6889" s="65"/>
      <c r="L6889" s="65"/>
    </row>
    <row r="6890" spans="11:12">
      <c r="K6890" s="65"/>
      <c r="L6890" s="65"/>
    </row>
    <row r="6891" spans="11:12">
      <c r="K6891" s="65"/>
      <c r="L6891" s="65"/>
    </row>
    <row r="6892" spans="11:12">
      <c r="K6892" s="65"/>
      <c r="L6892" s="65"/>
    </row>
    <row r="6893" spans="11:12">
      <c r="K6893" s="65"/>
      <c r="L6893" s="65"/>
    </row>
    <row r="6894" spans="11:12">
      <c r="K6894" s="65"/>
      <c r="L6894" s="65"/>
    </row>
    <row r="6895" spans="11:12">
      <c r="K6895" s="65"/>
      <c r="L6895" s="65"/>
    </row>
    <row r="6896" spans="11:12">
      <c r="K6896" s="65"/>
      <c r="L6896" s="65"/>
    </row>
    <row r="6897" spans="11:12">
      <c r="K6897" s="65"/>
      <c r="L6897" s="65"/>
    </row>
    <row r="6898" spans="11:12">
      <c r="K6898" s="65"/>
      <c r="L6898" s="65"/>
    </row>
    <row r="6899" spans="11:12">
      <c r="K6899" s="65"/>
      <c r="L6899" s="65"/>
    </row>
    <row r="6900" spans="11:12">
      <c r="K6900" s="65"/>
      <c r="L6900" s="65"/>
    </row>
    <row r="6901" spans="11:12">
      <c r="K6901" s="65"/>
      <c r="L6901" s="65"/>
    </row>
    <row r="6902" spans="11:12">
      <c r="K6902" s="65"/>
      <c r="L6902" s="65"/>
    </row>
    <row r="6903" spans="11:12">
      <c r="K6903" s="65"/>
      <c r="L6903" s="65"/>
    </row>
    <row r="6904" spans="11:12">
      <c r="K6904" s="65"/>
      <c r="L6904" s="65"/>
    </row>
    <row r="6905" spans="11:12">
      <c r="K6905" s="65"/>
      <c r="L6905" s="65"/>
    </row>
    <row r="6906" spans="11:12">
      <c r="K6906" s="65"/>
      <c r="L6906" s="65"/>
    </row>
    <row r="6907" spans="11:12">
      <c r="K6907" s="65"/>
      <c r="L6907" s="65"/>
    </row>
    <row r="6908" spans="11:12">
      <c r="K6908" s="65"/>
      <c r="L6908" s="65"/>
    </row>
    <row r="6909" spans="11:12">
      <c r="K6909" s="65"/>
      <c r="L6909" s="65"/>
    </row>
    <row r="6910" spans="11:12">
      <c r="K6910" s="65"/>
      <c r="L6910" s="65"/>
    </row>
    <row r="6911" spans="11:12">
      <c r="K6911" s="65"/>
      <c r="L6911" s="65"/>
    </row>
    <row r="6912" spans="11:12">
      <c r="K6912" s="65"/>
      <c r="L6912" s="65"/>
    </row>
    <row r="6913" spans="11:12">
      <c r="K6913" s="65"/>
      <c r="L6913" s="65"/>
    </row>
    <row r="6914" spans="11:12">
      <c r="K6914" s="65"/>
      <c r="L6914" s="65"/>
    </row>
    <row r="6915" spans="11:12">
      <c r="K6915" s="65"/>
      <c r="L6915" s="65"/>
    </row>
    <row r="6916" spans="11:12">
      <c r="K6916" s="65"/>
      <c r="L6916" s="65"/>
    </row>
    <row r="6917" spans="11:12">
      <c r="K6917" s="65"/>
      <c r="L6917" s="65"/>
    </row>
    <row r="6918" spans="11:12">
      <c r="K6918" s="65"/>
      <c r="L6918" s="65"/>
    </row>
    <row r="6919" spans="11:12">
      <c r="K6919" s="65"/>
      <c r="L6919" s="65"/>
    </row>
    <row r="6920" spans="11:12">
      <c r="K6920" s="65"/>
      <c r="L6920" s="65"/>
    </row>
    <row r="6921" spans="11:12">
      <c r="K6921" s="65"/>
      <c r="L6921" s="65"/>
    </row>
    <row r="6922" spans="11:12">
      <c r="K6922" s="65"/>
      <c r="L6922" s="65"/>
    </row>
    <row r="6923" spans="11:12">
      <c r="K6923" s="65"/>
      <c r="L6923" s="65"/>
    </row>
    <row r="6924" spans="11:12">
      <c r="K6924" s="65"/>
      <c r="L6924" s="65"/>
    </row>
    <row r="6925" spans="11:12">
      <c r="K6925" s="65"/>
      <c r="L6925" s="65"/>
    </row>
    <row r="6926" spans="11:12">
      <c r="K6926" s="65"/>
      <c r="L6926" s="65"/>
    </row>
    <row r="6927" spans="11:12">
      <c r="K6927" s="65"/>
      <c r="L6927" s="65"/>
    </row>
    <row r="6928" spans="11:12">
      <c r="K6928" s="65"/>
      <c r="L6928" s="65"/>
    </row>
    <row r="6929" spans="11:12">
      <c r="K6929" s="65"/>
      <c r="L6929" s="65"/>
    </row>
    <row r="6930" spans="11:12">
      <c r="K6930" s="65"/>
      <c r="L6930" s="65"/>
    </row>
    <row r="6931" spans="11:12">
      <c r="K6931" s="65"/>
      <c r="L6931" s="65"/>
    </row>
    <row r="6932" spans="11:12">
      <c r="K6932" s="65"/>
      <c r="L6932" s="65"/>
    </row>
    <row r="6933" spans="11:12">
      <c r="K6933" s="65"/>
      <c r="L6933" s="65"/>
    </row>
    <row r="6934" spans="11:12">
      <c r="K6934" s="65"/>
      <c r="L6934" s="65"/>
    </row>
    <row r="6935" spans="11:12">
      <c r="K6935" s="65"/>
      <c r="L6935" s="65"/>
    </row>
    <row r="6936" spans="11:12">
      <c r="K6936" s="65"/>
      <c r="L6936" s="65"/>
    </row>
    <row r="6937" spans="11:12">
      <c r="K6937" s="65"/>
      <c r="L6937" s="65"/>
    </row>
    <row r="6938" spans="11:12">
      <c r="K6938" s="65"/>
      <c r="L6938" s="65"/>
    </row>
    <row r="6939" spans="11:12">
      <c r="K6939" s="65"/>
      <c r="L6939" s="65"/>
    </row>
    <row r="6940" spans="11:12">
      <c r="K6940" s="65"/>
      <c r="L6940" s="65"/>
    </row>
    <row r="6941" spans="11:12">
      <c r="K6941" s="65"/>
      <c r="L6941" s="65"/>
    </row>
    <row r="6942" spans="11:12">
      <c r="K6942" s="65"/>
      <c r="L6942" s="65"/>
    </row>
    <row r="6943" spans="11:12">
      <c r="K6943" s="65"/>
      <c r="L6943" s="65"/>
    </row>
    <row r="6944" spans="11:12">
      <c r="K6944" s="65"/>
      <c r="L6944" s="65"/>
    </row>
    <row r="6945" spans="11:12">
      <c r="K6945" s="65"/>
      <c r="L6945" s="65"/>
    </row>
    <row r="6946" spans="11:12">
      <c r="K6946" s="65"/>
      <c r="L6946" s="65"/>
    </row>
    <row r="6947" spans="11:12">
      <c r="K6947" s="65"/>
      <c r="L6947" s="65"/>
    </row>
    <row r="6948" spans="11:12">
      <c r="K6948" s="65"/>
      <c r="L6948" s="65"/>
    </row>
    <row r="6949" spans="11:12">
      <c r="K6949" s="65"/>
      <c r="L6949" s="65"/>
    </row>
    <row r="6950" spans="11:12">
      <c r="K6950" s="65"/>
      <c r="L6950" s="65"/>
    </row>
    <row r="6951" spans="11:12">
      <c r="K6951" s="65"/>
      <c r="L6951" s="65"/>
    </row>
    <row r="6952" spans="11:12">
      <c r="K6952" s="65"/>
      <c r="L6952" s="65"/>
    </row>
    <row r="6953" spans="11:12">
      <c r="K6953" s="65"/>
      <c r="L6953" s="65"/>
    </row>
    <row r="6954" spans="11:12">
      <c r="K6954" s="65"/>
      <c r="L6954" s="65"/>
    </row>
    <row r="6955" spans="11:12">
      <c r="K6955" s="65"/>
      <c r="L6955" s="65"/>
    </row>
    <row r="6956" spans="11:12">
      <c r="K6956" s="65"/>
      <c r="L6956" s="65"/>
    </row>
    <row r="6957" spans="11:12">
      <c r="K6957" s="65"/>
      <c r="L6957" s="65"/>
    </row>
    <row r="6958" spans="11:12">
      <c r="K6958" s="65"/>
      <c r="L6958" s="65"/>
    </row>
    <row r="6959" spans="11:12">
      <c r="K6959" s="65"/>
      <c r="L6959" s="65"/>
    </row>
    <row r="6960" spans="11:12">
      <c r="K6960" s="65"/>
      <c r="L6960" s="65"/>
    </row>
    <row r="6961" spans="11:12">
      <c r="K6961" s="65"/>
      <c r="L6961" s="65"/>
    </row>
    <row r="6962" spans="11:12">
      <c r="K6962" s="65"/>
      <c r="L6962" s="65"/>
    </row>
    <row r="6963" spans="11:12">
      <c r="K6963" s="65"/>
      <c r="L6963" s="65"/>
    </row>
    <row r="6964" spans="11:12">
      <c r="K6964" s="65"/>
      <c r="L6964" s="65"/>
    </row>
    <row r="6965" spans="11:12">
      <c r="K6965" s="65"/>
      <c r="L6965" s="65"/>
    </row>
    <row r="6966" spans="11:12">
      <c r="K6966" s="65"/>
      <c r="L6966" s="65"/>
    </row>
    <row r="6967" spans="11:12">
      <c r="K6967" s="65"/>
      <c r="L6967" s="65"/>
    </row>
    <row r="6968" spans="11:12">
      <c r="K6968" s="65"/>
      <c r="L6968" s="65"/>
    </row>
    <row r="6969" spans="11:12">
      <c r="K6969" s="65"/>
      <c r="L6969" s="65"/>
    </row>
    <row r="6970" spans="11:12">
      <c r="K6970" s="65"/>
      <c r="L6970" s="65"/>
    </row>
    <row r="6971" spans="11:12">
      <c r="K6971" s="65"/>
      <c r="L6971" s="65"/>
    </row>
    <row r="6972" spans="11:12">
      <c r="K6972" s="65"/>
      <c r="L6972" s="65"/>
    </row>
    <row r="6973" spans="11:12">
      <c r="K6973" s="65"/>
      <c r="L6973" s="65"/>
    </row>
    <row r="6974" spans="11:12">
      <c r="K6974" s="65"/>
      <c r="L6974" s="65"/>
    </row>
    <row r="6975" spans="11:12">
      <c r="K6975" s="65"/>
      <c r="L6975" s="65"/>
    </row>
    <row r="6976" spans="11:12">
      <c r="K6976" s="65"/>
      <c r="L6976" s="65"/>
    </row>
    <row r="6977" spans="11:12">
      <c r="K6977" s="65"/>
      <c r="L6977" s="65"/>
    </row>
    <row r="6978" spans="11:12">
      <c r="K6978" s="65"/>
      <c r="L6978" s="65"/>
    </row>
    <row r="6979" spans="11:12">
      <c r="K6979" s="65"/>
      <c r="L6979" s="65"/>
    </row>
    <row r="6980" spans="11:12">
      <c r="K6980" s="65"/>
      <c r="L6980" s="65"/>
    </row>
    <row r="6981" spans="11:12">
      <c r="K6981" s="65"/>
      <c r="L6981" s="65"/>
    </row>
    <row r="6982" spans="11:12">
      <c r="K6982" s="65"/>
      <c r="L6982" s="65"/>
    </row>
    <row r="6983" spans="11:12">
      <c r="K6983" s="65"/>
      <c r="L6983" s="65"/>
    </row>
    <row r="6984" spans="11:12">
      <c r="K6984" s="65"/>
      <c r="L6984" s="65"/>
    </row>
    <row r="6985" spans="11:12">
      <c r="K6985" s="65"/>
      <c r="L6985" s="65"/>
    </row>
    <row r="6986" spans="11:12">
      <c r="K6986" s="65"/>
      <c r="L6986" s="65"/>
    </row>
    <row r="6987" spans="11:12">
      <c r="K6987" s="65"/>
      <c r="L6987" s="65"/>
    </row>
    <row r="6988" spans="11:12">
      <c r="K6988" s="65"/>
      <c r="L6988" s="65"/>
    </row>
    <row r="6989" spans="11:12">
      <c r="K6989" s="65"/>
      <c r="L6989" s="65"/>
    </row>
    <row r="6990" spans="11:12">
      <c r="K6990" s="65"/>
      <c r="L6990" s="65"/>
    </row>
    <row r="6991" spans="11:12">
      <c r="K6991" s="65"/>
      <c r="L6991" s="65"/>
    </row>
    <row r="6992" spans="11:12">
      <c r="K6992" s="65"/>
      <c r="L6992" s="65"/>
    </row>
    <row r="6993" spans="11:12">
      <c r="K6993" s="65"/>
      <c r="L6993" s="65"/>
    </row>
    <row r="6994" spans="11:12">
      <c r="K6994" s="65"/>
      <c r="L6994" s="65"/>
    </row>
    <row r="6995" spans="11:12">
      <c r="K6995" s="65"/>
      <c r="L6995" s="65"/>
    </row>
    <row r="6996" spans="11:12">
      <c r="K6996" s="65"/>
      <c r="L6996" s="65"/>
    </row>
    <row r="6997" spans="11:12">
      <c r="K6997" s="65"/>
      <c r="L6997" s="65"/>
    </row>
    <row r="6998" spans="11:12">
      <c r="K6998" s="65"/>
      <c r="L6998" s="65"/>
    </row>
    <row r="6999" spans="11:12">
      <c r="K6999" s="65"/>
      <c r="L6999" s="65"/>
    </row>
    <row r="7000" spans="11:12">
      <c r="K7000" s="65"/>
      <c r="L7000" s="65"/>
    </row>
    <row r="7001" spans="11:12">
      <c r="K7001" s="65"/>
      <c r="L7001" s="65"/>
    </row>
    <row r="7002" spans="11:12">
      <c r="K7002" s="65"/>
      <c r="L7002" s="65"/>
    </row>
    <row r="7003" spans="11:12">
      <c r="K7003" s="65"/>
      <c r="L7003" s="65"/>
    </row>
    <row r="7004" spans="11:12">
      <c r="K7004" s="65"/>
      <c r="L7004" s="65"/>
    </row>
    <row r="7005" spans="11:12">
      <c r="K7005" s="65"/>
      <c r="L7005" s="65"/>
    </row>
    <row r="7006" spans="11:12">
      <c r="K7006" s="65"/>
      <c r="L7006" s="65"/>
    </row>
    <row r="7007" spans="11:12">
      <c r="K7007" s="65"/>
      <c r="L7007" s="65"/>
    </row>
    <row r="7008" spans="11:12">
      <c r="K7008" s="65"/>
      <c r="L7008" s="65"/>
    </row>
    <row r="7009" spans="11:12">
      <c r="K7009" s="65"/>
      <c r="L7009" s="65"/>
    </row>
    <row r="7010" spans="11:12">
      <c r="K7010" s="65"/>
      <c r="L7010" s="65"/>
    </row>
    <row r="7011" spans="11:12">
      <c r="K7011" s="65"/>
      <c r="L7011" s="65"/>
    </row>
    <row r="7012" spans="11:12">
      <c r="K7012" s="65"/>
      <c r="L7012" s="65"/>
    </row>
    <row r="7013" spans="11:12">
      <c r="K7013" s="65"/>
      <c r="L7013" s="65"/>
    </row>
    <row r="7014" spans="11:12">
      <c r="K7014" s="65"/>
      <c r="L7014" s="65"/>
    </row>
    <row r="7015" spans="11:12">
      <c r="K7015" s="65"/>
      <c r="L7015" s="65"/>
    </row>
    <row r="7016" spans="11:12">
      <c r="K7016" s="65"/>
      <c r="L7016" s="65"/>
    </row>
    <row r="7017" spans="11:12">
      <c r="K7017" s="65"/>
      <c r="L7017" s="65"/>
    </row>
    <row r="7018" spans="11:12">
      <c r="K7018" s="65"/>
      <c r="L7018" s="65"/>
    </row>
    <row r="7019" spans="11:12">
      <c r="K7019" s="65"/>
      <c r="L7019" s="65"/>
    </row>
    <row r="7020" spans="11:12">
      <c r="K7020" s="65"/>
      <c r="L7020" s="65"/>
    </row>
    <row r="7021" spans="11:12">
      <c r="K7021" s="65"/>
      <c r="L7021" s="65"/>
    </row>
    <row r="7022" spans="11:12">
      <c r="K7022" s="65"/>
      <c r="L7022" s="65"/>
    </row>
    <row r="7023" spans="11:12">
      <c r="K7023" s="65"/>
      <c r="L7023" s="65"/>
    </row>
    <row r="7024" spans="11:12">
      <c r="K7024" s="65"/>
      <c r="L7024" s="65"/>
    </row>
    <row r="7025" spans="11:12">
      <c r="K7025" s="65"/>
      <c r="L7025" s="65"/>
    </row>
    <row r="7026" spans="11:12">
      <c r="K7026" s="65"/>
      <c r="L7026" s="65"/>
    </row>
    <row r="7027" spans="11:12">
      <c r="K7027" s="65"/>
      <c r="L7027" s="65"/>
    </row>
    <row r="7028" spans="11:12">
      <c r="K7028" s="65"/>
      <c r="L7028" s="65"/>
    </row>
    <row r="7029" spans="11:12">
      <c r="K7029" s="65"/>
      <c r="L7029" s="65"/>
    </row>
    <row r="7030" spans="11:12">
      <c r="K7030" s="65"/>
      <c r="L7030" s="65"/>
    </row>
    <row r="7031" spans="11:12">
      <c r="K7031" s="65"/>
      <c r="L7031" s="65"/>
    </row>
    <row r="7032" spans="11:12">
      <c r="K7032" s="65"/>
      <c r="L7032" s="65"/>
    </row>
    <row r="7033" spans="11:12">
      <c r="K7033" s="65"/>
      <c r="L7033" s="65"/>
    </row>
    <row r="7034" spans="11:12">
      <c r="K7034" s="65"/>
      <c r="L7034" s="65"/>
    </row>
    <row r="7035" spans="11:12">
      <c r="K7035" s="65"/>
      <c r="L7035" s="65"/>
    </row>
    <row r="7036" spans="11:12">
      <c r="K7036" s="65"/>
      <c r="L7036" s="65"/>
    </row>
    <row r="7037" spans="11:12">
      <c r="K7037" s="65"/>
      <c r="L7037" s="65"/>
    </row>
    <row r="7038" spans="11:12">
      <c r="K7038" s="65"/>
      <c r="L7038" s="65"/>
    </row>
    <row r="7039" spans="11:12">
      <c r="K7039" s="65"/>
      <c r="L7039" s="65"/>
    </row>
    <row r="7040" spans="11:12">
      <c r="K7040" s="65"/>
      <c r="L7040" s="65"/>
    </row>
    <row r="7041" spans="11:12">
      <c r="K7041" s="65"/>
      <c r="L7041" s="65"/>
    </row>
    <row r="7042" spans="11:12">
      <c r="K7042" s="65"/>
      <c r="L7042" s="65"/>
    </row>
    <row r="7043" spans="11:12">
      <c r="K7043" s="65"/>
      <c r="L7043" s="65"/>
    </row>
    <row r="7044" spans="11:12">
      <c r="K7044" s="65"/>
      <c r="L7044" s="65"/>
    </row>
    <row r="7045" spans="11:12">
      <c r="K7045" s="65"/>
      <c r="L7045" s="65"/>
    </row>
    <row r="7046" spans="11:12">
      <c r="K7046" s="65"/>
      <c r="L7046" s="65"/>
    </row>
    <row r="7047" spans="11:12">
      <c r="K7047" s="65"/>
      <c r="L7047" s="65"/>
    </row>
    <row r="7048" spans="11:12">
      <c r="K7048" s="65"/>
      <c r="L7048" s="65"/>
    </row>
    <row r="7049" spans="11:12">
      <c r="K7049" s="65"/>
      <c r="L7049" s="65"/>
    </row>
    <row r="7050" spans="11:12">
      <c r="K7050" s="65"/>
      <c r="L7050" s="65"/>
    </row>
    <row r="7051" spans="11:12">
      <c r="K7051" s="65"/>
      <c r="L7051" s="65"/>
    </row>
    <row r="7052" spans="11:12">
      <c r="K7052" s="65"/>
      <c r="L7052" s="65"/>
    </row>
    <row r="7053" spans="11:12">
      <c r="K7053" s="65"/>
      <c r="L7053" s="65"/>
    </row>
    <row r="7054" spans="11:12">
      <c r="K7054" s="65"/>
      <c r="L7054" s="65"/>
    </row>
    <row r="7055" spans="11:12">
      <c r="K7055" s="65"/>
      <c r="L7055" s="65"/>
    </row>
    <row r="7056" spans="11:12">
      <c r="K7056" s="65"/>
      <c r="L7056" s="65"/>
    </row>
    <row r="7057" spans="11:12">
      <c r="K7057" s="65"/>
      <c r="L7057" s="65"/>
    </row>
    <row r="7058" spans="11:12">
      <c r="K7058" s="65"/>
      <c r="L7058" s="65"/>
    </row>
    <row r="7059" spans="11:12">
      <c r="K7059" s="65"/>
      <c r="L7059" s="65"/>
    </row>
    <row r="7060" spans="11:12">
      <c r="K7060" s="65"/>
      <c r="L7060" s="65"/>
    </row>
    <row r="7061" spans="11:12">
      <c r="K7061" s="65"/>
      <c r="L7061" s="65"/>
    </row>
    <row r="7062" spans="11:12">
      <c r="K7062" s="65"/>
      <c r="L7062" s="65"/>
    </row>
    <row r="7063" spans="11:12">
      <c r="K7063" s="65"/>
      <c r="L7063" s="65"/>
    </row>
    <row r="7064" spans="11:12">
      <c r="K7064" s="65"/>
      <c r="L7064" s="65"/>
    </row>
    <row r="7065" spans="11:12">
      <c r="K7065" s="65"/>
      <c r="L7065" s="65"/>
    </row>
    <row r="7066" spans="11:12">
      <c r="K7066" s="65"/>
      <c r="L7066" s="65"/>
    </row>
    <row r="7067" spans="11:12">
      <c r="K7067" s="65"/>
      <c r="L7067" s="65"/>
    </row>
    <row r="7068" spans="11:12">
      <c r="K7068" s="65"/>
      <c r="L7068" s="65"/>
    </row>
    <row r="7069" spans="11:12">
      <c r="K7069" s="65"/>
      <c r="L7069" s="65"/>
    </row>
    <row r="7070" spans="11:12">
      <c r="K7070" s="65"/>
      <c r="L7070" s="65"/>
    </row>
    <row r="7071" spans="11:12">
      <c r="K7071" s="65"/>
      <c r="L7071" s="65"/>
    </row>
    <row r="7072" spans="11:12">
      <c r="K7072" s="65"/>
      <c r="L7072" s="65"/>
    </row>
    <row r="7073" spans="11:12">
      <c r="K7073" s="65"/>
      <c r="L7073" s="65"/>
    </row>
    <row r="7074" spans="11:12">
      <c r="K7074" s="65"/>
      <c r="L7074" s="65"/>
    </row>
    <row r="7075" spans="11:12">
      <c r="K7075" s="65"/>
      <c r="L7075" s="65"/>
    </row>
    <row r="7076" spans="11:12">
      <c r="K7076" s="65"/>
      <c r="L7076" s="65"/>
    </row>
    <row r="7077" spans="11:12">
      <c r="K7077" s="65"/>
      <c r="L7077" s="65"/>
    </row>
    <row r="7078" spans="11:12">
      <c r="K7078" s="65"/>
      <c r="L7078" s="65"/>
    </row>
    <row r="7079" spans="11:12">
      <c r="K7079" s="65"/>
      <c r="L7079" s="65"/>
    </row>
    <row r="7080" spans="11:12">
      <c r="K7080" s="65"/>
      <c r="L7080" s="65"/>
    </row>
    <row r="7081" spans="11:12">
      <c r="K7081" s="65"/>
      <c r="L7081" s="65"/>
    </row>
    <row r="7082" spans="11:12">
      <c r="K7082" s="65"/>
      <c r="L7082" s="65"/>
    </row>
    <row r="7083" spans="11:12">
      <c r="K7083" s="65"/>
      <c r="L7083" s="65"/>
    </row>
    <row r="7084" spans="11:12">
      <c r="K7084" s="65"/>
      <c r="L7084" s="65"/>
    </row>
    <row r="7085" spans="11:12">
      <c r="K7085" s="65"/>
      <c r="L7085" s="65"/>
    </row>
    <row r="7086" spans="11:12">
      <c r="K7086" s="65"/>
      <c r="L7086" s="65"/>
    </row>
    <row r="7087" spans="11:12">
      <c r="K7087" s="65"/>
      <c r="L7087" s="65"/>
    </row>
    <row r="7088" spans="11:12">
      <c r="K7088" s="65"/>
      <c r="L7088" s="65"/>
    </row>
    <row r="7089" spans="11:12">
      <c r="K7089" s="65"/>
      <c r="L7089" s="65"/>
    </row>
    <row r="7090" spans="11:12">
      <c r="K7090" s="65"/>
      <c r="L7090" s="65"/>
    </row>
    <row r="7091" spans="11:12">
      <c r="K7091" s="65"/>
      <c r="L7091" s="65"/>
    </row>
    <row r="7092" spans="11:12">
      <c r="K7092" s="65"/>
      <c r="L7092" s="65"/>
    </row>
    <row r="7093" spans="11:12">
      <c r="K7093" s="65"/>
      <c r="L7093" s="65"/>
    </row>
    <row r="7094" spans="11:12">
      <c r="K7094" s="65"/>
      <c r="L7094" s="65"/>
    </row>
    <row r="7095" spans="11:12">
      <c r="K7095" s="65"/>
      <c r="L7095" s="65"/>
    </row>
    <row r="7096" spans="11:12">
      <c r="K7096" s="65"/>
      <c r="L7096" s="65"/>
    </row>
    <row r="7097" spans="11:12">
      <c r="K7097" s="65"/>
      <c r="L7097" s="65"/>
    </row>
    <row r="7098" spans="11:12">
      <c r="K7098" s="65"/>
      <c r="L7098" s="65"/>
    </row>
    <row r="7099" spans="11:12">
      <c r="K7099" s="65"/>
      <c r="L7099" s="65"/>
    </row>
    <row r="7100" spans="11:12">
      <c r="K7100" s="65"/>
      <c r="L7100" s="65"/>
    </row>
    <row r="7101" spans="11:12">
      <c r="K7101" s="65"/>
      <c r="L7101" s="65"/>
    </row>
    <row r="7102" spans="11:12">
      <c r="K7102" s="65"/>
      <c r="L7102" s="65"/>
    </row>
    <row r="7103" spans="11:12">
      <c r="K7103" s="65"/>
      <c r="L7103" s="65"/>
    </row>
    <row r="7104" spans="11:12">
      <c r="K7104" s="65"/>
      <c r="L7104" s="65"/>
    </row>
    <row r="7105" spans="11:12">
      <c r="K7105" s="65"/>
      <c r="L7105" s="65"/>
    </row>
    <row r="7106" spans="11:12">
      <c r="K7106" s="65"/>
      <c r="L7106" s="65"/>
    </row>
    <row r="7107" spans="11:12">
      <c r="K7107" s="65"/>
      <c r="L7107" s="65"/>
    </row>
    <row r="7108" spans="11:12">
      <c r="K7108" s="65"/>
      <c r="L7108" s="65"/>
    </row>
    <row r="7109" spans="11:12">
      <c r="K7109" s="65"/>
      <c r="L7109" s="65"/>
    </row>
    <row r="7110" spans="11:12">
      <c r="K7110" s="65"/>
      <c r="L7110" s="65"/>
    </row>
    <row r="7111" spans="11:12">
      <c r="K7111" s="65"/>
      <c r="L7111" s="65"/>
    </row>
    <row r="7112" spans="11:12">
      <c r="K7112" s="65"/>
      <c r="L7112" s="65"/>
    </row>
    <row r="7113" spans="11:12">
      <c r="K7113" s="65"/>
      <c r="L7113" s="65"/>
    </row>
    <row r="7114" spans="11:12">
      <c r="K7114" s="65"/>
      <c r="L7114" s="65"/>
    </row>
    <row r="7115" spans="11:12">
      <c r="K7115" s="65"/>
      <c r="L7115" s="65"/>
    </row>
    <row r="7116" spans="11:12">
      <c r="K7116" s="65"/>
      <c r="L7116" s="65"/>
    </row>
    <row r="7117" spans="11:12">
      <c r="K7117" s="65"/>
      <c r="L7117" s="65"/>
    </row>
    <row r="7118" spans="11:12">
      <c r="K7118" s="65"/>
      <c r="L7118" s="65"/>
    </row>
    <row r="7119" spans="11:12">
      <c r="K7119" s="65"/>
      <c r="L7119" s="65"/>
    </row>
    <row r="7120" spans="11:12">
      <c r="K7120" s="65"/>
      <c r="L7120" s="65"/>
    </row>
    <row r="7121" spans="11:12">
      <c r="K7121" s="65"/>
      <c r="L7121" s="65"/>
    </row>
    <row r="7122" spans="11:12">
      <c r="K7122" s="65"/>
      <c r="L7122" s="65"/>
    </row>
    <row r="7123" spans="11:12">
      <c r="K7123" s="65"/>
      <c r="L7123" s="65"/>
    </row>
    <row r="7124" spans="11:12">
      <c r="K7124" s="65"/>
      <c r="L7124" s="65"/>
    </row>
    <row r="7125" spans="11:12">
      <c r="K7125" s="65"/>
      <c r="L7125" s="65"/>
    </row>
    <row r="7126" spans="11:12">
      <c r="K7126" s="65"/>
      <c r="L7126" s="65"/>
    </row>
    <row r="7127" spans="11:12">
      <c r="K7127" s="65"/>
      <c r="L7127" s="65"/>
    </row>
    <row r="7128" spans="11:12">
      <c r="K7128" s="65"/>
      <c r="L7128" s="65"/>
    </row>
    <row r="7129" spans="11:12">
      <c r="K7129" s="65"/>
      <c r="L7129" s="65"/>
    </row>
    <row r="7130" spans="11:12">
      <c r="K7130" s="65"/>
      <c r="L7130" s="65"/>
    </row>
    <row r="7131" spans="11:12">
      <c r="K7131" s="65"/>
      <c r="L7131" s="65"/>
    </row>
    <row r="7132" spans="11:12">
      <c r="K7132" s="65"/>
      <c r="L7132" s="65"/>
    </row>
    <row r="7133" spans="11:12">
      <c r="K7133" s="65"/>
      <c r="L7133" s="65"/>
    </row>
    <row r="7134" spans="11:12">
      <c r="K7134" s="65"/>
      <c r="L7134" s="65"/>
    </row>
    <row r="7135" spans="11:12">
      <c r="K7135" s="65"/>
      <c r="L7135" s="65"/>
    </row>
    <row r="7136" spans="11:12">
      <c r="K7136" s="65"/>
      <c r="L7136" s="65"/>
    </row>
    <row r="7137" spans="11:12">
      <c r="K7137" s="65"/>
      <c r="L7137" s="65"/>
    </row>
    <row r="7138" spans="11:12">
      <c r="K7138" s="65"/>
      <c r="L7138" s="65"/>
    </row>
    <row r="7139" spans="11:12">
      <c r="K7139" s="65"/>
      <c r="L7139" s="65"/>
    </row>
    <row r="7140" spans="11:12">
      <c r="K7140" s="65"/>
      <c r="L7140" s="65"/>
    </row>
    <row r="7141" spans="11:12">
      <c r="K7141" s="65"/>
      <c r="L7141" s="65"/>
    </row>
    <row r="7142" spans="11:12">
      <c r="K7142" s="65"/>
      <c r="L7142" s="65"/>
    </row>
    <row r="7143" spans="11:12">
      <c r="K7143" s="65"/>
      <c r="L7143" s="65"/>
    </row>
    <row r="7144" spans="11:12">
      <c r="K7144" s="65"/>
      <c r="L7144" s="65"/>
    </row>
    <row r="7145" spans="11:12">
      <c r="K7145" s="65"/>
      <c r="L7145" s="65"/>
    </row>
    <row r="7146" spans="11:12">
      <c r="K7146" s="65"/>
      <c r="L7146" s="65"/>
    </row>
    <row r="7147" spans="11:12">
      <c r="K7147" s="65"/>
      <c r="L7147" s="65"/>
    </row>
    <row r="7148" spans="11:12">
      <c r="K7148" s="65"/>
      <c r="L7148" s="65"/>
    </row>
    <row r="7149" spans="11:12">
      <c r="K7149" s="65"/>
      <c r="L7149" s="65"/>
    </row>
    <row r="7150" spans="11:12">
      <c r="K7150" s="65"/>
      <c r="L7150" s="65"/>
    </row>
    <row r="7151" spans="11:12">
      <c r="K7151" s="65"/>
      <c r="L7151" s="65"/>
    </row>
    <row r="7152" spans="11:12">
      <c r="K7152" s="65"/>
      <c r="L7152" s="65"/>
    </row>
    <row r="7153" spans="11:12">
      <c r="K7153" s="65"/>
      <c r="L7153" s="65"/>
    </row>
    <row r="7154" spans="11:12">
      <c r="K7154" s="65"/>
      <c r="L7154" s="65"/>
    </row>
    <row r="7155" spans="11:12">
      <c r="K7155" s="65"/>
      <c r="L7155" s="65"/>
    </row>
    <row r="7156" spans="11:12">
      <c r="K7156" s="65"/>
      <c r="L7156" s="65"/>
    </row>
    <row r="7157" spans="11:12">
      <c r="K7157" s="65"/>
      <c r="L7157" s="65"/>
    </row>
    <row r="7158" spans="11:12">
      <c r="K7158" s="65"/>
      <c r="L7158" s="65"/>
    </row>
    <row r="7159" spans="11:12">
      <c r="K7159" s="65"/>
      <c r="L7159" s="65"/>
    </row>
    <row r="7160" spans="11:12">
      <c r="K7160" s="65"/>
      <c r="L7160" s="65"/>
    </row>
    <row r="7161" spans="11:12">
      <c r="K7161" s="65"/>
      <c r="L7161" s="65"/>
    </row>
    <row r="7162" spans="11:12">
      <c r="K7162" s="65"/>
      <c r="L7162" s="65"/>
    </row>
    <row r="7163" spans="11:12">
      <c r="K7163" s="65"/>
      <c r="L7163" s="65"/>
    </row>
    <row r="7164" spans="11:12">
      <c r="K7164" s="65"/>
      <c r="L7164" s="65"/>
    </row>
    <row r="7165" spans="11:12">
      <c r="K7165" s="65"/>
      <c r="L7165" s="65"/>
    </row>
    <row r="7166" spans="11:12">
      <c r="K7166" s="65"/>
      <c r="L7166" s="65"/>
    </row>
    <row r="7167" spans="11:12">
      <c r="K7167" s="65"/>
      <c r="L7167" s="65"/>
    </row>
    <row r="7168" spans="11:12">
      <c r="K7168" s="65"/>
      <c r="L7168" s="65"/>
    </row>
    <row r="7169" spans="11:12">
      <c r="K7169" s="65"/>
      <c r="L7169" s="65"/>
    </row>
    <row r="7170" spans="11:12">
      <c r="K7170" s="65"/>
      <c r="L7170" s="65"/>
    </row>
    <row r="7171" spans="11:12">
      <c r="K7171" s="65"/>
      <c r="L7171" s="65"/>
    </row>
    <row r="7172" spans="11:12">
      <c r="K7172" s="65"/>
      <c r="L7172" s="65"/>
    </row>
    <row r="7173" spans="11:12">
      <c r="K7173" s="65"/>
      <c r="L7173" s="65"/>
    </row>
    <row r="7174" spans="11:12">
      <c r="K7174" s="65"/>
      <c r="L7174" s="65"/>
    </row>
    <row r="7175" spans="11:12">
      <c r="K7175" s="65"/>
      <c r="L7175" s="65"/>
    </row>
    <row r="7176" spans="11:12">
      <c r="K7176" s="65"/>
      <c r="L7176" s="65"/>
    </row>
    <row r="7177" spans="11:12">
      <c r="K7177" s="65"/>
      <c r="L7177" s="65"/>
    </row>
    <row r="7178" spans="11:12">
      <c r="K7178" s="65"/>
      <c r="L7178" s="65"/>
    </row>
    <row r="7179" spans="11:12">
      <c r="K7179" s="65"/>
      <c r="L7179" s="65"/>
    </row>
    <row r="7180" spans="11:12">
      <c r="K7180" s="65"/>
      <c r="L7180" s="65"/>
    </row>
    <row r="7181" spans="11:12">
      <c r="K7181" s="65"/>
      <c r="L7181" s="65"/>
    </row>
    <row r="7182" spans="11:12">
      <c r="K7182" s="65"/>
      <c r="L7182" s="65"/>
    </row>
    <row r="7183" spans="11:12">
      <c r="K7183" s="65"/>
      <c r="L7183" s="65"/>
    </row>
    <row r="7184" spans="11:12">
      <c r="K7184" s="65"/>
      <c r="L7184" s="65"/>
    </row>
    <row r="7185" spans="11:12">
      <c r="K7185" s="65"/>
      <c r="L7185" s="65"/>
    </row>
    <row r="7186" spans="11:12">
      <c r="K7186" s="65"/>
      <c r="L7186" s="65"/>
    </row>
    <row r="7187" spans="11:12">
      <c r="K7187" s="65"/>
      <c r="L7187" s="65"/>
    </row>
    <row r="7188" spans="11:12">
      <c r="K7188" s="65"/>
      <c r="L7188" s="65"/>
    </row>
    <row r="7189" spans="11:12">
      <c r="K7189" s="65"/>
      <c r="L7189" s="65"/>
    </row>
    <row r="7190" spans="11:12">
      <c r="K7190" s="65"/>
      <c r="L7190" s="65"/>
    </row>
    <row r="7191" spans="11:12">
      <c r="K7191" s="65"/>
      <c r="L7191" s="65"/>
    </row>
    <row r="7192" spans="11:12">
      <c r="K7192" s="65"/>
      <c r="L7192" s="65"/>
    </row>
    <row r="7193" spans="11:12">
      <c r="K7193" s="65"/>
      <c r="L7193" s="65"/>
    </row>
    <row r="7194" spans="11:12">
      <c r="K7194" s="65"/>
      <c r="L7194" s="65"/>
    </row>
    <row r="7195" spans="11:12">
      <c r="K7195" s="65"/>
      <c r="L7195" s="65"/>
    </row>
    <row r="7196" spans="11:12">
      <c r="K7196" s="65"/>
      <c r="L7196" s="65"/>
    </row>
    <row r="7197" spans="11:12">
      <c r="K7197" s="65"/>
      <c r="L7197" s="65"/>
    </row>
    <row r="7198" spans="11:12">
      <c r="K7198" s="65"/>
      <c r="L7198" s="65"/>
    </row>
    <row r="7199" spans="11:12">
      <c r="K7199" s="65"/>
      <c r="L7199" s="65"/>
    </row>
    <row r="7200" spans="11:12">
      <c r="K7200" s="65"/>
      <c r="L7200" s="65"/>
    </row>
    <row r="7201" spans="11:12">
      <c r="K7201" s="65"/>
      <c r="L7201" s="65"/>
    </row>
    <row r="7202" spans="11:12">
      <c r="K7202" s="65"/>
      <c r="L7202" s="65"/>
    </row>
    <row r="7203" spans="11:12">
      <c r="K7203" s="65"/>
      <c r="L7203" s="65"/>
    </row>
    <row r="7204" spans="11:12">
      <c r="K7204" s="65"/>
      <c r="L7204" s="65"/>
    </row>
    <row r="7205" spans="11:12">
      <c r="K7205" s="65"/>
      <c r="L7205" s="65"/>
    </row>
    <row r="7206" spans="11:12">
      <c r="K7206" s="65"/>
      <c r="L7206" s="65"/>
    </row>
    <row r="7207" spans="11:12">
      <c r="K7207" s="65"/>
      <c r="L7207" s="65"/>
    </row>
    <row r="7208" spans="11:12">
      <c r="K7208" s="65"/>
      <c r="L7208" s="65"/>
    </row>
    <row r="7209" spans="11:12">
      <c r="K7209" s="65"/>
      <c r="L7209" s="65"/>
    </row>
    <row r="7210" spans="11:12">
      <c r="K7210" s="65"/>
      <c r="L7210" s="65"/>
    </row>
    <row r="7211" spans="11:12">
      <c r="K7211" s="65"/>
      <c r="L7211" s="65"/>
    </row>
    <row r="7212" spans="11:12">
      <c r="K7212" s="65"/>
      <c r="L7212" s="65"/>
    </row>
    <row r="7213" spans="11:12">
      <c r="K7213" s="65"/>
      <c r="L7213" s="65"/>
    </row>
    <row r="7214" spans="11:12">
      <c r="K7214" s="65"/>
      <c r="L7214" s="65"/>
    </row>
    <row r="7215" spans="11:12">
      <c r="K7215" s="65"/>
      <c r="L7215" s="65"/>
    </row>
    <row r="7216" spans="11:12">
      <c r="K7216" s="65"/>
      <c r="L7216" s="65"/>
    </row>
    <row r="7217" spans="11:12">
      <c r="K7217" s="65"/>
      <c r="L7217" s="65"/>
    </row>
    <row r="7218" spans="11:12">
      <c r="K7218" s="65"/>
      <c r="L7218" s="65"/>
    </row>
    <row r="7219" spans="11:12">
      <c r="K7219" s="65"/>
      <c r="L7219" s="65"/>
    </row>
    <row r="7220" spans="11:12">
      <c r="K7220" s="65"/>
      <c r="L7220" s="65"/>
    </row>
    <row r="7221" spans="11:12">
      <c r="K7221" s="65"/>
      <c r="L7221" s="65"/>
    </row>
    <row r="7222" spans="11:12">
      <c r="K7222" s="65"/>
      <c r="L7222" s="65"/>
    </row>
    <row r="7223" spans="11:12">
      <c r="K7223" s="65"/>
      <c r="L7223" s="65"/>
    </row>
    <row r="7224" spans="11:12">
      <c r="K7224" s="65"/>
      <c r="L7224" s="65"/>
    </row>
    <row r="7225" spans="11:12">
      <c r="K7225" s="65"/>
      <c r="L7225" s="65"/>
    </row>
    <row r="7226" spans="11:12">
      <c r="K7226" s="65"/>
      <c r="L7226" s="65"/>
    </row>
    <row r="7227" spans="11:12">
      <c r="K7227" s="65"/>
      <c r="L7227" s="65"/>
    </row>
    <row r="7228" spans="11:12">
      <c r="K7228" s="65"/>
      <c r="L7228" s="65"/>
    </row>
    <row r="7229" spans="11:12">
      <c r="K7229" s="65"/>
      <c r="L7229" s="65"/>
    </row>
    <row r="7230" spans="11:12">
      <c r="K7230" s="65"/>
      <c r="L7230" s="65"/>
    </row>
    <row r="7231" spans="11:12">
      <c r="K7231" s="65"/>
      <c r="L7231" s="65"/>
    </row>
    <row r="7232" spans="11:12">
      <c r="K7232" s="65"/>
      <c r="L7232" s="65"/>
    </row>
    <row r="7233" spans="11:12">
      <c r="K7233" s="65"/>
      <c r="L7233" s="65"/>
    </row>
    <row r="7234" spans="11:12">
      <c r="K7234" s="65"/>
      <c r="L7234" s="65"/>
    </row>
    <row r="7235" spans="11:12">
      <c r="K7235" s="65"/>
      <c r="L7235" s="65"/>
    </row>
    <row r="7236" spans="11:12">
      <c r="K7236" s="65"/>
      <c r="L7236" s="65"/>
    </row>
    <row r="7237" spans="11:12">
      <c r="K7237" s="65"/>
      <c r="L7237" s="65"/>
    </row>
    <row r="7238" spans="11:12">
      <c r="K7238" s="65"/>
      <c r="L7238" s="65"/>
    </row>
    <row r="7239" spans="11:12">
      <c r="K7239" s="65"/>
      <c r="L7239" s="65"/>
    </row>
    <row r="7240" spans="11:12">
      <c r="K7240" s="65"/>
      <c r="L7240" s="65"/>
    </row>
    <row r="7241" spans="11:12">
      <c r="K7241" s="65"/>
      <c r="L7241" s="65"/>
    </row>
    <row r="7242" spans="11:12">
      <c r="K7242" s="65"/>
      <c r="L7242" s="65"/>
    </row>
    <row r="7243" spans="11:12">
      <c r="K7243" s="65"/>
      <c r="L7243" s="65"/>
    </row>
    <row r="7244" spans="11:12">
      <c r="K7244" s="65"/>
      <c r="L7244" s="65"/>
    </row>
    <row r="7245" spans="11:12">
      <c r="K7245" s="65"/>
      <c r="L7245" s="65"/>
    </row>
    <row r="7246" spans="11:12">
      <c r="K7246" s="65"/>
      <c r="L7246" s="65"/>
    </row>
    <row r="7247" spans="11:12">
      <c r="K7247" s="65"/>
      <c r="L7247" s="65"/>
    </row>
    <row r="7248" spans="11:12">
      <c r="K7248" s="65"/>
      <c r="L7248" s="65"/>
    </row>
    <row r="7249" spans="11:12">
      <c r="K7249" s="65"/>
      <c r="L7249" s="65"/>
    </row>
    <row r="7250" spans="11:12">
      <c r="K7250" s="65"/>
      <c r="L7250" s="65"/>
    </row>
    <row r="7251" spans="11:12">
      <c r="K7251" s="65"/>
      <c r="L7251" s="65"/>
    </row>
    <row r="7252" spans="11:12">
      <c r="K7252" s="65"/>
      <c r="L7252" s="65"/>
    </row>
    <row r="7253" spans="11:12">
      <c r="K7253" s="65"/>
      <c r="L7253" s="65"/>
    </row>
    <row r="7254" spans="11:12">
      <c r="K7254" s="65"/>
      <c r="L7254" s="65"/>
    </row>
    <row r="7255" spans="11:12">
      <c r="K7255" s="65"/>
      <c r="L7255" s="65"/>
    </row>
    <row r="7256" spans="11:12">
      <c r="K7256" s="65"/>
      <c r="L7256" s="65"/>
    </row>
    <row r="7257" spans="11:12">
      <c r="K7257" s="65"/>
      <c r="L7257" s="65"/>
    </row>
    <row r="7258" spans="11:12">
      <c r="K7258" s="65"/>
      <c r="L7258" s="65"/>
    </row>
    <row r="7259" spans="11:12">
      <c r="K7259" s="65"/>
      <c r="L7259" s="65"/>
    </row>
    <row r="7260" spans="11:12">
      <c r="K7260" s="65"/>
      <c r="L7260" s="65"/>
    </row>
    <row r="7261" spans="11:12">
      <c r="K7261" s="65"/>
      <c r="L7261" s="65"/>
    </row>
    <row r="7262" spans="11:12">
      <c r="K7262" s="65"/>
      <c r="L7262" s="65"/>
    </row>
    <row r="7263" spans="11:12">
      <c r="K7263" s="65"/>
      <c r="L7263" s="65"/>
    </row>
    <row r="7264" spans="11:12">
      <c r="K7264" s="65"/>
      <c r="L7264" s="65"/>
    </row>
    <row r="7265" spans="11:12">
      <c r="K7265" s="65"/>
      <c r="L7265" s="65"/>
    </row>
    <row r="7266" spans="11:12">
      <c r="K7266" s="65"/>
      <c r="L7266" s="65"/>
    </row>
    <row r="7267" spans="11:12">
      <c r="K7267" s="65"/>
      <c r="L7267" s="65"/>
    </row>
    <row r="7268" spans="11:12">
      <c r="K7268" s="65"/>
      <c r="L7268" s="65"/>
    </row>
    <row r="7269" spans="11:12">
      <c r="K7269" s="65"/>
      <c r="L7269" s="65"/>
    </row>
    <row r="7270" spans="11:12">
      <c r="K7270" s="65"/>
      <c r="L7270" s="65"/>
    </row>
    <row r="7271" spans="11:12">
      <c r="K7271" s="65"/>
      <c r="L7271" s="65"/>
    </row>
    <row r="7272" spans="11:12">
      <c r="K7272" s="65"/>
      <c r="L7272" s="65"/>
    </row>
    <row r="7273" spans="11:12">
      <c r="K7273" s="65"/>
      <c r="L7273" s="65"/>
    </row>
    <row r="7274" spans="11:12">
      <c r="K7274" s="65"/>
      <c r="L7274" s="65"/>
    </row>
    <row r="7275" spans="11:12">
      <c r="K7275" s="65"/>
      <c r="L7275" s="65"/>
    </row>
    <row r="7276" spans="11:12">
      <c r="K7276" s="65"/>
      <c r="L7276" s="65"/>
    </row>
    <row r="7277" spans="11:12">
      <c r="K7277" s="65"/>
      <c r="L7277" s="65"/>
    </row>
    <row r="7278" spans="11:12">
      <c r="K7278" s="65"/>
      <c r="L7278" s="65"/>
    </row>
    <row r="7279" spans="11:12">
      <c r="K7279" s="65"/>
      <c r="L7279" s="65"/>
    </row>
    <row r="7280" spans="11:12">
      <c r="K7280" s="65"/>
      <c r="L7280" s="65"/>
    </row>
    <row r="7281" spans="11:12">
      <c r="K7281" s="65"/>
      <c r="L7281" s="65"/>
    </row>
    <row r="7282" spans="11:12">
      <c r="K7282" s="65"/>
      <c r="L7282" s="65"/>
    </row>
    <row r="7283" spans="11:12">
      <c r="K7283" s="65"/>
      <c r="L7283" s="65"/>
    </row>
    <row r="7284" spans="11:12">
      <c r="K7284" s="65"/>
      <c r="L7284" s="65"/>
    </row>
    <row r="7285" spans="11:12">
      <c r="K7285" s="65"/>
      <c r="L7285" s="65"/>
    </row>
    <row r="7286" spans="11:12">
      <c r="K7286" s="65"/>
      <c r="L7286" s="65"/>
    </row>
    <row r="7287" spans="11:12">
      <c r="K7287" s="65"/>
      <c r="L7287" s="65"/>
    </row>
    <row r="7288" spans="11:12">
      <c r="K7288" s="65"/>
      <c r="L7288" s="65"/>
    </row>
    <row r="7289" spans="11:12">
      <c r="K7289" s="65"/>
      <c r="L7289" s="65"/>
    </row>
    <row r="7290" spans="11:12">
      <c r="K7290" s="65"/>
      <c r="L7290" s="65"/>
    </row>
    <row r="7291" spans="11:12">
      <c r="K7291" s="65"/>
      <c r="L7291" s="65"/>
    </row>
    <row r="7292" spans="11:12">
      <c r="K7292" s="65"/>
      <c r="L7292" s="65"/>
    </row>
    <row r="7293" spans="11:12">
      <c r="K7293" s="65"/>
      <c r="L7293" s="65"/>
    </row>
    <row r="7294" spans="11:12">
      <c r="K7294" s="65"/>
      <c r="L7294" s="65"/>
    </row>
    <row r="7295" spans="11:12">
      <c r="K7295" s="65"/>
      <c r="L7295" s="65"/>
    </row>
    <row r="7296" spans="11:12">
      <c r="K7296" s="65"/>
      <c r="L7296" s="65"/>
    </row>
    <row r="7297" spans="11:12">
      <c r="K7297" s="65"/>
      <c r="L7297" s="65"/>
    </row>
    <row r="7298" spans="11:12">
      <c r="K7298" s="65"/>
      <c r="L7298" s="65"/>
    </row>
    <row r="7299" spans="11:12">
      <c r="K7299" s="65"/>
      <c r="L7299" s="65"/>
    </row>
    <row r="7300" spans="11:12">
      <c r="K7300" s="65"/>
      <c r="L7300" s="65"/>
    </row>
    <row r="7301" spans="11:12">
      <c r="K7301" s="65"/>
      <c r="L7301" s="65"/>
    </row>
    <row r="7302" spans="11:12">
      <c r="K7302" s="65"/>
      <c r="L7302" s="65"/>
    </row>
    <row r="7303" spans="11:12">
      <c r="K7303" s="65"/>
      <c r="L7303" s="65"/>
    </row>
    <row r="7304" spans="11:12">
      <c r="K7304" s="65"/>
      <c r="L7304" s="65"/>
    </row>
    <row r="7305" spans="11:12">
      <c r="K7305" s="65"/>
      <c r="L7305" s="65"/>
    </row>
    <row r="7306" spans="11:12">
      <c r="K7306" s="65"/>
      <c r="L7306" s="65"/>
    </row>
    <row r="7307" spans="11:12">
      <c r="K7307" s="65"/>
      <c r="L7307" s="65"/>
    </row>
    <row r="7308" spans="11:12">
      <c r="K7308" s="65"/>
      <c r="L7308" s="65"/>
    </row>
    <row r="7309" spans="11:12">
      <c r="K7309" s="65"/>
      <c r="L7309" s="65"/>
    </row>
    <row r="7310" spans="11:12">
      <c r="K7310" s="65"/>
      <c r="L7310" s="65"/>
    </row>
    <row r="7311" spans="11:12">
      <c r="K7311" s="65"/>
      <c r="L7311" s="65"/>
    </row>
    <row r="7312" spans="11:12">
      <c r="K7312" s="65"/>
      <c r="L7312" s="65"/>
    </row>
    <row r="7313" spans="11:12">
      <c r="K7313" s="65"/>
      <c r="L7313" s="65"/>
    </row>
    <row r="7314" spans="11:12">
      <c r="K7314" s="65"/>
      <c r="L7314" s="65"/>
    </row>
    <row r="7315" spans="11:12">
      <c r="K7315" s="65"/>
      <c r="L7315" s="65"/>
    </row>
    <row r="7316" spans="11:12">
      <c r="K7316" s="65"/>
      <c r="L7316" s="65"/>
    </row>
    <row r="7317" spans="11:12">
      <c r="K7317" s="65"/>
      <c r="L7317" s="65"/>
    </row>
    <row r="7318" spans="11:12">
      <c r="K7318" s="65"/>
      <c r="L7318" s="65"/>
    </row>
    <row r="7319" spans="11:12">
      <c r="K7319" s="65"/>
      <c r="L7319" s="65"/>
    </row>
    <row r="7320" spans="11:12">
      <c r="K7320" s="65"/>
      <c r="L7320" s="65"/>
    </row>
    <row r="7321" spans="11:12">
      <c r="K7321" s="65"/>
      <c r="L7321" s="65"/>
    </row>
    <row r="7322" spans="11:12">
      <c r="K7322" s="65"/>
      <c r="L7322" s="65"/>
    </row>
    <row r="7323" spans="11:12">
      <c r="K7323" s="65"/>
      <c r="L7323" s="65"/>
    </row>
    <row r="7324" spans="11:12">
      <c r="K7324" s="65"/>
      <c r="L7324" s="65"/>
    </row>
    <row r="7325" spans="11:12">
      <c r="K7325" s="65"/>
      <c r="L7325" s="65"/>
    </row>
    <row r="7326" spans="11:12">
      <c r="K7326" s="65"/>
      <c r="L7326" s="65"/>
    </row>
    <row r="7327" spans="11:12">
      <c r="K7327" s="65"/>
      <c r="L7327" s="65"/>
    </row>
    <row r="7328" spans="11:12">
      <c r="K7328" s="65"/>
      <c r="L7328" s="65"/>
    </row>
    <row r="7329" spans="11:12">
      <c r="K7329" s="65"/>
      <c r="L7329" s="65"/>
    </row>
    <row r="7330" spans="11:12">
      <c r="K7330" s="65"/>
      <c r="L7330" s="65"/>
    </row>
    <row r="7331" spans="11:12">
      <c r="K7331" s="65"/>
      <c r="L7331" s="65"/>
    </row>
    <row r="7332" spans="11:12">
      <c r="K7332" s="65"/>
      <c r="L7332" s="65"/>
    </row>
    <row r="7333" spans="11:12">
      <c r="K7333" s="65"/>
      <c r="L7333" s="65"/>
    </row>
    <row r="7334" spans="11:12">
      <c r="K7334" s="65"/>
      <c r="L7334" s="65"/>
    </row>
    <row r="7335" spans="11:12">
      <c r="K7335" s="65"/>
      <c r="L7335" s="65"/>
    </row>
    <row r="7336" spans="11:12">
      <c r="K7336" s="65"/>
      <c r="L7336" s="65"/>
    </row>
    <row r="7337" spans="11:12">
      <c r="K7337" s="65"/>
      <c r="L7337" s="65"/>
    </row>
    <row r="7338" spans="11:12">
      <c r="K7338" s="65"/>
      <c r="L7338" s="65"/>
    </row>
    <row r="7339" spans="11:12">
      <c r="K7339" s="65"/>
      <c r="L7339" s="65"/>
    </row>
    <row r="7340" spans="11:12">
      <c r="K7340" s="65"/>
      <c r="L7340" s="65"/>
    </row>
    <row r="7341" spans="11:12">
      <c r="K7341" s="65"/>
      <c r="L7341" s="65"/>
    </row>
    <row r="7342" spans="11:12">
      <c r="K7342" s="65"/>
      <c r="L7342" s="65"/>
    </row>
    <row r="7343" spans="11:12">
      <c r="K7343" s="65"/>
      <c r="L7343" s="65"/>
    </row>
    <row r="7344" spans="11:12">
      <c r="K7344" s="65"/>
      <c r="L7344" s="65"/>
    </row>
    <row r="7345" spans="11:12">
      <c r="K7345" s="65"/>
      <c r="L7345" s="65"/>
    </row>
    <row r="7346" spans="11:12">
      <c r="K7346" s="65"/>
      <c r="L7346" s="65"/>
    </row>
    <row r="7347" spans="11:12">
      <c r="K7347" s="65"/>
      <c r="L7347" s="65"/>
    </row>
    <row r="7348" spans="11:12">
      <c r="K7348" s="65"/>
      <c r="L7348" s="65"/>
    </row>
    <row r="7349" spans="11:12">
      <c r="K7349" s="65"/>
      <c r="L7349" s="65"/>
    </row>
    <row r="7350" spans="11:12">
      <c r="K7350" s="65"/>
      <c r="L7350" s="65"/>
    </row>
    <row r="7351" spans="11:12">
      <c r="K7351" s="65"/>
      <c r="L7351" s="65"/>
    </row>
    <row r="7352" spans="11:12">
      <c r="K7352" s="65"/>
      <c r="L7352" s="65"/>
    </row>
    <row r="7353" spans="11:12">
      <c r="K7353" s="65"/>
      <c r="L7353" s="65"/>
    </row>
    <row r="7354" spans="11:12">
      <c r="K7354" s="65"/>
      <c r="L7354" s="65"/>
    </row>
    <row r="7355" spans="11:12">
      <c r="K7355" s="65"/>
      <c r="L7355" s="65"/>
    </row>
    <row r="7356" spans="11:12">
      <c r="K7356" s="65"/>
      <c r="L7356" s="65"/>
    </row>
    <row r="7357" spans="11:12">
      <c r="K7357" s="65"/>
      <c r="L7357" s="65"/>
    </row>
    <row r="7358" spans="11:12">
      <c r="K7358" s="65"/>
      <c r="L7358" s="65"/>
    </row>
    <row r="7359" spans="11:12">
      <c r="K7359" s="65"/>
      <c r="L7359" s="65"/>
    </row>
    <row r="7360" spans="11:12">
      <c r="K7360" s="65"/>
      <c r="L7360" s="65"/>
    </row>
    <row r="7361" spans="11:12">
      <c r="K7361" s="65"/>
      <c r="L7361" s="65"/>
    </row>
    <row r="7362" spans="11:12">
      <c r="K7362" s="65"/>
      <c r="L7362" s="65"/>
    </row>
    <row r="7363" spans="11:12">
      <c r="K7363" s="65"/>
      <c r="L7363" s="65"/>
    </row>
    <row r="7364" spans="11:12">
      <c r="K7364" s="65"/>
      <c r="L7364" s="65"/>
    </row>
    <row r="7365" spans="11:12">
      <c r="K7365" s="65"/>
      <c r="L7365" s="65"/>
    </row>
    <row r="7366" spans="11:12">
      <c r="K7366" s="65"/>
      <c r="L7366" s="65"/>
    </row>
    <row r="7367" spans="11:12">
      <c r="K7367" s="65"/>
      <c r="L7367" s="65"/>
    </row>
    <row r="7368" spans="11:12">
      <c r="K7368" s="65"/>
      <c r="L7368" s="65"/>
    </row>
    <row r="7369" spans="11:12">
      <c r="K7369" s="65"/>
      <c r="L7369" s="65"/>
    </row>
    <row r="7370" spans="11:12">
      <c r="K7370" s="65"/>
      <c r="L7370" s="65"/>
    </row>
    <row r="7371" spans="11:12">
      <c r="K7371" s="65"/>
      <c r="L7371" s="65"/>
    </row>
    <row r="7372" spans="11:12">
      <c r="K7372" s="65"/>
      <c r="L7372" s="65"/>
    </row>
    <row r="7373" spans="11:12">
      <c r="K7373" s="65"/>
      <c r="L7373" s="65"/>
    </row>
    <row r="7374" spans="11:12">
      <c r="K7374" s="65"/>
      <c r="L7374" s="65"/>
    </row>
    <row r="7375" spans="11:12">
      <c r="K7375" s="65"/>
      <c r="L7375" s="65"/>
    </row>
    <row r="7376" spans="11:12">
      <c r="K7376" s="65"/>
      <c r="L7376" s="65"/>
    </row>
    <row r="7377" spans="11:12">
      <c r="K7377" s="65"/>
      <c r="L7377" s="65"/>
    </row>
    <row r="7378" spans="11:12">
      <c r="K7378" s="65"/>
      <c r="L7378" s="65"/>
    </row>
    <row r="7379" spans="11:12">
      <c r="K7379" s="65"/>
      <c r="L7379" s="65"/>
    </row>
    <row r="7380" spans="11:12">
      <c r="K7380" s="65"/>
      <c r="L7380" s="65"/>
    </row>
    <row r="7381" spans="11:12">
      <c r="K7381" s="65"/>
      <c r="L7381" s="65"/>
    </row>
    <row r="7382" spans="11:12">
      <c r="K7382" s="65"/>
      <c r="L7382" s="65"/>
    </row>
    <row r="7383" spans="11:12">
      <c r="K7383" s="65"/>
      <c r="L7383" s="65"/>
    </row>
    <row r="7384" spans="11:12">
      <c r="K7384" s="65"/>
      <c r="L7384" s="65"/>
    </row>
    <row r="7385" spans="11:12">
      <c r="K7385" s="65"/>
      <c r="L7385" s="65"/>
    </row>
    <row r="7386" spans="11:12">
      <c r="K7386" s="65"/>
      <c r="L7386" s="65"/>
    </row>
    <row r="7387" spans="11:12">
      <c r="K7387" s="65"/>
      <c r="L7387" s="65"/>
    </row>
    <row r="7388" spans="11:12">
      <c r="K7388" s="65"/>
      <c r="L7388" s="65"/>
    </row>
    <row r="7389" spans="11:12">
      <c r="K7389" s="65"/>
      <c r="L7389" s="65"/>
    </row>
    <row r="7390" spans="11:12">
      <c r="K7390" s="65"/>
      <c r="L7390" s="65"/>
    </row>
    <row r="7391" spans="11:12">
      <c r="K7391" s="65"/>
      <c r="L7391" s="65"/>
    </row>
    <row r="7392" spans="11:12">
      <c r="K7392" s="65"/>
      <c r="L7392" s="65"/>
    </row>
    <row r="7393" spans="11:12">
      <c r="K7393" s="65"/>
      <c r="L7393" s="65"/>
    </row>
    <row r="7394" spans="11:12">
      <c r="K7394" s="65"/>
      <c r="L7394" s="65"/>
    </row>
    <row r="7395" spans="11:12">
      <c r="K7395" s="65"/>
      <c r="L7395" s="65"/>
    </row>
    <row r="7396" spans="11:12">
      <c r="K7396" s="65"/>
      <c r="L7396" s="65"/>
    </row>
    <row r="7397" spans="11:12">
      <c r="K7397" s="65"/>
      <c r="L7397" s="65"/>
    </row>
    <row r="7398" spans="11:12">
      <c r="K7398" s="65"/>
      <c r="L7398" s="65"/>
    </row>
    <row r="7399" spans="11:12">
      <c r="K7399" s="65"/>
      <c r="L7399" s="65"/>
    </row>
    <row r="7400" spans="11:12">
      <c r="K7400" s="65"/>
      <c r="L7400" s="65"/>
    </row>
    <row r="7401" spans="11:12">
      <c r="K7401" s="65"/>
      <c r="L7401" s="65"/>
    </row>
    <row r="7402" spans="11:12">
      <c r="K7402" s="65"/>
      <c r="L7402" s="65"/>
    </row>
    <row r="7403" spans="11:12">
      <c r="K7403" s="65"/>
      <c r="L7403" s="65"/>
    </row>
    <row r="7404" spans="11:12">
      <c r="K7404" s="65"/>
      <c r="L7404" s="65"/>
    </row>
    <row r="7405" spans="11:12">
      <c r="K7405" s="65"/>
      <c r="L7405" s="65"/>
    </row>
    <row r="7406" spans="11:12">
      <c r="K7406" s="65"/>
      <c r="L7406" s="65"/>
    </row>
    <row r="7407" spans="11:12">
      <c r="K7407" s="65"/>
      <c r="L7407" s="65"/>
    </row>
    <row r="7408" spans="11:12">
      <c r="K7408" s="65"/>
      <c r="L7408" s="65"/>
    </row>
    <row r="7409" spans="11:12">
      <c r="K7409" s="65"/>
      <c r="L7409" s="65"/>
    </row>
    <row r="7410" spans="11:12">
      <c r="K7410" s="65"/>
      <c r="L7410" s="65"/>
    </row>
    <row r="7411" spans="11:12">
      <c r="K7411" s="65"/>
      <c r="L7411" s="65"/>
    </row>
    <row r="7412" spans="11:12">
      <c r="K7412" s="65"/>
      <c r="L7412" s="65"/>
    </row>
    <row r="7413" spans="11:12">
      <c r="K7413" s="65"/>
      <c r="L7413" s="65"/>
    </row>
    <row r="7414" spans="11:12">
      <c r="K7414" s="65"/>
      <c r="L7414" s="65"/>
    </row>
    <row r="7415" spans="11:12">
      <c r="K7415" s="65"/>
      <c r="L7415" s="65"/>
    </row>
    <row r="7416" spans="11:12">
      <c r="K7416" s="65"/>
      <c r="L7416" s="65"/>
    </row>
    <row r="7417" spans="11:12">
      <c r="K7417" s="65"/>
      <c r="L7417" s="65"/>
    </row>
    <row r="7418" spans="11:12">
      <c r="K7418" s="65"/>
      <c r="L7418" s="65"/>
    </row>
    <row r="7419" spans="11:12">
      <c r="K7419" s="65"/>
      <c r="L7419" s="65"/>
    </row>
    <row r="7420" spans="11:12">
      <c r="K7420" s="65"/>
      <c r="L7420" s="65"/>
    </row>
    <row r="7421" spans="11:12">
      <c r="K7421" s="65"/>
      <c r="L7421" s="65"/>
    </row>
    <row r="7422" spans="11:12">
      <c r="K7422" s="65"/>
      <c r="L7422" s="65"/>
    </row>
    <row r="7423" spans="11:12">
      <c r="K7423" s="65"/>
      <c r="L7423" s="65"/>
    </row>
    <row r="7424" spans="11:12">
      <c r="K7424" s="65"/>
      <c r="L7424" s="65"/>
    </row>
    <row r="7425" spans="11:12">
      <c r="K7425" s="65"/>
      <c r="L7425" s="65"/>
    </row>
    <row r="7426" spans="11:12">
      <c r="K7426" s="65"/>
      <c r="L7426" s="65"/>
    </row>
    <row r="7427" spans="11:12">
      <c r="K7427" s="65"/>
      <c r="L7427" s="65"/>
    </row>
    <row r="7428" spans="11:12">
      <c r="K7428" s="65"/>
      <c r="L7428" s="65"/>
    </row>
    <row r="7429" spans="11:12">
      <c r="K7429" s="65"/>
      <c r="L7429" s="65"/>
    </row>
    <row r="7430" spans="11:12">
      <c r="K7430" s="65"/>
      <c r="L7430" s="65"/>
    </row>
    <row r="7431" spans="11:12">
      <c r="K7431" s="65"/>
      <c r="L7431" s="65"/>
    </row>
    <row r="7432" spans="11:12">
      <c r="K7432" s="65"/>
      <c r="L7432" s="65"/>
    </row>
    <row r="7433" spans="11:12">
      <c r="K7433" s="65"/>
      <c r="L7433" s="65"/>
    </row>
    <row r="7434" spans="11:12">
      <c r="K7434" s="65"/>
      <c r="L7434" s="65"/>
    </row>
    <row r="7435" spans="11:12">
      <c r="K7435" s="65"/>
      <c r="L7435" s="65"/>
    </row>
    <row r="7436" spans="11:12">
      <c r="K7436" s="65"/>
      <c r="L7436" s="65"/>
    </row>
    <row r="7437" spans="11:12">
      <c r="K7437" s="65"/>
      <c r="L7437" s="65"/>
    </row>
    <row r="7438" spans="11:12">
      <c r="K7438" s="65"/>
      <c r="L7438" s="65"/>
    </row>
    <row r="7439" spans="11:12">
      <c r="K7439" s="65"/>
      <c r="L7439" s="65"/>
    </row>
    <row r="7440" spans="11:12">
      <c r="K7440" s="65"/>
      <c r="L7440" s="65"/>
    </row>
    <row r="7441" spans="11:12">
      <c r="K7441" s="65"/>
      <c r="L7441" s="65"/>
    </row>
    <row r="7442" spans="11:12">
      <c r="K7442" s="65"/>
      <c r="L7442" s="65"/>
    </row>
    <row r="7443" spans="11:12">
      <c r="K7443" s="65"/>
      <c r="L7443" s="65"/>
    </row>
    <row r="7444" spans="11:12">
      <c r="K7444" s="65"/>
      <c r="L7444" s="65"/>
    </row>
    <row r="7445" spans="11:12">
      <c r="K7445" s="65"/>
      <c r="L7445" s="65"/>
    </row>
    <row r="7446" spans="11:12">
      <c r="K7446" s="65"/>
      <c r="L7446" s="65"/>
    </row>
    <row r="7447" spans="11:12">
      <c r="K7447" s="65"/>
      <c r="L7447" s="65"/>
    </row>
    <row r="7448" spans="11:12">
      <c r="K7448" s="65"/>
      <c r="L7448" s="65"/>
    </row>
    <row r="7449" spans="11:12">
      <c r="K7449" s="65"/>
      <c r="L7449" s="65"/>
    </row>
    <row r="7450" spans="11:12">
      <c r="K7450" s="65"/>
      <c r="L7450" s="65"/>
    </row>
    <row r="7451" spans="11:12">
      <c r="K7451" s="65"/>
      <c r="L7451" s="65"/>
    </row>
    <row r="7452" spans="11:12">
      <c r="K7452" s="65"/>
      <c r="L7452" s="65"/>
    </row>
    <row r="7453" spans="11:12">
      <c r="K7453" s="65"/>
      <c r="L7453" s="65"/>
    </row>
    <row r="7454" spans="11:12">
      <c r="K7454" s="65"/>
      <c r="L7454" s="65"/>
    </row>
    <row r="7455" spans="11:12">
      <c r="K7455" s="65"/>
      <c r="L7455" s="65"/>
    </row>
    <row r="7456" spans="11:12">
      <c r="K7456" s="65"/>
      <c r="L7456" s="65"/>
    </row>
    <row r="7457" spans="11:12">
      <c r="K7457" s="65"/>
      <c r="L7457" s="65"/>
    </row>
    <row r="7458" spans="11:12">
      <c r="K7458" s="65"/>
      <c r="L7458" s="65"/>
    </row>
    <row r="7459" spans="11:12">
      <c r="K7459" s="65"/>
      <c r="L7459" s="65"/>
    </row>
    <row r="7460" spans="11:12">
      <c r="K7460" s="65"/>
      <c r="L7460" s="65"/>
    </row>
    <row r="7461" spans="11:12">
      <c r="K7461" s="65"/>
      <c r="L7461" s="65"/>
    </row>
    <row r="7462" spans="11:12">
      <c r="K7462" s="65"/>
      <c r="L7462" s="65"/>
    </row>
    <row r="7463" spans="11:12">
      <c r="K7463" s="65"/>
      <c r="L7463" s="65"/>
    </row>
    <row r="7464" spans="11:12">
      <c r="K7464" s="65"/>
      <c r="L7464" s="65"/>
    </row>
    <row r="7465" spans="11:12">
      <c r="K7465" s="65"/>
      <c r="L7465" s="65"/>
    </row>
    <row r="7466" spans="11:12">
      <c r="K7466" s="65"/>
      <c r="L7466" s="65"/>
    </row>
    <row r="7467" spans="11:12">
      <c r="K7467" s="65"/>
      <c r="L7467" s="65"/>
    </row>
    <row r="7468" spans="11:12">
      <c r="K7468" s="65"/>
      <c r="L7468" s="65"/>
    </row>
    <row r="7469" spans="11:12">
      <c r="K7469" s="65"/>
      <c r="L7469" s="65"/>
    </row>
    <row r="7470" spans="11:12">
      <c r="K7470" s="65"/>
      <c r="L7470" s="65"/>
    </row>
    <row r="7471" spans="11:12">
      <c r="K7471" s="65"/>
      <c r="L7471" s="65"/>
    </row>
    <row r="7472" spans="11:12">
      <c r="K7472" s="65"/>
      <c r="L7472" s="65"/>
    </row>
    <row r="7473" spans="11:12">
      <c r="K7473" s="65"/>
      <c r="L7473" s="65"/>
    </row>
    <row r="7474" spans="11:12">
      <c r="K7474" s="65"/>
      <c r="L7474" s="65"/>
    </row>
    <row r="7475" spans="11:12">
      <c r="K7475" s="65"/>
      <c r="L7475" s="65"/>
    </row>
    <row r="7476" spans="11:12">
      <c r="K7476" s="65"/>
      <c r="L7476" s="65"/>
    </row>
    <row r="7477" spans="11:12">
      <c r="K7477" s="65"/>
      <c r="L7477" s="65"/>
    </row>
    <row r="7478" spans="11:12">
      <c r="K7478" s="65"/>
      <c r="L7478" s="65"/>
    </row>
    <row r="7479" spans="11:12">
      <c r="K7479" s="65"/>
      <c r="L7479" s="65"/>
    </row>
    <row r="7480" spans="11:12">
      <c r="K7480" s="65"/>
      <c r="L7480" s="65"/>
    </row>
    <row r="7481" spans="11:12">
      <c r="K7481" s="65"/>
      <c r="L7481" s="65"/>
    </row>
    <row r="7482" spans="11:12">
      <c r="K7482" s="65"/>
      <c r="L7482" s="65"/>
    </row>
    <row r="7483" spans="11:12">
      <c r="K7483" s="65"/>
      <c r="L7483" s="65"/>
    </row>
    <row r="7484" spans="11:12">
      <c r="K7484" s="65"/>
      <c r="L7484" s="65"/>
    </row>
    <row r="7485" spans="11:12">
      <c r="K7485" s="65"/>
      <c r="L7485" s="65"/>
    </row>
    <row r="7486" spans="11:12">
      <c r="K7486" s="65"/>
      <c r="L7486" s="65"/>
    </row>
    <row r="7487" spans="11:12">
      <c r="K7487" s="65"/>
      <c r="L7487" s="65"/>
    </row>
    <row r="7488" spans="11:12">
      <c r="K7488" s="65"/>
      <c r="L7488" s="65"/>
    </row>
    <row r="7489" spans="11:12">
      <c r="K7489" s="65"/>
      <c r="L7489" s="65"/>
    </row>
    <row r="7490" spans="11:12">
      <c r="K7490" s="65"/>
      <c r="L7490" s="65"/>
    </row>
    <row r="7491" spans="11:12">
      <c r="K7491" s="65"/>
      <c r="L7491" s="65"/>
    </row>
    <row r="7492" spans="11:12">
      <c r="K7492" s="65"/>
      <c r="L7492" s="65"/>
    </row>
    <row r="7493" spans="11:12">
      <c r="K7493" s="65"/>
      <c r="L7493" s="65"/>
    </row>
    <row r="7494" spans="11:12">
      <c r="K7494" s="65"/>
      <c r="L7494" s="65"/>
    </row>
    <row r="7495" spans="11:12">
      <c r="K7495" s="65"/>
      <c r="L7495" s="65"/>
    </row>
    <row r="7496" spans="11:12">
      <c r="K7496" s="65"/>
      <c r="L7496" s="65"/>
    </row>
    <row r="7497" spans="11:12">
      <c r="K7497" s="65"/>
      <c r="L7497" s="65"/>
    </row>
    <row r="7498" spans="11:12">
      <c r="K7498" s="65"/>
      <c r="L7498" s="65"/>
    </row>
    <row r="7499" spans="11:12">
      <c r="K7499" s="65"/>
      <c r="L7499" s="65"/>
    </row>
    <row r="7500" spans="11:12">
      <c r="K7500" s="65"/>
      <c r="L7500" s="65"/>
    </row>
    <row r="7501" spans="11:12">
      <c r="K7501" s="65"/>
      <c r="L7501" s="65"/>
    </row>
    <row r="7502" spans="11:12">
      <c r="K7502" s="65"/>
      <c r="L7502" s="65"/>
    </row>
    <row r="7503" spans="11:12">
      <c r="K7503" s="65"/>
      <c r="L7503" s="65"/>
    </row>
    <row r="7504" spans="11:12">
      <c r="K7504" s="65"/>
      <c r="L7504" s="65"/>
    </row>
    <row r="7505" spans="11:12">
      <c r="K7505" s="65"/>
      <c r="L7505" s="65"/>
    </row>
    <row r="7506" spans="11:12">
      <c r="K7506" s="65"/>
      <c r="L7506" s="65"/>
    </row>
    <row r="7507" spans="11:12">
      <c r="K7507" s="65"/>
      <c r="L7507" s="65"/>
    </row>
    <row r="7508" spans="11:12">
      <c r="K7508" s="65"/>
      <c r="L7508" s="65"/>
    </row>
    <row r="7509" spans="11:12">
      <c r="K7509" s="65"/>
      <c r="L7509" s="65"/>
    </row>
    <row r="7510" spans="11:12">
      <c r="K7510" s="65"/>
      <c r="L7510" s="65"/>
    </row>
    <row r="7511" spans="11:12">
      <c r="K7511" s="65"/>
      <c r="L7511" s="65"/>
    </row>
    <row r="7512" spans="11:12">
      <c r="K7512" s="65"/>
      <c r="L7512" s="65"/>
    </row>
    <row r="7513" spans="11:12">
      <c r="K7513" s="65"/>
      <c r="L7513" s="65"/>
    </row>
    <row r="7514" spans="11:12">
      <c r="K7514" s="65"/>
      <c r="L7514" s="65"/>
    </row>
    <row r="7515" spans="11:12">
      <c r="K7515" s="65"/>
      <c r="L7515" s="65"/>
    </row>
    <row r="7516" spans="11:12">
      <c r="K7516" s="65"/>
      <c r="L7516" s="65"/>
    </row>
    <row r="7517" spans="11:12">
      <c r="K7517" s="65"/>
      <c r="L7517" s="65"/>
    </row>
    <row r="7518" spans="11:12">
      <c r="K7518" s="65"/>
      <c r="L7518" s="65"/>
    </row>
    <row r="7519" spans="11:12">
      <c r="K7519" s="65"/>
      <c r="L7519" s="65"/>
    </row>
    <row r="7520" spans="11:12">
      <c r="K7520" s="65"/>
      <c r="L7520" s="65"/>
    </row>
    <row r="7521" spans="11:12">
      <c r="K7521" s="65"/>
      <c r="L7521" s="65"/>
    </row>
    <row r="7522" spans="11:12">
      <c r="K7522" s="65"/>
      <c r="L7522" s="65"/>
    </row>
    <row r="7523" spans="11:12">
      <c r="K7523" s="65"/>
      <c r="L7523" s="65"/>
    </row>
    <row r="7524" spans="11:12">
      <c r="K7524" s="65"/>
      <c r="L7524" s="65"/>
    </row>
    <row r="7525" spans="11:12">
      <c r="K7525" s="65"/>
      <c r="L7525" s="65"/>
    </row>
    <row r="7526" spans="11:12">
      <c r="K7526" s="65"/>
      <c r="L7526" s="65"/>
    </row>
    <row r="7527" spans="11:12">
      <c r="K7527" s="65"/>
      <c r="L7527" s="65"/>
    </row>
    <row r="7528" spans="11:12">
      <c r="K7528" s="65"/>
      <c r="L7528" s="65"/>
    </row>
    <row r="7529" spans="11:12">
      <c r="K7529" s="65"/>
      <c r="L7529" s="65"/>
    </row>
    <row r="7530" spans="11:12">
      <c r="K7530" s="65"/>
      <c r="L7530" s="65"/>
    </row>
    <row r="7531" spans="11:12">
      <c r="K7531" s="65"/>
      <c r="L7531" s="65"/>
    </row>
    <row r="7532" spans="11:12">
      <c r="K7532" s="65"/>
      <c r="L7532" s="65"/>
    </row>
    <row r="7533" spans="11:12">
      <c r="K7533" s="65"/>
      <c r="L7533" s="65"/>
    </row>
    <row r="7534" spans="11:12">
      <c r="K7534" s="65"/>
      <c r="L7534" s="65"/>
    </row>
    <row r="7535" spans="11:12">
      <c r="K7535" s="65"/>
      <c r="L7535" s="65"/>
    </row>
    <row r="7536" spans="11:12">
      <c r="K7536" s="65"/>
      <c r="L7536" s="65"/>
    </row>
    <row r="7537" spans="11:12">
      <c r="K7537" s="65"/>
      <c r="L7537" s="65"/>
    </row>
    <row r="7538" spans="11:12">
      <c r="K7538" s="65"/>
      <c r="L7538" s="65"/>
    </row>
    <row r="7539" spans="11:12">
      <c r="K7539" s="65"/>
      <c r="L7539" s="65"/>
    </row>
    <row r="7540" spans="11:12">
      <c r="K7540" s="65"/>
      <c r="L7540" s="65"/>
    </row>
    <row r="7541" spans="11:12">
      <c r="K7541" s="65"/>
      <c r="L7541" s="65"/>
    </row>
    <row r="7542" spans="11:12">
      <c r="K7542" s="65"/>
      <c r="L7542" s="65"/>
    </row>
    <row r="7543" spans="11:12">
      <c r="K7543" s="65"/>
      <c r="L7543" s="65"/>
    </row>
    <row r="7544" spans="11:12">
      <c r="K7544" s="65"/>
      <c r="L7544" s="65"/>
    </row>
    <row r="7545" spans="11:12">
      <c r="K7545" s="65"/>
      <c r="L7545" s="65"/>
    </row>
    <row r="7546" spans="11:12">
      <c r="K7546" s="65"/>
      <c r="L7546" s="65"/>
    </row>
    <row r="7547" spans="11:12">
      <c r="K7547" s="65"/>
      <c r="L7547" s="65"/>
    </row>
    <row r="7548" spans="11:12">
      <c r="K7548" s="65"/>
      <c r="L7548" s="65"/>
    </row>
    <row r="7549" spans="11:12">
      <c r="K7549" s="65"/>
      <c r="L7549" s="65"/>
    </row>
    <row r="7550" spans="11:12">
      <c r="K7550" s="65"/>
      <c r="L7550" s="65"/>
    </row>
    <row r="7551" spans="11:12">
      <c r="K7551" s="65"/>
      <c r="L7551" s="65"/>
    </row>
    <row r="7552" spans="11:12">
      <c r="K7552" s="65"/>
      <c r="L7552" s="65"/>
    </row>
    <row r="7553" spans="11:12">
      <c r="K7553" s="65"/>
      <c r="L7553" s="65"/>
    </row>
    <row r="7554" spans="11:12">
      <c r="K7554" s="65"/>
      <c r="L7554" s="65"/>
    </row>
    <row r="7555" spans="11:12">
      <c r="K7555" s="65"/>
      <c r="L7555" s="65"/>
    </row>
    <row r="7556" spans="11:12">
      <c r="K7556" s="65"/>
      <c r="L7556" s="65"/>
    </row>
    <row r="7557" spans="11:12">
      <c r="K7557" s="65"/>
      <c r="L7557" s="65"/>
    </row>
    <row r="7558" spans="11:12">
      <c r="K7558" s="65"/>
      <c r="L7558" s="65"/>
    </row>
    <row r="7559" spans="11:12">
      <c r="K7559" s="65"/>
      <c r="L7559" s="65"/>
    </row>
    <row r="7560" spans="11:12">
      <c r="K7560" s="65"/>
      <c r="L7560" s="65"/>
    </row>
    <row r="7561" spans="11:12">
      <c r="K7561" s="65"/>
      <c r="L7561" s="65"/>
    </row>
    <row r="7562" spans="11:12">
      <c r="K7562" s="65"/>
      <c r="L7562" s="65"/>
    </row>
    <row r="7563" spans="11:12">
      <c r="K7563" s="65"/>
      <c r="L7563" s="65"/>
    </row>
    <row r="7564" spans="11:12">
      <c r="K7564" s="65"/>
      <c r="L7564" s="65"/>
    </row>
    <row r="7565" spans="11:12">
      <c r="K7565" s="65"/>
      <c r="L7565" s="65"/>
    </row>
    <row r="7566" spans="11:12">
      <c r="K7566" s="65"/>
      <c r="L7566" s="65"/>
    </row>
    <row r="7567" spans="11:12">
      <c r="K7567" s="65"/>
      <c r="L7567" s="65"/>
    </row>
    <row r="7568" spans="11:12">
      <c r="K7568" s="65"/>
      <c r="L7568" s="65"/>
    </row>
    <row r="7569" spans="11:12">
      <c r="K7569" s="65"/>
      <c r="L7569" s="65"/>
    </row>
    <row r="7570" spans="11:12">
      <c r="K7570" s="65"/>
      <c r="L7570" s="65"/>
    </row>
    <row r="7571" spans="11:12">
      <c r="K7571" s="65"/>
      <c r="L7571" s="65"/>
    </row>
    <row r="7572" spans="11:12">
      <c r="K7572" s="65"/>
      <c r="L7572" s="65"/>
    </row>
    <row r="7573" spans="11:12">
      <c r="K7573" s="65"/>
      <c r="L7573" s="65"/>
    </row>
    <row r="7574" spans="11:12">
      <c r="K7574" s="65"/>
      <c r="L7574" s="65"/>
    </row>
    <row r="7575" spans="11:12">
      <c r="K7575" s="65"/>
      <c r="L7575" s="65"/>
    </row>
    <row r="7576" spans="11:12">
      <c r="K7576" s="65"/>
      <c r="L7576" s="65"/>
    </row>
    <row r="7577" spans="11:12">
      <c r="K7577" s="65"/>
      <c r="L7577" s="65"/>
    </row>
    <row r="7578" spans="11:12">
      <c r="K7578" s="65"/>
      <c r="L7578" s="65"/>
    </row>
    <row r="7579" spans="11:12">
      <c r="K7579" s="65"/>
      <c r="L7579" s="65"/>
    </row>
    <row r="7580" spans="11:12">
      <c r="K7580" s="65"/>
      <c r="L7580" s="65"/>
    </row>
    <row r="7581" spans="11:12">
      <c r="K7581" s="65"/>
      <c r="L7581" s="65"/>
    </row>
    <row r="7582" spans="11:12">
      <c r="K7582" s="65"/>
      <c r="L7582" s="65"/>
    </row>
    <row r="7583" spans="11:12">
      <c r="K7583" s="65"/>
      <c r="L7583" s="65"/>
    </row>
    <row r="7584" spans="11:12">
      <c r="K7584" s="65"/>
      <c r="L7584" s="65"/>
    </row>
    <row r="7585" spans="11:12">
      <c r="K7585" s="65"/>
      <c r="L7585" s="65"/>
    </row>
    <row r="7586" spans="11:12">
      <c r="K7586" s="65"/>
      <c r="L7586" s="65"/>
    </row>
    <row r="7587" spans="11:12">
      <c r="K7587" s="65"/>
      <c r="L7587" s="65"/>
    </row>
    <row r="7588" spans="11:12">
      <c r="K7588" s="65"/>
      <c r="L7588" s="65"/>
    </row>
    <row r="7589" spans="11:12">
      <c r="K7589" s="65"/>
      <c r="L7589" s="65"/>
    </row>
    <row r="7590" spans="11:12">
      <c r="K7590" s="65"/>
      <c r="L7590" s="65"/>
    </row>
    <row r="7591" spans="11:12">
      <c r="K7591" s="65"/>
      <c r="L7591" s="65"/>
    </row>
    <row r="7592" spans="11:12">
      <c r="K7592" s="65"/>
      <c r="L7592" s="65"/>
    </row>
    <row r="7593" spans="11:12">
      <c r="K7593" s="65"/>
      <c r="L7593" s="65"/>
    </row>
    <row r="7594" spans="11:12">
      <c r="K7594" s="65"/>
      <c r="L7594" s="65"/>
    </row>
    <row r="7595" spans="11:12">
      <c r="K7595" s="65"/>
      <c r="L7595" s="65"/>
    </row>
    <row r="7596" spans="11:12">
      <c r="K7596" s="65"/>
      <c r="L7596" s="65"/>
    </row>
    <row r="7597" spans="11:12">
      <c r="K7597" s="65"/>
      <c r="L7597" s="65"/>
    </row>
    <row r="7598" spans="11:12">
      <c r="K7598" s="65"/>
      <c r="L7598" s="65"/>
    </row>
    <row r="7599" spans="11:12">
      <c r="K7599" s="65"/>
      <c r="L7599" s="65"/>
    </row>
    <row r="7600" spans="11:12">
      <c r="K7600" s="65"/>
      <c r="L7600" s="65"/>
    </row>
    <row r="7601" spans="11:12">
      <c r="K7601" s="65"/>
      <c r="L7601" s="65"/>
    </row>
    <row r="7602" spans="11:12">
      <c r="K7602" s="65"/>
      <c r="L7602" s="65"/>
    </row>
    <row r="7603" spans="11:12">
      <c r="K7603" s="65"/>
      <c r="L7603" s="65"/>
    </row>
    <row r="7604" spans="11:12">
      <c r="K7604" s="65"/>
      <c r="L7604" s="65"/>
    </row>
    <row r="7605" spans="11:12">
      <c r="K7605" s="65"/>
      <c r="L7605" s="65"/>
    </row>
    <row r="7606" spans="11:12">
      <c r="K7606" s="65"/>
      <c r="L7606" s="65"/>
    </row>
    <row r="7607" spans="11:12">
      <c r="K7607" s="65"/>
      <c r="L7607" s="65"/>
    </row>
    <row r="7608" spans="11:12">
      <c r="K7608" s="65"/>
      <c r="L7608" s="65"/>
    </row>
    <row r="7609" spans="11:12">
      <c r="K7609" s="65"/>
      <c r="L7609" s="65"/>
    </row>
    <row r="7610" spans="11:12">
      <c r="K7610" s="65"/>
      <c r="L7610" s="65"/>
    </row>
    <row r="7611" spans="11:12">
      <c r="K7611" s="65"/>
      <c r="L7611" s="65"/>
    </row>
    <row r="7612" spans="11:12">
      <c r="K7612" s="65"/>
      <c r="L7612" s="65"/>
    </row>
    <row r="7613" spans="11:12">
      <c r="K7613" s="65"/>
      <c r="L7613" s="65"/>
    </row>
    <row r="7614" spans="11:12">
      <c r="K7614" s="65"/>
      <c r="L7614" s="65"/>
    </row>
    <row r="7615" spans="11:12">
      <c r="K7615" s="65"/>
      <c r="L7615" s="65"/>
    </row>
    <row r="7616" spans="11:12">
      <c r="K7616" s="65"/>
      <c r="L7616" s="65"/>
    </row>
    <row r="7617" spans="11:12">
      <c r="K7617" s="65"/>
      <c r="L7617" s="65"/>
    </row>
    <row r="7618" spans="11:12">
      <c r="K7618" s="65"/>
      <c r="L7618" s="65"/>
    </row>
    <row r="7619" spans="11:12">
      <c r="K7619" s="65"/>
      <c r="L7619" s="65"/>
    </row>
    <row r="7620" spans="11:12">
      <c r="K7620" s="65"/>
      <c r="L7620" s="65"/>
    </row>
    <row r="7621" spans="11:12">
      <c r="K7621" s="65"/>
      <c r="L7621" s="65"/>
    </row>
    <row r="7622" spans="11:12">
      <c r="K7622" s="65"/>
      <c r="L7622" s="65"/>
    </row>
    <row r="7623" spans="11:12">
      <c r="K7623" s="65"/>
      <c r="L7623" s="65"/>
    </row>
    <row r="7624" spans="11:12">
      <c r="K7624" s="65"/>
      <c r="L7624" s="65"/>
    </row>
    <row r="7625" spans="11:12">
      <c r="K7625" s="65"/>
      <c r="L7625" s="65"/>
    </row>
    <row r="7626" spans="11:12">
      <c r="K7626" s="65"/>
      <c r="L7626" s="65"/>
    </row>
    <row r="7627" spans="11:12">
      <c r="K7627" s="65"/>
      <c r="L7627" s="65"/>
    </row>
    <row r="7628" spans="11:12">
      <c r="K7628" s="65"/>
      <c r="L7628" s="65"/>
    </row>
    <row r="7629" spans="11:12">
      <c r="K7629" s="65"/>
      <c r="L7629" s="65"/>
    </row>
    <row r="7630" spans="11:12">
      <c r="K7630" s="65"/>
      <c r="L7630" s="65"/>
    </row>
    <row r="7631" spans="11:12">
      <c r="K7631" s="65"/>
      <c r="L7631" s="65"/>
    </row>
    <row r="7632" spans="11:12">
      <c r="K7632" s="65"/>
      <c r="L7632" s="65"/>
    </row>
    <row r="7633" spans="11:12">
      <c r="K7633" s="65"/>
      <c r="L7633" s="65"/>
    </row>
    <row r="7634" spans="11:12">
      <c r="K7634" s="65"/>
      <c r="L7634" s="65"/>
    </row>
    <row r="7635" spans="11:12">
      <c r="K7635" s="65"/>
      <c r="L7635" s="65"/>
    </row>
    <row r="7636" spans="11:12">
      <c r="K7636" s="65"/>
      <c r="L7636" s="65"/>
    </row>
    <row r="7637" spans="11:12">
      <c r="K7637" s="65"/>
      <c r="L7637" s="65"/>
    </row>
    <row r="7638" spans="11:12">
      <c r="K7638" s="65"/>
      <c r="L7638" s="65"/>
    </row>
    <row r="7639" spans="11:12">
      <c r="K7639" s="65"/>
      <c r="L7639" s="65"/>
    </row>
    <row r="7640" spans="11:12">
      <c r="K7640" s="65"/>
      <c r="L7640" s="65"/>
    </row>
    <row r="7641" spans="11:12">
      <c r="K7641" s="65"/>
      <c r="L7641" s="65"/>
    </row>
    <row r="7642" spans="11:12">
      <c r="K7642" s="65"/>
      <c r="L7642" s="65"/>
    </row>
    <row r="7643" spans="11:12">
      <c r="K7643" s="65"/>
      <c r="L7643" s="65"/>
    </row>
    <row r="7644" spans="11:12">
      <c r="K7644" s="65"/>
      <c r="L7644" s="65"/>
    </row>
    <row r="7645" spans="11:12">
      <c r="K7645" s="65"/>
      <c r="L7645" s="65"/>
    </row>
    <row r="7646" spans="11:12">
      <c r="K7646" s="65"/>
      <c r="L7646" s="65"/>
    </row>
    <row r="7647" spans="11:12">
      <c r="K7647" s="65"/>
      <c r="L7647" s="65"/>
    </row>
    <row r="7648" spans="11:12">
      <c r="K7648" s="65"/>
      <c r="L7648" s="65"/>
    </row>
    <row r="7649" spans="11:12">
      <c r="K7649" s="65"/>
      <c r="L7649" s="65"/>
    </row>
    <row r="7650" spans="11:12">
      <c r="K7650" s="65"/>
      <c r="L7650" s="65"/>
    </row>
    <row r="7651" spans="11:12">
      <c r="K7651" s="65"/>
      <c r="L7651" s="65"/>
    </row>
    <row r="7652" spans="11:12">
      <c r="K7652" s="65"/>
      <c r="L7652" s="65"/>
    </row>
    <row r="7653" spans="11:12">
      <c r="K7653" s="65"/>
      <c r="L7653" s="65"/>
    </row>
    <row r="7654" spans="11:12">
      <c r="K7654" s="65"/>
      <c r="L7654" s="65"/>
    </row>
    <row r="7655" spans="11:12">
      <c r="K7655" s="65"/>
      <c r="L7655" s="65"/>
    </row>
    <row r="7656" spans="11:12">
      <c r="K7656" s="65"/>
      <c r="L7656" s="65"/>
    </row>
    <row r="7657" spans="11:12">
      <c r="K7657" s="65"/>
      <c r="L7657" s="65"/>
    </row>
    <row r="7658" spans="11:12">
      <c r="K7658" s="65"/>
      <c r="L7658" s="65"/>
    </row>
    <row r="7659" spans="11:12">
      <c r="K7659" s="65"/>
      <c r="L7659" s="65"/>
    </row>
    <row r="7660" spans="11:12">
      <c r="K7660" s="65"/>
      <c r="L7660" s="65"/>
    </row>
    <row r="7661" spans="11:12">
      <c r="K7661" s="65"/>
      <c r="L7661" s="65"/>
    </row>
    <row r="7662" spans="11:12">
      <c r="K7662" s="65"/>
      <c r="L7662" s="65"/>
    </row>
    <row r="7663" spans="11:12">
      <c r="K7663" s="65"/>
      <c r="L7663" s="65"/>
    </row>
    <row r="7664" spans="11:12">
      <c r="K7664" s="65"/>
      <c r="L7664" s="65"/>
    </row>
    <row r="7665" spans="11:12">
      <c r="K7665" s="65"/>
      <c r="L7665" s="65"/>
    </row>
    <row r="7666" spans="11:12">
      <c r="K7666" s="65"/>
      <c r="L7666" s="65"/>
    </row>
    <row r="7667" spans="11:12">
      <c r="K7667" s="65"/>
      <c r="L7667" s="65"/>
    </row>
    <row r="7668" spans="11:12">
      <c r="K7668" s="65"/>
      <c r="L7668" s="65"/>
    </row>
    <row r="7669" spans="11:12">
      <c r="K7669" s="65"/>
      <c r="L7669" s="65"/>
    </row>
    <row r="7670" spans="11:12">
      <c r="K7670" s="65"/>
      <c r="L7670" s="65"/>
    </row>
    <row r="7671" spans="11:12">
      <c r="K7671" s="65"/>
      <c r="L7671" s="65"/>
    </row>
    <row r="7672" spans="11:12">
      <c r="K7672" s="65"/>
      <c r="L7672" s="65"/>
    </row>
    <row r="7673" spans="11:12">
      <c r="K7673" s="65"/>
      <c r="L7673" s="65"/>
    </row>
    <row r="7674" spans="11:12">
      <c r="K7674" s="65"/>
      <c r="L7674" s="65"/>
    </row>
    <row r="7675" spans="11:12">
      <c r="K7675" s="65"/>
      <c r="L7675" s="65"/>
    </row>
    <row r="7676" spans="11:12">
      <c r="K7676" s="65"/>
      <c r="L7676" s="65"/>
    </row>
    <row r="7677" spans="11:12">
      <c r="K7677" s="65"/>
      <c r="L7677" s="65"/>
    </row>
    <row r="7678" spans="11:12">
      <c r="K7678" s="65"/>
      <c r="L7678" s="65"/>
    </row>
    <row r="7679" spans="11:12">
      <c r="K7679" s="65"/>
      <c r="L7679" s="65"/>
    </row>
    <row r="7680" spans="11:12">
      <c r="K7680" s="65"/>
      <c r="L7680" s="65"/>
    </row>
    <row r="7681" spans="11:12">
      <c r="K7681" s="65"/>
      <c r="L7681" s="65"/>
    </row>
    <row r="7682" spans="11:12">
      <c r="K7682" s="65"/>
      <c r="L7682" s="65"/>
    </row>
    <row r="7683" spans="11:12">
      <c r="K7683" s="65"/>
      <c r="L7683" s="65"/>
    </row>
    <row r="7684" spans="11:12">
      <c r="K7684" s="65"/>
      <c r="L7684" s="65"/>
    </row>
    <row r="7685" spans="11:12">
      <c r="K7685" s="65"/>
      <c r="L7685" s="65"/>
    </row>
    <row r="7686" spans="11:12">
      <c r="K7686" s="65"/>
      <c r="L7686" s="65"/>
    </row>
    <row r="7687" spans="11:12">
      <c r="K7687" s="65"/>
      <c r="L7687" s="65"/>
    </row>
    <row r="7688" spans="11:12">
      <c r="K7688" s="65"/>
      <c r="L7688" s="65"/>
    </row>
    <row r="7689" spans="11:12">
      <c r="K7689" s="65"/>
      <c r="L7689" s="65"/>
    </row>
    <row r="7690" spans="11:12">
      <c r="K7690" s="65"/>
      <c r="L7690" s="65"/>
    </row>
    <row r="7691" spans="11:12">
      <c r="K7691" s="65"/>
      <c r="L7691" s="65"/>
    </row>
    <row r="7692" spans="11:12">
      <c r="K7692" s="65"/>
      <c r="L7692" s="65"/>
    </row>
    <row r="7693" spans="11:12">
      <c r="K7693" s="65"/>
      <c r="L7693" s="65"/>
    </row>
    <row r="7694" spans="11:12">
      <c r="K7694" s="65"/>
      <c r="L7694" s="65"/>
    </row>
    <row r="7695" spans="11:12">
      <c r="K7695" s="65"/>
      <c r="L7695" s="65"/>
    </row>
    <row r="7696" spans="11:12">
      <c r="K7696" s="65"/>
      <c r="L7696" s="65"/>
    </row>
    <row r="7697" spans="11:12">
      <c r="K7697" s="65"/>
      <c r="L7697" s="65"/>
    </row>
    <row r="7698" spans="11:12">
      <c r="K7698" s="65"/>
      <c r="L7698" s="65"/>
    </row>
    <row r="7699" spans="11:12">
      <c r="K7699" s="65"/>
      <c r="L7699" s="65"/>
    </row>
    <row r="7700" spans="11:12">
      <c r="K7700" s="65"/>
      <c r="L7700" s="65"/>
    </row>
    <row r="7701" spans="11:12">
      <c r="K7701" s="65"/>
      <c r="L7701" s="65"/>
    </row>
    <row r="7702" spans="11:12">
      <c r="K7702" s="65"/>
      <c r="L7702" s="65"/>
    </row>
    <row r="7703" spans="11:12">
      <c r="K7703" s="65"/>
      <c r="L7703" s="65"/>
    </row>
    <row r="7704" spans="11:12">
      <c r="K7704" s="65"/>
      <c r="L7704" s="65"/>
    </row>
    <row r="7705" spans="11:12">
      <c r="K7705" s="65"/>
      <c r="L7705" s="65"/>
    </row>
    <row r="7706" spans="11:12">
      <c r="K7706" s="65"/>
      <c r="L7706" s="65"/>
    </row>
    <row r="7707" spans="11:12">
      <c r="K7707" s="65"/>
      <c r="L7707" s="65"/>
    </row>
    <row r="7708" spans="11:12">
      <c r="K7708" s="65"/>
      <c r="L7708" s="65"/>
    </row>
    <row r="7709" spans="11:12">
      <c r="K7709" s="65"/>
      <c r="L7709" s="65"/>
    </row>
    <row r="7710" spans="11:12">
      <c r="K7710" s="65"/>
      <c r="L7710" s="65"/>
    </row>
    <row r="7711" spans="11:12">
      <c r="K7711" s="65"/>
      <c r="L7711" s="65"/>
    </row>
    <row r="7712" spans="11:12">
      <c r="K7712" s="65"/>
      <c r="L7712" s="65"/>
    </row>
    <row r="7713" spans="11:12">
      <c r="K7713" s="65"/>
      <c r="L7713" s="65"/>
    </row>
    <row r="7714" spans="11:12">
      <c r="K7714" s="65"/>
      <c r="L7714" s="65"/>
    </row>
    <row r="7715" spans="11:12">
      <c r="K7715" s="65"/>
      <c r="L7715" s="65"/>
    </row>
    <row r="7716" spans="11:12">
      <c r="K7716" s="65"/>
      <c r="L7716" s="65"/>
    </row>
    <row r="7717" spans="11:12">
      <c r="K7717" s="65"/>
      <c r="L7717" s="65"/>
    </row>
    <row r="7718" spans="11:12">
      <c r="K7718" s="65"/>
      <c r="L7718" s="65"/>
    </row>
    <row r="7719" spans="11:12">
      <c r="K7719" s="65"/>
      <c r="L7719" s="65"/>
    </row>
    <row r="7720" spans="11:12">
      <c r="K7720" s="65"/>
      <c r="L7720" s="65"/>
    </row>
    <row r="7721" spans="11:12">
      <c r="K7721" s="65"/>
      <c r="L7721" s="65"/>
    </row>
    <row r="7722" spans="11:12">
      <c r="K7722" s="65"/>
      <c r="L7722" s="65"/>
    </row>
    <row r="7723" spans="11:12">
      <c r="K7723" s="65"/>
      <c r="L7723" s="65"/>
    </row>
    <row r="7724" spans="11:12">
      <c r="K7724" s="65"/>
      <c r="L7724" s="65"/>
    </row>
    <row r="7725" spans="11:12">
      <c r="K7725" s="65"/>
      <c r="L7725" s="65"/>
    </row>
    <row r="7726" spans="11:12">
      <c r="K7726" s="65"/>
      <c r="L7726" s="65"/>
    </row>
    <row r="7727" spans="11:12">
      <c r="K7727" s="65"/>
      <c r="L7727" s="65"/>
    </row>
    <row r="7728" spans="11:12">
      <c r="K7728" s="65"/>
      <c r="L7728" s="65"/>
    </row>
    <row r="7729" spans="11:12">
      <c r="K7729" s="65"/>
      <c r="L7729" s="65"/>
    </row>
    <row r="7730" spans="11:12">
      <c r="K7730" s="65"/>
      <c r="L7730" s="65"/>
    </row>
    <row r="7731" spans="11:12">
      <c r="K7731" s="65"/>
      <c r="L7731" s="65"/>
    </row>
    <row r="7732" spans="11:12">
      <c r="K7732" s="65"/>
      <c r="L7732" s="65"/>
    </row>
    <row r="7733" spans="11:12">
      <c r="K7733" s="65"/>
      <c r="L7733" s="65"/>
    </row>
    <row r="7734" spans="11:12">
      <c r="K7734" s="65"/>
      <c r="L7734" s="65"/>
    </row>
    <row r="7735" spans="11:12">
      <c r="K7735" s="65"/>
      <c r="L7735" s="65"/>
    </row>
    <row r="7736" spans="11:12">
      <c r="K7736" s="65"/>
      <c r="L7736" s="65"/>
    </row>
    <row r="7737" spans="11:12">
      <c r="K7737" s="65"/>
      <c r="L7737" s="65"/>
    </row>
    <row r="7738" spans="11:12">
      <c r="K7738" s="65"/>
      <c r="L7738" s="65"/>
    </row>
    <row r="7739" spans="11:12">
      <c r="K7739" s="65"/>
      <c r="L7739" s="65"/>
    </row>
    <row r="7740" spans="11:12">
      <c r="K7740" s="65"/>
      <c r="L7740" s="65"/>
    </row>
    <row r="7741" spans="11:12">
      <c r="K7741" s="65"/>
      <c r="L7741" s="65"/>
    </row>
    <row r="7742" spans="11:12">
      <c r="K7742" s="65"/>
      <c r="L7742" s="65"/>
    </row>
    <row r="7743" spans="11:12">
      <c r="K7743" s="65"/>
      <c r="L7743" s="65"/>
    </row>
    <row r="7744" spans="11:12">
      <c r="K7744" s="65"/>
      <c r="L7744" s="65"/>
    </row>
    <row r="7745" spans="11:12">
      <c r="K7745" s="65"/>
      <c r="L7745" s="65"/>
    </row>
    <row r="7746" spans="11:12">
      <c r="K7746" s="65"/>
      <c r="L7746" s="65"/>
    </row>
    <row r="7747" spans="11:12">
      <c r="K7747" s="65"/>
      <c r="L7747" s="65"/>
    </row>
    <row r="7748" spans="11:12">
      <c r="K7748" s="65"/>
      <c r="L7748" s="65"/>
    </row>
    <row r="7749" spans="11:12">
      <c r="K7749" s="65"/>
      <c r="L7749" s="65"/>
    </row>
    <row r="7750" spans="11:12">
      <c r="K7750" s="65"/>
      <c r="L7750" s="65"/>
    </row>
    <row r="7751" spans="11:12">
      <c r="K7751" s="65"/>
      <c r="L7751" s="65"/>
    </row>
    <row r="7752" spans="11:12">
      <c r="K7752" s="65"/>
      <c r="L7752" s="65"/>
    </row>
    <row r="7753" spans="11:12">
      <c r="K7753" s="65"/>
      <c r="L7753" s="65"/>
    </row>
    <row r="7754" spans="11:12">
      <c r="K7754" s="65"/>
      <c r="L7754" s="65"/>
    </row>
    <row r="7755" spans="11:12">
      <c r="K7755" s="65"/>
      <c r="L7755" s="65"/>
    </row>
    <row r="7756" spans="11:12">
      <c r="K7756" s="65"/>
      <c r="L7756" s="65"/>
    </row>
    <row r="7757" spans="11:12">
      <c r="K7757" s="65"/>
      <c r="L7757" s="65"/>
    </row>
    <row r="7758" spans="11:12">
      <c r="K7758" s="65"/>
      <c r="L7758" s="65"/>
    </row>
    <row r="7759" spans="11:12">
      <c r="K7759" s="65"/>
      <c r="L7759" s="65"/>
    </row>
    <row r="7760" spans="11:12">
      <c r="K7760" s="65"/>
      <c r="L7760" s="65"/>
    </row>
    <row r="7761" spans="11:12">
      <c r="K7761" s="65"/>
      <c r="L7761" s="65"/>
    </row>
    <row r="7762" spans="11:12">
      <c r="K7762" s="65"/>
      <c r="L7762" s="65"/>
    </row>
    <row r="7763" spans="11:12">
      <c r="K7763" s="65"/>
      <c r="L7763" s="65"/>
    </row>
    <row r="7764" spans="11:12">
      <c r="K7764" s="65"/>
      <c r="L7764" s="65"/>
    </row>
    <row r="7765" spans="11:12">
      <c r="K7765" s="65"/>
      <c r="L7765" s="65"/>
    </row>
    <row r="7766" spans="11:12">
      <c r="K7766" s="65"/>
      <c r="L7766" s="65"/>
    </row>
    <row r="7767" spans="11:12">
      <c r="K7767" s="65"/>
      <c r="L7767" s="65"/>
    </row>
    <row r="7768" spans="11:12">
      <c r="K7768" s="65"/>
      <c r="L7768" s="65"/>
    </row>
    <row r="7769" spans="11:12">
      <c r="K7769" s="65"/>
      <c r="L7769" s="65"/>
    </row>
    <row r="7770" spans="11:12">
      <c r="K7770" s="65"/>
      <c r="L7770" s="65"/>
    </row>
    <row r="7771" spans="11:12">
      <c r="K7771" s="65"/>
      <c r="L7771" s="65"/>
    </row>
    <row r="7772" spans="11:12">
      <c r="K7772" s="65"/>
      <c r="L7772" s="65"/>
    </row>
    <row r="7773" spans="11:12">
      <c r="K7773" s="65"/>
      <c r="L7773" s="65"/>
    </row>
    <row r="7774" spans="11:12">
      <c r="K7774" s="65"/>
      <c r="L7774" s="65"/>
    </row>
    <row r="7775" spans="11:12">
      <c r="K7775" s="65"/>
      <c r="L7775" s="65"/>
    </row>
    <row r="7776" spans="11:12">
      <c r="K7776" s="65"/>
      <c r="L7776" s="65"/>
    </row>
    <row r="7777" spans="11:12">
      <c r="K7777" s="65"/>
      <c r="L7777" s="65"/>
    </row>
    <row r="7778" spans="11:12">
      <c r="K7778" s="65"/>
      <c r="L7778" s="65"/>
    </row>
    <row r="7779" spans="11:12">
      <c r="K7779" s="65"/>
      <c r="L7779" s="65"/>
    </row>
    <row r="7780" spans="11:12">
      <c r="K7780" s="65"/>
      <c r="L7780" s="65"/>
    </row>
    <row r="7781" spans="11:12">
      <c r="K7781" s="65"/>
      <c r="L7781" s="65"/>
    </row>
    <row r="7782" spans="11:12">
      <c r="K7782" s="65"/>
      <c r="L7782" s="65"/>
    </row>
    <row r="7783" spans="11:12">
      <c r="K7783" s="65"/>
      <c r="L7783" s="65"/>
    </row>
    <row r="7784" spans="11:12">
      <c r="K7784" s="65"/>
      <c r="L7784" s="65"/>
    </row>
    <row r="7785" spans="11:12">
      <c r="K7785" s="65"/>
      <c r="L7785" s="65"/>
    </row>
    <row r="7786" spans="11:12">
      <c r="K7786" s="65"/>
      <c r="L7786" s="65"/>
    </row>
    <row r="7787" spans="11:12">
      <c r="K7787" s="65"/>
      <c r="L7787" s="65"/>
    </row>
    <row r="7788" spans="11:12">
      <c r="K7788" s="65"/>
      <c r="L7788" s="65"/>
    </row>
    <row r="7789" spans="11:12">
      <c r="K7789" s="65"/>
      <c r="L7789" s="65"/>
    </row>
    <row r="7790" spans="11:12">
      <c r="K7790" s="65"/>
      <c r="L7790" s="65"/>
    </row>
    <row r="7791" spans="11:12">
      <c r="K7791" s="65"/>
      <c r="L7791" s="65"/>
    </row>
    <row r="7792" spans="11:12">
      <c r="K7792" s="65"/>
      <c r="L7792" s="65"/>
    </row>
    <row r="7793" spans="11:12">
      <c r="K7793" s="65"/>
      <c r="L7793" s="65"/>
    </row>
    <row r="7794" spans="11:12">
      <c r="K7794" s="65"/>
      <c r="L7794" s="65"/>
    </row>
    <row r="7795" spans="11:12">
      <c r="K7795" s="65"/>
      <c r="L7795" s="65"/>
    </row>
    <row r="7796" spans="11:12">
      <c r="K7796" s="65"/>
      <c r="L7796" s="65"/>
    </row>
    <row r="7797" spans="11:12">
      <c r="K7797" s="65"/>
      <c r="L7797" s="65"/>
    </row>
    <row r="7798" spans="11:12">
      <c r="K7798" s="65"/>
      <c r="L7798" s="65"/>
    </row>
    <row r="7799" spans="11:12">
      <c r="K7799" s="65"/>
      <c r="L7799" s="65"/>
    </row>
    <row r="7800" spans="11:12">
      <c r="K7800" s="65"/>
      <c r="L7800" s="65"/>
    </row>
    <row r="7801" spans="11:12">
      <c r="K7801" s="65"/>
      <c r="L7801" s="65"/>
    </row>
    <row r="7802" spans="11:12">
      <c r="K7802" s="65"/>
      <c r="L7802" s="65"/>
    </row>
    <row r="7803" spans="11:12">
      <c r="K7803" s="65"/>
      <c r="L7803" s="65"/>
    </row>
    <row r="7804" spans="11:12">
      <c r="K7804" s="65"/>
      <c r="L7804" s="65"/>
    </row>
    <row r="7805" spans="11:12">
      <c r="K7805" s="65"/>
      <c r="L7805" s="65"/>
    </row>
    <row r="7806" spans="11:12">
      <c r="K7806" s="65"/>
      <c r="L7806" s="65"/>
    </row>
    <row r="7807" spans="11:12">
      <c r="K7807" s="65"/>
      <c r="L7807" s="65"/>
    </row>
    <row r="7808" spans="11:12">
      <c r="K7808" s="65"/>
      <c r="L7808" s="65"/>
    </row>
    <row r="7809" spans="11:12">
      <c r="K7809" s="65"/>
      <c r="L7809" s="65"/>
    </row>
    <row r="7810" spans="11:12">
      <c r="K7810" s="65"/>
      <c r="L7810" s="65"/>
    </row>
    <row r="7811" spans="11:12">
      <c r="K7811" s="65"/>
      <c r="L7811" s="65"/>
    </row>
    <row r="7812" spans="11:12">
      <c r="K7812" s="65"/>
      <c r="L7812" s="65"/>
    </row>
    <row r="7813" spans="11:12">
      <c r="K7813" s="65"/>
      <c r="L7813" s="65"/>
    </row>
    <row r="7814" spans="11:12">
      <c r="K7814" s="65"/>
      <c r="L7814" s="65"/>
    </row>
    <row r="7815" spans="11:12">
      <c r="K7815" s="65"/>
      <c r="L7815" s="65"/>
    </row>
    <row r="7816" spans="11:12">
      <c r="K7816" s="65"/>
      <c r="L7816" s="65"/>
    </row>
    <row r="7817" spans="11:12">
      <c r="K7817" s="65"/>
      <c r="L7817" s="65"/>
    </row>
    <row r="7818" spans="11:12">
      <c r="K7818" s="65"/>
      <c r="L7818" s="65"/>
    </row>
    <row r="7819" spans="11:12">
      <c r="K7819" s="65"/>
      <c r="L7819" s="65"/>
    </row>
    <row r="7820" spans="11:12">
      <c r="K7820" s="65"/>
      <c r="L7820" s="65"/>
    </row>
    <row r="7821" spans="11:12">
      <c r="K7821" s="65"/>
      <c r="L7821" s="65"/>
    </row>
    <row r="7822" spans="11:12">
      <c r="K7822" s="65"/>
      <c r="L7822" s="65"/>
    </row>
    <row r="7823" spans="11:12">
      <c r="K7823" s="65"/>
      <c r="L7823" s="65"/>
    </row>
    <row r="7824" spans="11:12">
      <c r="K7824" s="65"/>
      <c r="L7824" s="65"/>
    </row>
    <row r="7825" spans="11:12">
      <c r="K7825" s="65"/>
      <c r="L7825" s="65"/>
    </row>
    <row r="7826" spans="11:12">
      <c r="K7826" s="65"/>
      <c r="L7826" s="65"/>
    </row>
    <row r="7827" spans="11:12">
      <c r="K7827" s="65"/>
      <c r="L7827" s="65"/>
    </row>
    <row r="7828" spans="11:12">
      <c r="K7828" s="65"/>
      <c r="L7828" s="65"/>
    </row>
    <row r="7829" spans="11:12">
      <c r="K7829" s="65"/>
      <c r="L7829" s="65"/>
    </row>
    <row r="7830" spans="11:12">
      <c r="K7830" s="65"/>
      <c r="L7830" s="65"/>
    </row>
    <row r="7831" spans="11:12">
      <c r="K7831" s="65"/>
      <c r="L7831" s="65"/>
    </row>
    <row r="7832" spans="11:12">
      <c r="K7832" s="65"/>
      <c r="L7832" s="65"/>
    </row>
    <row r="7833" spans="11:12">
      <c r="K7833" s="65"/>
      <c r="L7833" s="65"/>
    </row>
    <row r="7834" spans="11:12">
      <c r="K7834" s="65"/>
      <c r="L7834" s="65"/>
    </row>
    <row r="7835" spans="11:12">
      <c r="K7835" s="65"/>
      <c r="L7835" s="65"/>
    </row>
    <row r="7836" spans="11:12">
      <c r="K7836" s="65"/>
      <c r="L7836" s="65"/>
    </row>
    <row r="7837" spans="11:12">
      <c r="K7837" s="65"/>
      <c r="L7837" s="65"/>
    </row>
    <row r="7838" spans="11:12">
      <c r="K7838" s="65"/>
      <c r="L7838" s="65"/>
    </row>
    <row r="7839" spans="11:12">
      <c r="K7839" s="65"/>
      <c r="L7839" s="65"/>
    </row>
    <row r="7840" spans="11:12">
      <c r="K7840" s="65"/>
      <c r="L7840" s="65"/>
    </row>
    <row r="7841" spans="11:12">
      <c r="K7841" s="65"/>
      <c r="L7841" s="65"/>
    </row>
    <row r="7842" spans="11:12">
      <c r="K7842" s="65"/>
      <c r="L7842" s="65"/>
    </row>
    <row r="7843" spans="11:12">
      <c r="K7843" s="65"/>
      <c r="L7843" s="65"/>
    </row>
    <row r="7844" spans="11:12">
      <c r="K7844" s="65"/>
      <c r="L7844" s="65"/>
    </row>
    <row r="7845" spans="11:12">
      <c r="K7845" s="65"/>
      <c r="L7845" s="65"/>
    </row>
    <row r="7846" spans="11:12">
      <c r="K7846" s="65"/>
      <c r="L7846" s="65"/>
    </row>
    <row r="7847" spans="11:12">
      <c r="K7847" s="65"/>
      <c r="L7847" s="65"/>
    </row>
    <row r="7848" spans="11:12">
      <c r="K7848" s="65"/>
      <c r="L7848" s="65"/>
    </row>
    <row r="7849" spans="11:12">
      <c r="K7849" s="65"/>
      <c r="L7849" s="65"/>
    </row>
    <row r="7850" spans="11:12">
      <c r="K7850" s="65"/>
      <c r="L7850" s="65"/>
    </row>
    <row r="7851" spans="11:12">
      <c r="K7851" s="65"/>
      <c r="L7851" s="65"/>
    </row>
    <row r="7852" spans="11:12">
      <c r="K7852" s="65"/>
      <c r="L7852" s="65"/>
    </row>
    <row r="7853" spans="11:12">
      <c r="K7853" s="65"/>
      <c r="L7853" s="65"/>
    </row>
    <row r="7854" spans="11:12">
      <c r="K7854" s="65"/>
      <c r="L7854" s="65"/>
    </row>
    <row r="7855" spans="11:12">
      <c r="K7855" s="65"/>
      <c r="L7855" s="65"/>
    </row>
    <row r="7856" spans="11:12">
      <c r="K7856" s="65"/>
      <c r="L7856" s="65"/>
    </row>
    <row r="7857" spans="11:12">
      <c r="K7857" s="65"/>
      <c r="L7857" s="65"/>
    </row>
    <row r="7858" spans="11:12">
      <c r="K7858" s="65"/>
      <c r="L7858" s="65"/>
    </row>
    <row r="7859" spans="11:12">
      <c r="K7859" s="65"/>
      <c r="L7859" s="65"/>
    </row>
    <row r="7860" spans="11:12">
      <c r="K7860" s="65"/>
      <c r="L7860" s="65"/>
    </row>
    <row r="7861" spans="11:12">
      <c r="K7861" s="65"/>
      <c r="L7861" s="65"/>
    </row>
    <row r="7862" spans="11:12">
      <c r="K7862" s="65"/>
      <c r="L7862" s="65"/>
    </row>
    <row r="7863" spans="11:12">
      <c r="K7863" s="65"/>
      <c r="L7863" s="65"/>
    </row>
    <row r="7864" spans="11:12">
      <c r="K7864" s="65"/>
      <c r="L7864" s="65"/>
    </row>
    <row r="7865" spans="11:12">
      <c r="K7865" s="65"/>
      <c r="L7865" s="65"/>
    </row>
    <row r="7866" spans="11:12">
      <c r="K7866" s="65"/>
      <c r="L7866" s="65"/>
    </row>
    <row r="7867" spans="11:12">
      <c r="K7867" s="65"/>
      <c r="L7867" s="65"/>
    </row>
    <row r="7868" spans="11:12">
      <c r="K7868" s="65"/>
      <c r="L7868" s="65"/>
    </row>
    <row r="7869" spans="11:12">
      <c r="K7869" s="65"/>
      <c r="L7869" s="65"/>
    </row>
    <row r="7870" spans="11:12">
      <c r="K7870" s="65"/>
      <c r="L7870" s="65"/>
    </row>
    <row r="7871" spans="11:12">
      <c r="K7871" s="65"/>
      <c r="L7871" s="65"/>
    </row>
    <row r="7872" spans="11:12">
      <c r="K7872" s="65"/>
      <c r="L7872" s="65"/>
    </row>
    <row r="7873" spans="11:12">
      <c r="K7873" s="65"/>
      <c r="L7873" s="65"/>
    </row>
    <row r="7874" spans="11:12">
      <c r="K7874" s="65"/>
      <c r="L7874" s="65"/>
    </row>
    <row r="7875" spans="11:12">
      <c r="K7875" s="65"/>
      <c r="L7875" s="65"/>
    </row>
    <row r="7876" spans="11:12">
      <c r="K7876" s="65"/>
      <c r="L7876" s="65"/>
    </row>
    <row r="7877" spans="11:12">
      <c r="K7877" s="65"/>
      <c r="L7877" s="65"/>
    </row>
    <row r="7878" spans="11:12">
      <c r="K7878" s="65"/>
      <c r="L7878" s="65"/>
    </row>
    <row r="7879" spans="11:12">
      <c r="K7879" s="65"/>
      <c r="L7879" s="65"/>
    </row>
    <row r="7880" spans="11:12">
      <c r="K7880" s="65"/>
      <c r="L7880" s="65"/>
    </row>
    <row r="7881" spans="11:12">
      <c r="K7881" s="65"/>
      <c r="L7881" s="65"/>
    </row>
    <row r="7882" spans="11:12">
      <c r="K7882" s="65"/>
      <c r="L7882" s="65"/>
    </row>
    <row r="7883" spans="11:12">
      <c r="K7883" s="65"/>
      <c r="L7883" s="65"/>
    </row>
    <row r="7884" spans="11:12">
      <c r="K7884" s="65"/>
      <c r="L7884" s="65"/>
    </row>
    <row r="7885" spans="11:12">
      <c r="K7885" s="65"/>
      <c r="L7885" s="65"/>
    </row>
    <row r="7886" spans="11:12">
      <c r="K7886" s="65"/>
      <c r="L7886" s="65"/>
    </row>
    <row r="7887" spans="11:12">
      <c r="K7887" s="65"/>
      <c r="L7887" s="65"/>
    </row>
    <row r="7888" spans="11:12">
      <c r="K7888" s="65"/>
      <c r="L7888" s="65"/>
    </row>
    <row r="7889" spans="11:12">
      <c r="K7889" s="65"/>
      <c r="L7889" s="65"/>
    </row>
    <row r="7890" spans="11:12">
      <c r="K7890" s="65"/>
      <c r="L7890" s="65"/>
    </row>
    <row r="7891" spans="11:12">
      <c r="K7891" s="65"/>
      <c r="L7891" s="65"/>
    </row>
    <row r="7892" spans="11:12">
      <c r="K7892" s="65"/>
      <c r="L7892" s="65"/>
    </row>
    <row r="7893" spans="11:12">
      <c r="K7893" s="65"/>
      <c r="L7893" s="65"/>
    </row>
    <row r="7894" spans="11:12">
      <c r="K7894" s="65"/>
      <c r="L7894" s="65"/>
    </row>
    <row r="7895" spans="11:12">
      <c r="K7895" s="65"/>
      <c r="L7895" s="65"/>
    </row>
    <row r="7896" spans="11:12">
      <c r="K7896" s="65"/>
      <c r="L7896" s="65"/>
    </row>
    <row r="7897" spans="11:12">
      <c r="K7897" s="65"/>
      <c r="L7897" s="65"/>
    </row>
    <row r="7898" spans="11:12">
      <c r="K7898" s="65"/>
      <c r="L7898" s="65"/>
    </row>
    <row r="7899" spans="11:12">
      <c r="K7899" s="65"/>
      <c r="L7899" s="65"/>
    </row>
    <row r="7900" spans="11:12">
      <c r="K7900" s="65"/>
      <c r="L7900" s="65"/>
    </row>
    <row r="7901" spans="11:12">
      <c r="K7901" s="65"/>
      <c r="L7901" s="65"/>
    </row>
    <row r="7902" spans="11:12">
      <c r="K7902" s="65"/>
      <c r="L7902" s="65"/>
    </row>
    <row r="7903" spans="11:12">
      <c r="K7903" s="65"/>
      <c r="L7903" s="65"/>
    </row>
    <row r="7904" spans="11:12">
      <c r="K7904" s="65"/>
      <c r="L7904" s="65"/>
    </row>
    <row r="7905" spans="11:12">
      <c r="K7905" s="65"/>
      <c r="L7905" s="65"/>
    </row>
    <row r="7906" spans="11:12">
      <c r="K7906" s="65"/>
      <c r="L7906" s="65"/>
    </row>
    <row r="7907" spans="11:12">
      <c r="K7907" s="65"/>
      <c r="L7907" s="65"/>
    </row>
    <row r="7908" spans="11:12">
      <c r="K7908" s="65"/>
      <c r="L7908" s="65"/>
    </row>
    <row r="7909" spans="11:12">
      <c r="K7909" s="65"/>
      <c r="L7909" s="65"/>
    </row>
    <row r="7910" spans="11:12">
      <c r="K7910" s="65"/>
      <c r="L7910" s="65"/>
    </row>
    <row r="7911" spans="11:12">
      <c r="K7911" s="65"/>
      <c r="L7911" s="65"/>
    </row>
    <row r="7912" spans="11:12">
      <c r="K7912" s="65"/>
      <c r="L7912" s="65"/>
    </row>
    <row r="7913" spans="11:12">
      <c r="K7913" s="65"/>
      <c r="L7913" s="65"/>
    </row>
    <row r="7914" spans="11:12">
      <c r="K7914" s="65"/>
      <c r="L7914" s="65"/>
    </row>
    <row r="7915" spans="11:12">
      <c r="K7915" s="65"/>
      <c r="L7915" s="65"/>
    </row>
    <row r="7916" spans="11:12">
      <c r="K7916" s="65"/>
      <c r="L7916" s="65"/>
    </row>
    <row r="7917" spans="11:12">
      <c r="K7917" s="65"/>
      <c r="L7917" s="65"/>
    </row>
    <row r="7918" spans="11:12">
      <c r="K7918" s="65"/>
      <c r="L7918" s="65"/>
    </row>
    <row r="7919" spans="11:12">
      <c r="K7919" s="65"/>
      <c r="L7919" s="65"/>
    </row>
    <row r="7920" spans="11:12">
      <c r="K7920" s="65"/>
      <c r="L7920" s="65"/>
    </row>
    <row r="7921" spans="11:12">
      <c r="K7921" s="65"/>
      <c r="L7921" s="65"/>
    </row>
    <row r="7922" spans="11:12">
      <c r="K7922" s="65"/>
      <c r="L7922" s="65"/>
    </row>
    <row r="7923" spans="11:12">
      <c r="K7923" s="65"/>
      <c r="L7923" s="65"/>
    </row>
    <row r="7924" spans="11:12">
      <c r="K7924" s="65"/>
      <c r="L7924" s="65"/>
    </row>
    <row r="7925" spans="11:12">
      <c r="K7925" s="65"/>
      <c r="L7925" s="65"/>
    </row>
    <row r="7926" spans="11:12">
      <c r="K7926" s="65"/>
      <c r="L7926" s="65"/>
    </row>
    <row r="7927" spans="11:12">
      <c r="K7927" s="65"/>
      <c r="L7927" s="65"/>
    </row>
    <row r="7928" spans="11:12">
      <c r="K7928" s="65"/>
      <c r="L7928" s="65"/>
    </row>
    <row r="7929" spans="11:12">
      <c r="K7929" s="65"/>
      <c r="L7929" s="65"/>
    </row>
    <row r="7930" spans="11:12">
      <c r="K7930" s="65"/>
      <c r="L7930" s="65"/>
    </row>
    <row r="7931" spans="11:12">
      <c r="K7931" s="65"/>
      <c r="L7931" s="65"/>
    </row>
    <row r="7932" spans="11:12">
      <c r="K7932" s="65"/>
      <c r="L7932" s="65"/>
    </row>
    <row r="7933" spans="11:12">
      <c r="K7933" s="65"/>
      <c r="L7933" s="65"/>
    </row>
    <row r="7934" spans="11:12">
      <c r="K7934" s="65"/>
      <c r="L7934" s="65"/>
    </row>
    <row r="7935" spans="11:12">
      <c r="K7935" s="65"/>
      <c r="L7935" s="65"/>
    </row>
    <row r="7936" spans="11:12">
      <c r="K7936" s="65"/>
      <c r="L7936" s="65"/>
    </row>
    <row r="7937" spans="11:12">
      <c r="K7937" s="65"/>
      <c r="L7937" s="65"/>
    </row>
    <row r="7938" spans="11:12">
      <c r="K7938" s="65"/>
      <c r="L7938" s="65"/>
    </row>
    <row r="7939" spans="11:12">
      <c r="K7939" s="65"/>
      <c r="L7939" s="65"/>
    </row>
    <row r="7940" spans="11:12">
      <c r="K7940" s="65"/>
      <c r="L7940" s="65"/>
    </row>
    <row r="7941" spans="11:12">
      <c r="K7941" s="65"/>
      <c r="L7941" s="65"/>
    </row>
    <row r="7942" spans="11:12">
      <c r="K7942" s="65"/>
      <c r="L7942" s="65"/>
    </row>
    <row r="7943" spans="11:12">
      <c r="K7943" s="65"/>
      <c r="L7943" s="65"/>
    </row>
    <row r="7944" spans="11:12">
      <c r="K7944" s="65"/>
      <c r="L7944" s="65"/>
    </row>
    <row r="7945" spans="11:12">
      <c r="K7945" s="65"/>
      <c r="L7945" s="65"/>
    </row>
    <row r="7946" spans="11:12">
      <c r="K7946" s="65"/>
      <c r="L7946" s="65"/>
    </row>
    <row r="7947" spans="11:12">
      <c r="K7947" s="65"/>
      <c r="L7947" s="65"/>
    </row>
    <row r="7948" spans="11:12">
      <c r="K7948" s="65"/>
      <c r="L7948" s="65"/>
    </row>
    <row r="7949" spans="11:12">
      <c r="K7949" s="65"/>
      <c r="L7949" s="65"/>
    </row>
    <row r="7950" spans="11:12">
      <c r="K7950" s="65"/>
      <c r="L7950" s="65"/>
    </row>
    <row r="7951" spans="11:12">
      <c r="K7951" s="65"/>
      <c r="L7951" s="65"/>
    </row>
    <row r="7952" spans="11:12">
      <c r="K7952" s="65"/>
      <c r="L7952" s="65"/>
    </row>
    <row r="7953" spans="11:12">
      <c r="K7953" s="65"/>
      <c r="L7953" s="65"/>
    </row>
    <row r="7954" spans="11:12">
      <c r="K7954" s="65"/>
      <c r="L7954" s="65"/>
    </row>
    <row r="7955" spans="11:12">
      <c r="K7955" s="65"/>
      <c r="L7955" s="65"/>
    </row>
    <row r="7956" spans="11:12">
      <c r="K7956" s="65"/>
      <c r="L7956" s="65"/>
    </row>
    <row r="7957" spans="11:12">
      <c r="K7957" s="65"/>
      <c r="L7957" s="65"/>
    </row>
    <row r="7958" spans="11:12">
      <c r="K7958" s="65"/>
      <c r="L7958" s="65"/>
    </row>
    <row r="7959" spans="11:12">
      <c r="K7959" s="65"/>
      <c r="L7959" s="65"/>
    </row>
    <row r="7960" spans="11:12">
      <c r="K7960" s="65"/>
      <c r="L7960" s="65"/>
    </row>
    <row r="7961" spans="11:12">
      <c r="K7961" s="65"/>
      <c r="L7961" s="65"/>
    </row>
    <row r="7962" spans="11:12">
      <c r="K7962" s="65"/>
      <c r="L7962" s="65"/>
    </row>
    <row r="7963" spans="11:12">
      <c r="K7963" s="65"/>
      <c r="L7963" s="65"/>
    </row>
    <row r="7964" spans="11:12">
      <c r="K7964" s="65"/>
      <c r="L7964" s="65"/>
    </row>
    <row r="7965" spans="11:12">
      <c r="K7965" s="65"/>
      <c r="L7965" s="65"/>
    </row>
    <row r="7966" spans="11:12">
      <c r="K7966" s="65"/>
      <c r="L7966" s="65"/>
    </row>
    <row r="7967" spans="11:12">
      <c r="K7967" s="65"/>
      <c r="L7967" s="65"/>
    </row>
    <row r="7968" spans="11:12">
      <c r="K7968" s="65"/>
      <c r="L7968" s="65"/>
    </row>
    <row r="7969" spans="11:12">
      <c r="K7969" s="65"/>
      <c r="L7969" s="65"/>
    </row>
    <row r="7970" spans="11:12">
      <c r="K7970" s="65"/>
      <c r="L7970" s="65"/>
    </row>
    <row r="7971" spans="11:12">
      <c r="K7971" s="65"/>
      <c r="L7971" s="65"/>
    </row>
    <row r="7972" spans="11:12">
      <c r="K7972" s="65"/>
      <c r="L7972" s="65"/>
    </row>
    <row r="7973" spans="11:12">
      <c r="K7973" s="65"/>
      <c r="L7973" s="65"/>
    </row>
    <row r="7974" spans="11:12">
      <c r="K7974" s="65"/>
      <c r="L7974" s="65"/>
    </row>
    <row r="7975" spans="11:12">
      <c r="K7975" s="65"/>
      <c r="L7975" s="65"/>
    </row>
    <row r="7976" spans="11:12">
      <c r="K7976" s="65"/>
      <c r="L7976" s="65"/>
    </row>
    <row r="7977" spans="11:12">
      <c r="K7977" s="65"/>
      <c r="L7977" s="65"/>
    </row>
    <row r="7978" spans="11:12">
      <c r="K7978" s="65"/>
      <c r="L7978" s="65"/>
    </row>
    <row r="7979" spans="11:12">
      <c r="K7979" s="65"/>
      <c r="L7979" s="65"/>
    </row>
    <row r="7980" spans="11:12">
      <c r="K7980" s="65"/>
      <c r="L7980" s="65"/>
    </row>
    <row r="7981" spans="11:12">
      <c r="K7981" s="65"/>
      <c r="L7981" s="65"/>
    </row>
    <row r="7982" spans="11:12">
      <c r="K7982" s="65"/>
      <c r="L7982" s="65"/>
    </row>
    <row r="7983" spans="11:12">
      <c r="K7983" s="65"/>
      <c r="L7983" s="65"/>
    </row>
    <row r="7984" spans="11:12">
      <c r="K7984" s="65"/>
      <c r="L7984" s="65"/>
    </row>
    <row r="7985" spans="11:12">
      <c r="K7985" s="65"/>
      <c r="L7985" s="65"/>
    </row>
    <row r="7986" spans="11:12">
      <c r="K7986" s="65"/>
      <c r="L7986" s="65"/>
    </row>
    <row r="7987" spans="11:12">
      <c r="K7987" s="65"/>
      <c r="L7987" s="65"/>
    </row>
    <row r="7988" spans="11:12">
      <c r="K7988" s="65"/>
      <c r="L7988" s="65"/>
    </row>
    <row r="7989" spans="11:12">
      <c r="K7989" s="65"/>
      <c r="L7989" s="65"/>
    </row>
    <row r="7990" spans="11:12">
      <c r="K7990" s="65"/>
      <c r="L7990" s="65"/>
    </row>
    <row r="7991" spans="11:12">
      <c r="K7991" s="65"/>
      <c r="L7991" s="65"/>
    </row>
    <row r="7992" spans="11:12">
      <c r="K7992" s="65"/>
      <c r="L7992" s="65"/>
    </row>
    <row r="7993" spans="11:12">
      <c r="K7993" s="65"/>
      <c r="L7993" s="65"/>
    </row>
    <row r="7994" spans="11:12">
      <c r="K7994" s="65"/>
      <c r="L7994" s="65"/>
    </row>
    <row r="7995" spans="11:12">
      <c r="K7995" s="65"/>
      <c r="L7995" s="65"/>
    </row>
    <row r="7996" spans="11:12">
      <c r="K7996" s="65"/>
      <c r="L7996" s="65"/>
    </row>
    <row r="7997" spans="11:12">
      <c r="K7997" s="65"/>
      <c r="L7997" s="65"/>
    </row>
    <row r="7998" spans="11:12">
      <c r="K7998" s="65"/>
      <c r="L7998" s="65"/>
    </row>
    <row r="7999" spans="11:12">
      <c r="K7999" s="65"/>
      <c r="L7999" s="65"/>
    </row>
    <row r="8000" spans="11:12">
      <c r="K8000" s="65"/>
      <c r="L8000" s="65"/>
    </row>
    <row r="8001" spans="11:12">
      <c r="K8001" s="65"/>
      <c r="L8001" s="65"/>
    </row>
    <row r="8002" spans="11:12">
      <c r="K8002" s="65"/>
      <c r="L8002" s="65"/>
    </row>
    <row r="8003" spans="11:12">
      <c r="K8003" s="65"/>
      <c r="L8003" s="65"/>
    </row>
    <row r="8004" spans="11:12">
      <c r="K8004" s="65"/>
      <c r="L8004" s="65"/>
    </row>
    <row r="8005" spans="11:12">
      <c r="K8005" s="65"/>
      <c r="L8005" s="65"/>
    </row>
    <row r="8006" spans="11:12">
      <c r="K8006" s="65"/>
      <c r="L8006" s="65"/>
    </row>
    <row r="8007" spans="11:12">
      <c r="K8007" s="65"/>
      <c r="L8007" s="65"/>
    </row>
    <row r="8008" spans="11:12">
      <c r="K8008" s="65"/>
      <c r="L8008" s="65"/>
    </row>
    <row r="8009" spans="11:12">
      <c r="K8009" s="65"/>
      <c r="L8009" s="65"/>
    </row>
    <row r="8010" spans="11:12">
      <c r="K8010" s="65"/>
      <c r="L8010" s="65"/>
    </row>
    <row r="8011" spans="11:12">
      <c r="K8011" s="65"/>
      <c r="L8011" s="65"/>
    </row>
    <row r="8012" spans="11:12">
      <c r="K8012" s="65"/>
      <c r="L8012" s="65"/>
    </row>
    <row r="8013" spans="11:12">
      <c r="K8013" s="65"/>
      <c r="L8013" s="65"/>
    </row>
    <row r="8014" spans="11:12">
      <c r="K8014" s="65"/>
      <c r="L8014" s="65"/>
    </row>
    <row r="8015" spans="11:12">
      <c r="K8015" s="65"/>
      <c r="L8015" s="65"/>
    </row>
    <row r="8016" spans="11:12">
      <c r="K8016" s="65"/>
      <c r="L8016" s="65"/>
    </row>
    <row r="8017" spans="11:12">
      <c r="K8017" s="65"/>
      <c r="L8017" s="65"/>
    </row>
    <row r="8018" spans="11:12">
      <c r="K8018" s="65"/>
      <c r="L8018" s="65"/>
    </row>
    <row r="8019" spans="11:12">
      <c r="K8019" s="65"/>
      <c r="L8019" s="65"/>
    </row>
    <row r="8020" spans="11:12">
      <c r="K8020" s="65"/>
      <c r="L8020" s="65"/>
    </row>
    <row r="8021" spans="11:12">
      <c r="K8021" s="65"/>
      <c r="L8021" s="65"/>
    </row>
    <row r="8022" spans="11:12">
      <c r="K8022" s="65"/>
      <c r="L8022" s="65"/>
    </row>
    <row r="8023" spans="11:12">
      <c r="K8023" s="65"/>
      <c r="L8023" s="65"/>
    </row>
    <row r="8024" spans="11:12">
      <c r="K8024" s="65"/>
      <c r="L8024" s="65"/>
    </row>
    <row r="8025" spans="11:12">
      <c r="K8025" s="65"/>
      <c r="L8025" s="65"/>
    </row>
    <row r="8026" spans="11:12">
      <c r="K8026" s="65"/>
      <c r="L8026" s="65"/>
    </row>
    <row r="8027" spans="11:12">
      <c r="K8027" s="65"/>
      <c r="L8027" s="65"/>
    </row>
    <row r="8028" spans="11:12">
      <c r="K8028" s="65"/>
      <c r="L8028" s="65"/>
    </row>
    <row r="8029" spans="11:12">
      <c r="K8029" s="65"/>
      <c r="L8029" s="65"/>
    </row>
    <row r="8030" spans="11:12">
      <c r="K8030" s="65"/>
      <c r="L8030" s="65"/>
    </row>
    <row r="8031" spans="11:12">
      <c r="K8031" s="65"/>
      <c r="L8031" s="65"/>
    </row>
    <row r="8032" spans="11:12">
      <c r="K8032" s="65"/>
      <c r="L8032" s="65"/>
    </row>
    <row r="8033" spans="11:12">
      <c r="K8033" s="65"/>
      <c r="L8033" s="65"/>
    </row>
    <row r="8034" spans="11:12">
      <c r="K8034" s="65"/>
      <c r="L8034" s="65"/>
    </row>
    <row r="8035" spans="11:12">
      <c r="K8035" s="65"/>
      <c r="L8035" s="65"/>
    </row>
    <row r="8036" spans="11:12">
      <c r="K8036" s="65"/>
      <c r="L8036" s="65"/>
    </row>
    <row r="8037" spans="11:12">
      <c r="K8037" s="65"/>
      <c r="L8037" s="65"/>
    </row>
    <row r="8038" spans="11:12">
      <c r="K8038" s="65"/>
      <c r="L8038" s="65"/>
    </row>
    <row r="8039" spans="11:12">
      <c r="K8039" s="65"/>
      <c r="L8039" s="65"/>
    </row>
    <row r="8040" spans="11:12">
      <c r="K8040" s="65"/>
      <c r="L8040" s="65"/>
    </row>
    <row r="8041" spans="11:12">
      <c r="K8041" s="65"/>
      <c r="L8041" s="65"/>
    </row>
    <row r="8042" spans="11:12">
      <c r="K8042" s="65"/>
      <c r="L8042" s="65"/>
    </row>
    <row r="8043" spans="11:12">
      <c r="K8043" s="65"/>
      <c r="L8043" s="65"/>
    </row>
    <row r="8044" spans="11:12">
      <c r="K8044" s="65"/>
      <c r="L8044" s="65"/>
    </row>
    <row r="8045" spans="11:12">
      <c r="K8045" s="65"/>
      <c r="L8045" s="65"/>
    </row>
    <row r="8046" spans="11:12">
      <c r="K8046" s="65"/>
      <c r="L8046" s="65"/>
    </row>
    <row r="8047" spans="11:12">
      <c r="K8047" s="65"/>
      <c r="L8047" s="65"/>
    </row>
    <row r="8048" spans="11:12">
      <c r="K8048" s="65"/>
      <c r="L8048" s="65"/>
    </row>
    <row r="8049" spans="11:12">
      <c r="K8049" s="65"/>
      <c r="L8049" s="65"/>
    </row>
    <row r="8050" spans="11:12">
      <c r="K8050" s="65"/>
      <c r="L8050" s="65"/>
    </row>
    <row r="8051" spans="11:12">
      <c r="K8051" s="65"/>
      <c r="L8051" s="65"/>
    </row>
    <row r="8052" spans="11:12">
      <c r="K8052" s="65"/>
      <c r="L8052" s="65"/>
    </row>
    <row r="8053" spans="11:12">
      <c r="K8053" s="65"/>
      <c r="L8053" s="65"/>
    </row>
    <row r="8054" spans="11:12">
      <c r="K8054" s="65"/>
      <c r="L8054" s="65"/>
    </row>
    <row r="8055" spans="11:12">
      <c r="K8055" s="65"/>
      <c r="L8055" s="65"/>
    </row>
    <row r="8056" spans="11:12">
      <c r="K8056" s="65"/>
      <c r="L8056" s="65"/>
    </row>
    <row r="8057" spans="11:12">
      <c r="K8057" s="65"/>
      <c r="L8057" s="65"/>
    </row>
    <row r="8058" spans="11:12">
      <c r="K8058" s="65"/>
      <c r="L8058" s="65"/>
    </row>
    <row r="8059" spans="11:12">
      <c r="K8059" s="65"/>
      <c r="L8059" s="65"/>
    </row>
    <row r="8060" spans="11:12">
      <c r="K8060" s="65"/>
      <c r="L8060" s="65"/>
    </row>
    <row r="8061" spans="11:12">
      <c r="K8061" s="65"/>
      <c r="L8061" s="65"/>
    </row>
    <row r="8062" spans="11:12">
      <c r="K8062" s="65"/>
      <c r="L8062" s="65"/>
    </row>
    <row r="8063" spans="11:12">
      <c r="K8063" s="65"/>
      <c r="L8063" s="65"/>
    </row>
    <row r="8064" spans="11:12">
      <c r="K8064" s="65"/>
      <c r="L8064" s="65"/>
    </row>
    <row r="8065" spans="11:12">
      <c r="K8065" s="65"/>
      <c r="L8065" s="65"/>
    </row>
    <row r="8066" spans="11:12">
      <c r="K8066" s="65"/>
      <c r="L8066" s="65"/>
    </row>
    <row r="8067" spans="11:12">
      <c r="K8067" s="65"/>
      <c r="L8067" s="65"/>
    </row>
    <row r="8068" spans="11:12">
      <c r="K8068" s="65"/>
      <c r="L8068" s="65"/>
    </row>
    <row r="8069" spans="11:12">
      <c r="K8069" s="65"/>
      <c r="L8069" s="65"/>
    </row>
    <row r="8070" spans="11:12">
      <c r="K8070" s="65"/>
      <c r="L8070" s="65"/>
    </row>
    <row r="8071" spans="11:12">
      <c r="K8071" s="65"/>
      <c r="L8071" s="65"/>
    </row>
    <row r="8072" spans="11:12">
      <c r="K8072" s="65"/>
      <c r="L8072" s="65"/>
    </row>
    <row r="8073" spans="11:12">
      <c r="K8073" s="65"/>
      <c r="L8073" s="65"/>
    </row>
    <row r="8074" spans="11:12">
      <c r="K8074" s="65"/>
      <c r="L8074" s="65"/>
    </row>
    <row r="8075" spans="11:12">
      <c r="K8075" s="65"/>
      <c r="L8075" s="65"/>
    </row>
    <row r="8076" spans="11:12">
      <c r="K8076" s="65"/>
      <c r="L8076" s="65"/>
    </row>
    <row r="8077" spans="11:12">
      <c r="K8077" s="65"/>
      <c r="L8077" s="65"/>
    </row>
    <row r="8078" spans="11:12">
      <c r="K8078" s="65"/>
      <c r="L8078" s="65"/>
    </row>
    <row r="8079" spans="11:12">
      <c r="K8079" s="65"/>
      <c r="L8079" s="65"/>
    </row>
    <row r="8080" spans="11:12">
      <c r="K8080" s="65"/>
      <c r="L8080" s="65"/>
    </row>
    <row r="8081" spans="11:12">
      <c r="K8081" s="65"/>
      <c r="L8081" s="65"/>
    </row>
    <row r="8082" spans="11:12">
      <c r="K8082" s="65"/>
      <c r="L8082" s="65"/>
    </row>
    <row r="8083" spans="11:12">
      <c r="K8083" s="65"/>
      <c r="L8083" s="65"/>
    </row>
    <row r="8084" spans="11:12">
      <c r="K8084" s="65"/>
      <c r="L8084" s="65"/>
    </row>
    <row r="8085" spans="11:12">
      <c r="K8085" s="65"/>
      <c r="L8085" s="65"/>
    </row>
    <row r="8086" spans="11:12">
      <c r="K8086" s="65"/>
      <c r="L8086" s="65"/>
    </row>
    <row r="8087" spans="11:12">
      <c r="K8087" s="65"/>
      <c r="L8087" s="65"/>
    </row>
    <row r="8088" spans="11:12">
      <c r="K8088" s="65"/>
      <c r="L8088" s="65"/>
    </row>
    <row r="8089" spans="11:12">
      <c r="K8089" s="65"/>
      <c r="L8089" s="65"/>
    </row>
    <row r="8090" spans="11:12">
      <c r="K8090" s="65"/>
      <c r="L8090" s="65"/>
    </row>
    <row r="8091" spans="11:12">
      <c r="K8091" s="65"/>
      <c r="L8091" s="65"/>
    </row>
    <row r="8092" spans="11:12">
      <c r="K8092" s="65"/>
      <c r="L8092" s="65"/>
    </row>
    <row r="8093" spans="11:12">
      <c r="K8093" s="65"/>
      <c r="L8093" s="65"/>
    </row>
    <row r="8094" spans="11:12">
      <c r="K8094" s="65"/>
      <c r="L8094" s="65"/>
    </row>
    <row r="8095" spans="11:12">
      <c r="K8095" s="65"/>
      <c r="L8095" s="65"/>
    </row>
    <row r="8096" spans="11:12">
      <c r="K8096" s="65"/>
      <c r="L8096" s="65"/>
    </row>
    <row r="8097" spans="11:12">
      <c r="K8097" s="65"/>
      <c r="L8097" s="65"/>
    </row>
    <row r="8098" spans="11:12">
      <c r="K8098" s="65"/>
      <c r="L8098" s="65"/>
    </row>
    <row r="8099" spans="11:12">
      <c r="K8099" s="65"/>
      <c r="L8099" s="65"/>
    </row>
    <row r="8100" spans="11:12">
      <c r="K8100" s="65"/>
      <c r="L8100" s="65"/>
    </row>
    <row r="8101" spans="11:12">
      <c r="K8101" s="65"/>
      <c r="L8101" s="65"/>
    </row>
    <row r="8102" spans="11:12">
      <c r="K8102" s="65"/>
      <c r="L8102" s="65"/>
    </row>
    <row r="8103" spans="11:12">
      <c r="K8103" s="65"/>
      <c r="L8103" s="65"/>
    </row>
    <row r="8104" spans="11:12">
      <c r="K8104" s="65"/>
      <c r="L8104" s="65"/>
    </row>
    <row r="8105" spans="11:12">
      <c r="K8105" s="65"/>
      <c r="L8105" s="65"/>
    </row>
    <row r="8106" spans="11:12">
      <c r="K8106" s="65"/>
      <c r="L8106" s="65"/>
    </row>
    <row r="8107" spans="11:12">
      <c r="K8107" s="65"/>
      <c r="L8107" s="65"/>
    </row>
    <row r="8108" spans="11:12">
      <c r="K8108" s="65"/>
      <c r="L8108" s="65"/>
    </row>
    <row r="8109" spans="11:12">
      <c r="K8109" s="65"/>
      <c r="L8109" s="65"/>
    </row>
    <row r="8110" spans="11:12">
      <c r="K8110" s="65"/>
      <c r="L8110" s="65"/>
    </row>
    <row r="8111" spans="11:12">
      <c r="K8111" s="65"/>
      <c r="L8111" s="65"/>
    </row>
    <row r="8112" spans="11:12">
      <c r="K8112" s="65"/>
      <c r="L8112" s="65"/>
    </row>
    <row r="8113" spans="11:12">
      <c r="K8113" s="65"/>
      <c r="L8113" s="65"/>
    </row>
    <row r="8114" spans="11:12">
      <c r="K8114" s="65"/>
      <c r="L8114" s="65"/>
    </row>
    <row r="8115" spans="11:12">
      <c r="K8115" s="65"/>
      <c r="L8115" s="65"/>
    </row>
    <row r="8116" spans="11:12">
      <c r="K8116" s="65"/>
      <c r="L8116" s="65"/>
    </row>
    <row r="8117" spans="11:12">
      <c r="K8117" s="65"/>
      <c r="L8117" s="65"/>
    </row>
    <row r="8118" spans="11:12">
      <c r="K8118" s="65"/>
      <c r="L8118" s="65"/>
    </row>
    <row r="8119" spans="11:12">
      <c r="K8119" s="65"/>
      <c r="L8119" s="65"/>
    </row>
    <row r="8120" spans="11:12">
      <c r="K8120" s="65"/>
      <c r="L8120" s="65"/>
    </row>
    <row r="8121" spans="11:12">
      <c r="K8121" s="65"/>
      <c r="L8121" s="65"/>
    </row>
    <row r="8122" spans="11:12">
      <c r="K8122" s="65"/>
      <c r="L8122" s="65"/>
    </row>
    <row r="8123" spans="11:12">
      <c r="K8123" s="65"/>
      <c r="L8123" s="65"/>
    </row>
    <row r="8124" spans="11:12">
      <c r="K8124" s="65"/>
      <c r="L8124" s="65"/>
    </row>
    <row r="8125" spans="11:12">
      <c r="K8125" s="65"/>
      <c r="L8125" s="65"/>
    </row>
    <row r="8126" spans="11:12">
      <c r="K8126" s="65"/>
      <c r="L8126" s="65"/>
    </row>
    <row r="8127" spans="11:12">
      <c r="K8127" s="65"/>
      <c r="L8127" s="65"/>
    </row>
    <row r="8128" spans="11:12">
      <c r="K8128" s="65"/>
      <c r="L8128" s="65"/>
    </row>
    <row r="8129" spans="11:12">
      <c r="K8129" s="65"/>
      <c r="L8129" s="65"/>
    </row>
    <row r="8130" spans="11:12">
      <c r="K8130" s="65"/>
      <c r="L8130" s="65"/>
    </row>
    <row r="8131" spans="11:12">
      <c r="K8131" s="65"/>
      <c r="L8131" s="65"/>
    </row>
    <row r="8132" spans="11:12">
      <c r="K8132" s="65"/>
      <c r="L8132" s="65"/>
    </row>
    <row r="8133" spans="11:12">
      <c r="K8133" s="65"/>
      <c r="L8133" s="65"/>
    </row>
    <row r="8134" spans="11:12">
      <c r="K8134" s="65"/>
      <c r="L8134" s="65"/>
    </row>
    <row r="8135" spans="11:12">
      <c r="K8135" s="65"/>
      <c r="L8135" s="65"/>
    </row>
    <row r="8136" spans="11:12">
      <c r="K8136" s="65"/>
      <c r="L8136" s="65"/>
    </row>
    <row r="8137" spans="11:12">
      <c r="K8137" s="65"/>
      <c r="L8137" s="65"/>
    </row>
    <row r="8138" spans="11:12">
      <c r="K8138" s="65"/>
      <c r="L8138" s="65"/>
    </row>
    <row r="8139" spans="11:12">
      <c r="K8139" s="65"/>
      <c r="L8139" s="65"/>
    </row>
    <row r="8140" spans="11:12">
      <c r="K8140" s="65"/>
      <c r="L8140" s="65"/>
    </row>
    <row r="8141" spans="11:12">
      <c r="K8141" s="65"/>
      <c r="L8141" s="65"/>
    </row>
    <row r="8142" spans="11:12">
      <c r="K8142" s="65"/>
      <c r="L8142" s="65"/>
    </row>
    <row r="8143" spans="11:12">
      <c r="K8143" s="65"/>
      <c r="L8143" s="65"/>
    </row>
    <row r="8144" spans="11:12">
      <c r="K8144" s="65"/>
      <c r="L8144" s="65"/>
    </row>
    <row r="8145" spans="11:12">
      <c r="K8145" s="65"/>
      <c r="L8145" s="65"/>
    </row>
    <row r="8146" spans="11:12">
      <c r="K8146" s="65"/>
      <c r="L8146" s="65"/>
    </row>
    <row r="8147" spans="11:12">
      <c r="K8147" s="65"/>
      <c r="L8147" s="65"/>
    </row>
    <row r="8148" spans="11:12">
      <c r="K8148" s="65"/>
      <c r="L8148" s="65"/>
    </row>
    <row r="8149" spans="11:12">
      <c r="K8149" s="65"/>
      <c r="L8149" s="65"/>
    </row>
    <row r="8150" spans="11:12">
      <c r="K8150" s="65"/>
      <c r="L8150" s="65"/>
    </row>
    <row r="8151" spans="11:12">
      <c r="K8151" s="65"/>
      <c r="L8151" s="65"/>
    </row>
    <row r="8152" spans="11:12">
      <c r="K8152" s="65"/>
      <c r="L8152" s="65"/>
    </row>
    <row r="8153" spans="11:12">
      <c r="K8153" s="65"/>
      <c r="L8153" s="65"/>
    </row>
    <row r="8154" spans="11:12">
      <c r="K8154" s="65"/>
      <c r="L8154" s="65"/>
    </row>
    <row r="8155" spans="11:12">
      <c r="K8155" s="65"/>
      <c r="L8155" s="65"/>
    </row>
    <row r="8156" spans="11:12">
      <c r="K8156" s="65"/>
      <c r="L8156" s="65"/>
    </row>
    <row r="8157" spans="11:12">
      <c r="K8157" s="65"/>
      <c r="L8157" s="65"/>
    </row>
    <row r="8158" spans="11:12">
      <c r="K8158" s="65"/>
      <c r="L8158" s="65"/>
    </row>
    <row r="8159" spans="11:12">
      <c r="K8159" s="65"/>
      <c r="L8159" s="65"/>
    </row>
    <row r="8160" spans="11:12">
      <c r="K8160" s="65"/>
      <c r="L8160" s="65"/>
    </row>
    <row r="8161" spans="11:12">
      <c r="K8161" s="65"/>
      <c r="L8161" s="65"/>
    </row>
    <row r="8162" spans="11:12">
      <c r="K8162" s="65"/>
      <c r="L8162" s="65"/>
    </row>
    <row r="8163" spans="11:12">
      <c r="K8163" s="65"/>
      <c r="L8163" s="65"/>
    </row>
    <row r="8164" spans="11:12">
      <c r="K8164" s="65"/>
      <c r="L8164" s="65"/>
    </row>
    <row r="8165" spans="11:12">
      <c r="K8165" s="65"/>
      <c r="L8165" s="65"/>
    </row>
    <row r="8166" spans="11:12">
      <c r="K8166" s="65"/>
      <c r="L8166" s="65"/>
    </row>
    <row r="8167" spans="11:12">
      <c r="K8167" s="65"/>
      <c r="L8167" s="65"/>
    </row>
    <row r="8168" spans="11:12">
      <c r="K8168" s="65"/>
      <c r="L8168" s="65"/>
    </row>
    <row r="8169" spans="11:12">
      <c r="K8169" s="65"/>
      <c r="L8169" s="65"/>
    </row>
    <row r="8170" spans="11:12">
      <c r="K8170" s="65"/>
      <c r="L8170" s="65"/>
    </row>
    <row r="8171" spans="11:12">
      <c r="K8171" s="65"/>
      <c r="L8171" s="65"/>
    </row>
    <row r="8172" spans="11:12">
      <c r="K8172" s="65"/>
      <c r="L8172" s="65"/>
    </row>
    <row r="8173" spans="11:12">
      <c r="K8173" s="65"/>
      <c r="L8173" s="65"/>
    </row>
    <row r="8174" spans="11:12">
      <c r="K8174" s="65"/>
      <c r="L8174" s="65"/>
    </row>
    <row r="8175" spans="11:12">
      <c r="K8175" s="65"/>
      <c r="L8175" s="65"/>
    </row>
    <row r="8176" spans="11:12">
      <c r="K8176" s="65"/>
      <c r="L8176" s="65"/>
    </row>
    <row r="8177" spans="11:12">
      <c r="K8177" s="65"/>
      <c r="L8177" s="65"/>
    </row>
    <row r="8178" spans="11:12">
      <c r="K8178" s="65"/>
      <c r="L8178" s="65"/>
    </row>
    <row r="8179" spans="11:12">
      <c r="K8179" s="65"/>
      <c r="L8179" s="65"/>
    </row>
    <row r="8180" spans="11:12">
      <c r="K8180" s="65"/>
      <c r="L8180" s="65"/>
    </row>
    <row r="8181" spans="11:12">
      <c r="K8181" s="65"/>
      <c r="L8181" s="65"/>
    </row>
    <row r="8182" spans="11:12">
      <c r="K8182" s="65"/>
      <c r="L8182" s="65"/>
    </row>
    <row r="8183" spans="11:12">
      <c r="K8183" s="65"/>
      <c r="L8183" s="65"/>
    </row>
    <row r="8184" spans="11:12">
      <c r="K8184" s="65"/>
      <c r="L8184" s="65"/>
    </row>
    <row r="8185" spans="11:12">
      <c r="K8185" s="65"/>
      <c r="L8185" s="65"/>
    </row>
    <row r="8186" spans="11:12">
      <c r="K8186" s="65"/>
      <c r="L8186" s="65"/>
    </row>
    <row r="8187" spans="11:12">
      <c r="K8187" s="65"/>
      <c r="L8187" s="65"/>
    </row>
    <row r="8188" spans="11:12">
      <c r="K8188" s="65"/>
      <c r="L8188" s="65"/>
    </row>
    <row r="8189" spans="11:12">
      <c r="K8189" s="65"/>
      <c r="L8189" s="65"/>
    </row>
    <row r="8190" spans="11:12">
      <c r="K8190" s="65"/>
      <c r="L8190" s="65"/>
    </row>
    <row r="8191" spans="11:12">
      <c r="K8191" s="65"/>
      <c r="L8191" s="65"/>
    </row>
    <row r="8192" spans="11:12">
      <c r="K8192" s="65"/>
      <c r="L8192" s="65"/>
    </row>
    <row r="8193" spans="11:12">
      <c r="K8193" s="65"/>
      <c r="L8193" s="65"/>
    </row>
    <row r="8194" spans="11:12">
      <c r="K8194" s="65"/>
      <c r="L8194" s="65"/>
    </row>
    <row r="8195" spans="11:12">
      <c r="K8195" s="65"/>
      <c r="L8195" s="65"/>
    </row>
    <row r="8196" spans="11:12">
      <c r="K8196" s="65"/>
      <c r="L8196" s="65"/>
    </row>
    <row r="8197" spans="11:12">
      <c r="K8197" s="65"/>
      <c r="L8197" s="65"/>
    </row>
    <row r="8198" spans="11:12">
      <c r="K8198" s="65"/>
      <c r="L8198" s="65"/>
    </row>
    <row r="8199" spans="11:12">
      <c r="K8199" s="65"/>
      <c r="L8199" s="65"/>
    </row>
    <row r="8200" spans="11:12">
      <c r="K8200" s="65"/>
      <c r="L8200" s="65"/>
    </row>
    <row r="8201" spans="11:12">
      <c r="K8201" s="65"/>
      <c r="L8201" s="65"/>
    </row>
    <row r="8202" spans="11:12">
      <c r="K8202" s="65"/>
      <c r="L8202" s="65"/>
    </row>
    <row r="8203" spans="11:12">
      <c r="K8203" s="65"/>
      <c r="L8203" s="65"/>
    </row>
    <row r="8204" spans="11:12">
      <c r="K8204" s="65"/>
      <c r="L8204" s="65"/>
    </row>
    <row r="8205" spans="11:12">
      <c r="K8205" s="65"/>
      <c r="L8205" s="65"/>
    </row>
    <row r="8206" spans="11:12">
      <c r="K8206" s="65"/>
      <c r="L8206" s="65"/>
    </row>
    <row r="8207" spans="11:12">
      <c r="K8207" s="65"/>
      <c r="L8207" s="65"/>
    </row>
    <row r="8208" spans="11:12">
      <c r="K8208" s="65"/>
      <c r="L8208" s="65"/>
    </row>
    <row r="8209" spans="11:12">
      <c r="K8209" s="65"/>
      <c r="L8209" s="65"/>
    </row>
    <row r="8210" spans="11:12">
      <c r="K8210" s="65"/>
      <c r="L8210" s="65"/>
    </row>
    <row r="8211" spans="11:12">
      <c r="K8211" s="65"/>
      <c r="L8211" s="65"/>
    </row>
    <row r="8212" spans="11:12">
      <c r="K8212" s="65"/>
      <c r="L8212" s="65"/>
    </row>
    <row r="8213" spans="11:12">
      <c r="K8213" s="65"/>
      <c r="L8213" s="65"/>
    </row>
    <row r="8214" spans="11:12">
      <c r="K8214" s="65"/>
      <c r="L8214" s="65"/>
    </row>
    <row r="8215" spans="11:12">
      <c r="K8215" s="65"/>
      <c r="L8215" s="65"/>
    </row>
    <row r="8216" spans="11:12">
      <c r="K8216" s="65"/>
      <c r="L8216" s="65"/>
    </row>
    <row r="8217" spans="11:12">
      <c r="K8217" s="65"/>
      <c r="L8217" s="65"/>
    </row>
    <row r="8218" spans="11:12">
      <c r="K8218" s="65"/>
      <c r="L8218" s="65"/>
    </row>
    <row r="8219" spans="11:12">
      <c r="K8219" s="65"/>
      <c r="L8219" s="65"/>
    </row>
    <row r="8220" spans="11:12">
      <c r="K8220" s="65"/>
      <c r="L8220" s="65"/>
    </row>
    <row r="8221" spans="11:12">
      <c r="K8221" s="65"/>
      <c r="L8221" s="65"/>
    </row>
    <row r="8222" spans="11:12">
      <c r="K8222" s="65"/>
      <c r="L8222" s="65"/>
    </row>
    <row r="8223" spans="11:12">
      <c r="K8223" s="65"/>
      <c r="L8223" s="65"/>
    </row>
    <row r="8224" spans="11:12">
      <c r="K8224" s="65"/>
      <c r="L8224" s="65"/>
    </row>
    <row r="8225" spans="11:12">
      <c r="K8225" s="65"/>
      <c r="L8225" s="65"/>
    </row>
    <row r="8226" spans="11:12">
      <c r="K8226" s="65"/>
      <c r="L8226" s="65"/>
    </row>
    <row r="8227" spans="11:12">
      <c r="K8227" s="65"/>
      <c r="L8227" s="65"/>
    </row>
    <row r="8228" spans="11:12">
      <c r="K8228" s="65"/>
      <c r="L8228" s="65"/>
    </row>
    <row r="8229" spans="11:12">
      <c r="K8229" s="65"/>
      <c r="L8229" s="65"/>
    </row>
    <row r="8230" spans="11:12">
      <c r="K8230" s="65"/>
      <c r="L8230" s="65"/>
    </row>
    <row r="8231" spans="11:12">
      <c r="K8231" s="65"/>
      <c r="L8231" s="65"/>
    </row>
    <row r="8232" spans="11:12">
      <c r="K8232" s="65"/>
      <c r="L8232" s="65"/>
    </row>
    <row r="8233" spans="11:12">
      <c r="K8233" s="65"/>
      <c r="L8233" s="65"/>
    </row>
    <row r="8234" spans="11:12">
      <c r="K8234" s="65"/>
      <c r="L8234" s="65"/>
    </row>
    <row r="8235" spans="11:12">
      <c r="K8235" s="65"/>
      <c r="L8235" s="65"/>
    </row>
    <row r="8236" spans="11:12">
      <c r="K8236" s="65"/>
      <c r="L8236" s="65"/>
    </row>
    <row r="8237" spans="11:12">
      <c r="K8237" s="65"/>
      <c r="L8237" s="65"/>
    </row>
    <row r="8238" spans="11:12">
      <c r="K8238" s="65"/>
      <c r="L8238" s="65"/>
    </row>
    <row r="8239" spans="11:12">
      <c r="K8239" s="65"/>
      <c r="L8239" s="65"/>
    </row>
    <row r="8240" spans="11:12">
      <c r="K8240" s="65"/>
      <c r="L8240" s="65"/>
    </row>
    <row r="8241" spans="11:12">
      <c r="K8241" s="65"/>
      <c r="L8241" s="65"/>
    </row>
    <row r="8242" spans="11:12">
      <c r="K8242" s="65"/>
      <c r="L8242" s="65"/>
    </row>
    <row r="8243" spans="11:12">
      <c r="K8243" s="65"/>
      <c r="L8243" s="65"/>
    </row>
    <row r="8244" spans="11:12">
      <c r="K8244" s="65"/>
      <c r="L8244" s="65"/>
    </row>
    <row r="8245" spans="11:12">
      <c r="K8245" s="65"/>
      <c r="L8245" s="65"/>
    </row>
    <row r="8246" spans="11:12">
      <c r="K8246" s="65"/>
      <c r="L8246" s="65"/>
    </row>
    <row r="8247" spans="11:12">
      <c r="K8247" s="65"/>
      <c r="L8247" s="65"/>
    </row>
    <row r="8248" spans="11:12">
      <c r="K8248" s="65"/>
      <c r="L8248" s="65"/>
    </row>
    <row r="8249" spans="11:12">
      <c r="K8249" s="65"/>
      <c r="L8249" s="65"/>
    </row>
    <row r="8250" spans="11:12">
      <c r="K8250" s="65"/>
      <c r="L8250" s="65"/>
    </row>
    <row r="8251" spans="11:12">
      <c r="K8251" s="65"/>
      <c r="L8251" s="65"/>
    </row>
    <row r="8252" spans="11:12">
      <c r="K8252" s="65"/>
      <c r="L8252" s="65"/>
    </row>
    <row r="8253" spans="11:12">
      <c r="K8253" s="65"/>
      <c r="L8253" s="65"/>
    </row>
    <row r="8254" spans="11:12">
      <c r="K8254" s="65"/>
      <c r="L8254" s="65"/>
    </row>
    <row r="8255" spans="11:12">
      <c r="K8255" s="65"/>
      <c r="L8255" s="65"/>
    </row>
    <row r="8256" spans="11:12">
      <c r="K8256" s="65"/>
      <c r="L8256" s="65"/>
    </row>
    <row r="8257" spans="11:12">
      <c r="K8257" s="65"/>
      <c r="L8257" s="65"/>
    </row>
    <row r="8258" spans="11:12">
      <c r="K8258" s="65"/>
      <c r="L8258" s="65"/>
    </row>
    <row r="8259" spans="11:12">
      <c r="K8259" s="65"/>
      <c r="L8259" s="65"/>
    </row>
    <row r="8260" spans="11:12">
      <c r="K8260" s="65"/>
      <c r="L8260" s="65"/>
    </row>
    <row r="8261" spans="11:12">
      <c r="K8261" s="65"/>
      <c r="L8261" s="65"/>
    </row>
    <row r="8262" spans="11:12">
      <c r="K8262" s="65"/>
      <c r="L8262" s="65"/>
    </row>
    <row r="8263" spans="11:12">
      <c r="K8263" s="65"/>
      <c r="L8263" s="65"/>
    </row>
    <row r="8264" spans="11:12">
      <c r="K8264" s="65"/>
      <c r="L8264" s="65"/>
    </row>
    <row r="8265" spans="11:12">
      <c r="K8265" s="65"/>
      <c r="L8265" s="65"/>
    </row>
    <row r="8266" spans="11:12">
      <c r="K8266" s="65"/>
      <c r="L8266" s="65"/>
    </row>
    <row r="8267" spans="11:12">
      <c r="K8267" s="65"/>
      <c r="L8267" s="65"/>
    </row>
    <row r="8268" spans="11:12">
      <c r="K8268" s="65"/>
      <c r="L8268" s="65"/>
    </row>
    <row r="8269" spans="11:12">
      <c r="K8269" s="65"/>
      <c r="L8269" s="65"/>
    </row>
    <row r="8270" spans="11:12">
      <c r="K8270" s="65"/>
      <c r="L8270" s="65"/>
    </row>
    <row r="8271" spans="11:12">
      <c r="K8271" s="65"/>
      <c r="L8271" s="65"/>
    </row>
    <row r="8272" spans="11:12">
      <c r="K8272" s="65"/>
      <c r="L8272" s="65"/>
    </row>
    <row r="8273" spans="11:12">
      <c r="K8273" s="65"/>
      <c r="L8273" s="65"/>
    </row>
    <row r="8274" spans="11:12">
      <c r="K8274" s="65"/>
      <c r="L8274" s="65"/>
    </row>
    <row r="8275" spans="11:12">
      <c r="K8275" s="65"/>
      <c r="L8275" s="65"/>
    </row>
    <row r="8276" spans="11:12">
      <c r="K8276" s="65"/>
      <c r="L8276" s="65"/>
    </row>
    <row r="8277" spans="11:12">
      <c r="K8277" s="65"/>
      <c r="L8277" s="65"/>
    </row>
    <row r="8278" spans="11:12">
      <c r="K8278" s="65"/>
      <c r="L8278" s="65"/>
    </row>
    <row r="8279" spans="11:12">
      <c r="K8279" s="65"/>
      <c r="L8279" s="65"/>
    </row>
    <row r="8280" spans="11:12">
      <c r="K8280" s="65"/>
      <c r="L8280" s="65"/>
    </row>
    <row r="8281" spans="11:12">
      <c r="K8281" s="65"/>
      <c r="L8281" s="65"/>
    </row>
    <row r="8282" spans="11:12">
      <c r="K8282" s="65"/>
      <c r="L8282" s="65"/>
    </row>
    <row r="8283" spans="11:12">
      <c r="K8283" s="65"/>
      <c r="L8283" s="65"/>
    </row>
    <row r="8284" spans="11:12">
      <c r="K8284" s="65"/>
      <c r="L8284" s="65"/>
    </row>
    <row r="8285" spans="11:12">
      <c r="K8285" s="65"/>
      <c r="L8285" s="65"/>
    </row>
    <row r="8286" spans="11:12">
      <c r="K8286" s="65"/>
      <c r="L8286" s="65"/>
    </row>
    <row r="8287" spans="11:12">
      <c r="K8287" s="65"/>
      <c r="L8287" s="65"/>
    </row>
    <row r="8288" spans="11:12">
      <c r="K8288" s="65"/>
      <c r="L8288" s="65"/>
    </row>
    <row r="8289" spans="11:12">
      <c r="K8289" s="65"/>
      <c r="L8289" s="65"/>
    </row>
    <row r="8290" spans="11:12">
      <c r="K8290" s="65"/>
      <c r="L8290" s="65"/>
    </row>
    <row r="8291" spans="11:12">
      <c r="K8291" s="65"/>
      <c r="L8291" s="65"/>
    </row>
    <row r="8292" spans="11:12">
      <c r="K8292" s="65"/>
      <c r="L8292" s="65"/>
    </row>
    <row r="8293" spans="11:12">
      <c r="K8293" s="65"/>
      <c r="L8293" s="65"/>
    </row>
    <row r="8294" spans="11:12">
      <c r="K8294" s="65"/>
      <c r="L8294" s="65"/>
    </row>
    <row r="8295" spans="11:12">
      <c r="K8295" s="65"/>
      <c r="L8295" s="65"/>
    </row>
    <row r="8296" spans="11:12">
      <c r="K8296" s="65"/>
      <c r="L8296" s="65"/>
    </row>
    <row r="8297" spans="11:12">
      <c r="K8297" s="65"/>
      <c r="L8297" s="65"/>
    </row>
    <row r="8298" spans="11:12">
      <c r="K8298" s="65"/>
      <c r="L8298" s="65"/>
    </row>
    <row r="8299" spans="11:12">
      <c r="K8299" s="65"/>
      <c r="L8299" s="65"/>
    </row>
    <row r="8300" spans="11:12">
      <c r="K8300" s="65"/>
      <c r="L8300" s="65"/>
    </row>
    <row r="8301" spans="11:12">
      <c r="K8301" s="65"/>
      <c r="L8301" s="65"/>
    </row>
    <row r="8302" spans="11:12">
      <c r="K8302" s="65"/>
      <c r="L8302" s="65"/>
    </row>
    <row r="8303" spans="11:12">
      <c r="K8303" s="65"/>
      <c r="L8303" s="65"/>
    </row>
    <row r="8304" spans="11:12">
      <c r="K8304" s="65"/>
      <c r="L8304" s="65"/>
    </row>
    <row r="8305" spans="11:12">
      <c r="K8305" s="65"/>
      <c r="L8305" s="65"/>
    </row>
    <row r="8306" spans="11:12">
      <c r="K8306" s="65"/>
      <c r="L8306" s="65"/>
    </row>
    <row r="8307" spans="11:12">
      <c r="K8307" s="65"/>
      <c r="L8307" s="65"/>
    </row>
    <row r="8308" spans="11:12">
      <c r="K8308" s="65"/>
      <c r="L8308" s="65"/>
    </row>
    <row r="8309" spans="11:12">
      <c r="K8309" s="65"/>
      <c r="L8309" s="65"/>
    </row>
    <row r="8310" spans="11:12">
      <c r="K8310" s="65"/>
      <c r="L8310" s="65"/>
    </row>
    <row r="8311" spans="11:12">
      <c r="K8311" s="65"/>
      <c r="L8311" s="65"/>
    </row>
    <row r="8312" spans="11:12">
      <c r="K8312" s="65"/>
      <c r="L8312" s="65"/>
    </row>
    <row r="8313" spans="11:12">
      <c r="K8313" s="65"/>
      <c r="L8313" s="65"/>
    </row>
    <row r="8314" spans="11:12">
      <c r="K8314" s="65"/>
      <c r="L8314" s="65"/>
    </row>
    <row r="8315" spans="11:12">
      <c r="K8315" s="65"/>
      <c r="L8315" s="65"/>
    </row>
    <row r="8316" spans="11:12">
      <c r="K8316" s="65"/>
      <c r="L8316" s="65"/>
    </row>
    <row r="8317" spans="11:12">
      <c r="K8317" s="65"/>
      <c r="L8317" s="65"/>
    </row>
    <row r="8318" spans="11:12">
      <c r="K8318" s="65"/>
      <c r="L8318" s="65"/>
    </row>
    <row r="8319" spans="11:12">
      <c r="K8319" s="65"/>
      <c r="L8319" s="65"/>
    </row>
    <row r="8320" spans="11:12">
      <c r="K8320" s="65"/>
      <c r="L8320" s="65"/>
    </row>
    <row r="8321" spans="11:12">
      <c r="K8321" s="65"/>
      <c r="L8321" s="65"/>
    </row>
    <row r="8322" spans="11:12">
      <c r="K8322" s="65"/>
      <c r="L8322" s="65"/>
    </row>
    <row r="8323" spans="11:12">
      <c r="K8323" s="65"/>
      <c r="L8323" s="65"/>
    </row>
    <row r="8324" spans="11:12">
      <c r="K8324" s="65"/>
      <c r="L8324" s="65"/>
    </row>
    <row r="8325" spans="11:12">
      <c r="K8325" s="65"/>
      <c r="L8325" s="65"/>
    </row>
    <row r="8326" spans="11:12">
      <c r="K8326" s="65"/>
      <c r="L8326" s="65"/>
    </row>
    <row r="8327" spans="11:12">
      <c r="K8327" s="65"/>
      <c r="L8327" s="65"/>
    </row>
    <row r="8328" spans="11:12">
      <c r="K8328" s="65"/>
      <c r="L8328" s="65"/>
    </row>
    <row r="8329" spans="11:12">
      <c r="K8329" s="65"/>
      <c r="L8329" s="65"/>
    </row>
    <row r="8330" spans="11:12">
      <c r="K8330" s="65"/>
      <c r="L8330" s="65"/>
    </row>
    <row r="8331" spans="11:12">
      <c r="K8331" s="65"/>
      <c r="L8331" s="65"/>
    </row>
    <row r="8332" spans="11:12">
      <c r="K8332" s="65"/>
      <c r="L8332" s="65"/>
    </row>
    <row r="8333" spans="11:12">
      <c r="K8333" s="65"/>
      <c r="L8333" s="65"/>
    </row>
    <row r="8334" spans="11:12">
      <c r="K8334" s="65"/>
      <c r="L8334" s="65"/>
    </row>
    <row r="8335" spans="11:12">
      <c r="K8335" s="65"/>
      <c r="L8335" s="65"/>
    </row>
    <row r="8336" spans="11:12">
      <c r="K8336" s="65"/>
      <c r="L8336" s="65"/>
    </row>
    <row r="8337" spans="11:12">
      <c r="K8337" s="65"/>
      <c r="L8337" s="65"/>
    </row>
    <row r="8338" spans="11:12">
      <c r="K8338" s="65"/>
      <c r="L8338" s="65"/>
    </row>
    <row r="8339" spans="11:12">
      <c r="K8339" s="65"/>
      <c r="L8339" s="65"/>
    </row>
    <row r="8340" spans="11:12">
      <c r="K8340" s="65"/>
      <c r="L8340" s="65"/>
    </row>
    <row r="8341" spans="11:12">
      <c r="K8341" s="65"/>
      <c r="L8341" s="65"/>
    </row>
    <row r="8342" spans="11:12">
      <c r="K8342" s="65"/>
      <c r="L8342" s="65"/>
    </row>
    <row r="8343" spans="11:12">
      <c r="K8343" s="65"/>
      <c r="L8343" s="65"/>
    </row>
    <row r="8344" spans="11:12">
      <c r="K8344" s="65"/>
      <c r="L8344" s="65"/>
    </row>
    <row r="8345" spans="11:12">
      <c r="K8345" s="65"/>
      <c r="L8345" s="65"/>
    </row>
    <row r="8346" spans="11:12">
      <c r="K8346" s="65"/>
      <c r="L8346" s="65"/>
    </row>
    <row r="8347" spans="11:12">
      <c r="K8347" s="65"/>
      <c r="L8347" s="65"/>
    </row>
    <row r="8348" spans="11:12">
      <c r="K8348" s="65"/>
      <c r="L8348" s="65"/>
    </row>
    <row r="8349" spans="11:12">
      <c r="K8349" s="65"/>
      <c r="L8349" s="65"/>
    </row>
    <row r="8350" spans="11:12">
      <c r="K8350" s="65"/>
      <c r="L8350" s="65"/>
    </row>
    <row r="8351" spans="11:12">
      <c r="K8351" s="65"/>
      <c r="L8351" s="65"/>
    </row>
    <row r="8352" spans="11:12">
      <c r="K8352" s="65"/>
      <c r="L8352" s="65"/>
    </row>
    <row r="8353" spans="11:12">
      <c r="K8353" s="65"/>
      <c r="L8353" s="65"/>
    </row>
    <row r="8354" spans="11:12">
      <c r="K8354" s="65"/>
      <c r="L8354" s="65"/>
    </row>
    <row r="8355" spans="11:12">
      <c r="K8355" s="65"/>
      <c r="L8355" s="65"/>
    </row>
    <row r="8356" spans="11:12">
      <c r="K8356" s="65"/>
      <c r="L8356" s="65"/>
    </row>
    <row r="8357" spans="11:12">
      <c r="K8357" s="65"/>
      <c r="L8357" s="65"/>
    </row>
    <row r="8358" spans="11:12">
      <c r="K8358" s="65"/>
      <c r="L8358" s="65"/>
    </row>
    <row r="8359" spans="11:12">
      <c r="K8359" s="65"/>
      <c r="L8359" s="65"/>
    </row>
    <row r="8360" spans="11:12">
      <c r="K8360" s="65"/>
      <c r="L8360" s="65"/>
    </row>
    <row r="8361" spans="11:12">
      <c r="K8361" s="65"/>
      <c r="L8361" s="65"/>
    </row>
    <row r="8362" spans="11:12">
      <c r="K8362" s="65"/>
      <c r="L8362" s="65"/>
    </row>
    <row r="8363" spans="11:12">
      <c r="K8363" s="65"/>
      <c r="L8363" s="65"/>
    </row>
    <row r="8364" spans="11:12">
      <c r="K8364" s="65"/>
      <c r="L8364" s="65"/>
    </row>
    <row r="8365" spans="11:12">
      <c r="K8365" s="65"/>
      <c r="L8365" s="65"/>
    </row>
    <row r="8366" spans="11:12">
      <c r="K8366" s="65"/>
      <c r="L8366" s="65"/>
    </row>
    <row r="8367" spans="11:12">
      <c r="K8367" s="65"/>
      <c r="L8367" s="65"/>
    </row>
    <row r="8368" spans="11:12">
      <c r="K8368" s="65"/>
      <c r="L8368" s="65"/>
    </row>
    <row r="8369" spans="11:12">
      <c r="K8369" s="65"/>
      <c r="L8369" s="65"/>
    </row>
    <row r="8370" spans="11:12">
      <c r="K8370" s="65"/>
      <c r="L8370" s="65"/>
    </row>
    <row r="8371" spans="11:12">
      <c r="K8371" s="65"/>
      <c r="L8371" s="65"/>
    </row>
    <row r="8372" spans="11:12">
      <c r="K8372" s="65"/>
      <c r="L8372" s="65"/>
    </row>
    <row r="8373" spans="11:12">
      <c r="K8373" s="65"/>
      <c r="L8373" s="65"/>
    </row>
    <row r="8374" spans="11:12">
      <c r="K8374" s="65"/>
      <c r="L8374" s="65"/>
    </row>
    <row r="8375" spans="11:12">
      <c r="K8375" s="65"/>
      <c r="L8375" s="65"/>
    </row>
    <row r="8376" spans="11:12">
      <c r="K8376" s="65"/>
      <c r="L8376" s="65"/>
    </row>
    <row r="8377" spans="11:12">
      <c r="K8377" s="65"/>
      <c r="L8377" s="65"/>
    </row>
    <row r="8378" spans="11:12">
      <c r="K8378" s="65"/>
      <c r="L8378" s="65"/>
    </row>
    <row r="8379" spans="11:12">
      <c r="K8379" s="65"/>
      <c r="L8379" s="65"/>
    </row>
    <row r="8380" spans="11:12">
      <c r="K8380" s="65"/>
      <c r="L8380" s="65"/>
    </row>
    <row r="8381" spans="11:12">
      <c r="K8381" s="65"/>
      <c r="L8381" s="65"/>
    </row>
    <row r="8382" spans="11:12">
      <c r="K8382" s="65"/>
      <c r="L8382" s="65"/>
    </row>
    <row r="8383" spans="11:12">
      <c r="K8383" s="65"/>
      <c r="L8383" s="65"/>
    </row>
    <row r="8384" spans="11:12">
      <c r="K8384" s="65"/>
      <c r="L8384" s="65"/>
    </row>
    <row r="8385" spans="11:12">
      <c r="K8385" s="65"/>
      <c r="L8385" s="65"/>
    </row>
    <row r="8386" spans="11:12">
      <c r="K8386" s="65"/>
      <c r="L8386" s="65"/>
    </row>
    <row r="8387" spans="11:12">
      <c r="K8387" s="65"/>
      <c r="L8387" s="65"/>
    </row>
    <row r="8388" spans="11:12">
      <c r="K8388" s="65"/>
      <c r="L8388" s="65"/>
    </row>
    <row r="8389" spans="11:12">
      <c r="K8389" s="65"/>
      <c r="L8389" s="65"/>
    </row>
    <row r="8390" spans="11:12">
      <c r="K8390" s="65"/>
      <c r="L8390" s="65"/>
    </row>
    <row r="8391" spans="11:12">
      <c r="K8391" s="65"/>
      <c r="L8391" s="65"/>
    </row>
    <row r="8392" spans="11:12">
      <c r="K8392" s="65"/>
      <c r="L8392" s="65"/>
    </row>
    <row r="8393" spans="11:12">
      <c r="K8393" s="65"/>
      <c r="L8393" s="65"/>
    </row>
    <row r="8394" spans="11:12">
      <c r="K8394" s="65"/>
      <c r="L8394" s="65"/>
    </row>
    <row r="8395" spans="11:12">
      <c r="K8395" s="65"/>
      <c r="L8395" s="65"/>
    </row>
    <row r="8396" spans="11:12">
      <c r="K8396" s="65"/>
      <c r="L8396" s="65"/>
    </row>
    <row r="8397" spans="11:12">
      <c r="K8397" s="65"/>
      <c r="L8397" s="65"/>
    </row>
    <row r="8398" spans="11:12">
      <c r="K8398" s="65"/>
      <c r="L8398" s="65"/>
    </row>
    <row r="8399" spans="11:12">
      <c r="K8399" s="65"/>
      <c r="L8399" s="65"/>
    </row>
    <row r="8400" spans="11:12">
      <c r="K8400" s="65"/>
      <c r="L8400" s="65"/>
    </row>
    <row r="8401" spans="11:12">
      <c r="K8401" s="65"/>
      <c r="L8401" s="65"/>
    </row>
    <row r="8402" spans="11:12">
      <c r="K8402" s="65"/>
      <c r="L8402" s="65"/>
    </row>
    <row r="8403" spans="11:12">
      <c r="K8403" s="65"/>
      <c r="L8403" s="65"/>
    </row>
    <row r="8404" spans="11:12">
      <c r="K8404" s="65"/>
      <c r="L8404" s="65"/>
    </row>
    <row r="8405" spans="11:12">
      <c r="K8405" s="65"/>
      <c r="L8405" s="65"/>
    </row>
    <row r="8406" spans="11:12">
      <c r="K8406" s="65"/>
      <c r="L8406" s="65"/>
    </row>
    <row r="8407" spans="11:12">
      <c r="K8407" s="65"/>
      <c r="L8407" s="65"/>
    </row>
    <row r="8408" spans="11:12">
      <c r="K8408" s="65"/>
      <c r="L8408" s="65"/>
    </row>
    <row r="8409" spans="11:12">
      <c r="K8409" s="65"/>
      <c r="L8409" s="65"/>
    </row>
    <row r="8410" spans="11:12">
      <c r="K8410" s="65"/>
      <c r="L8410" s="65"/>
    </row>
    <row r="8411" spans="11:12">
      <c r="K8411" s="65"/>
      <c r="L8411" s="65"/>
    </row>
    <row r="8412" spans="11:12">
      <c r="K8412" s="65"/>
      <c r="L8412" s="65"/>
    </row>
    <row r="8413" spans="11:12">
      <c r="K8413" s="65"/>
      <c r="L8413" s="65"/>
    </row>
    <row r="8414" spans="11:12">
      <c r="K8414" s="65"/>
      <c r="L8414" s="65"/>
    </row>
    <row r="8415" spans="11:12">
      <c r="K8415" s="65"/>
      <c r="L8415" s="65"/>
    </row>
    <row r="8416" spans="11:12">
      <c r="K8416" s="65"/>
      <c r="L8416" s="65"/>
    </row>
    <row r="8417" spans="11:12">
      <c r="K8417" s="65"/>
      <c r="L8417" s="65"/>
    </row>
    <row r="8418" spans="11:12">
      <c r="K8418" s="65"/>
      <c r="L8418" s="65"/>
    </row>
    <row r="8419" spans="11:12">
      <c r="K8419" s="65"/>
      <c r="L8419" s="65"/>
    </row>
    <row r="8420" spans="11:12">
      <c r="K8420" s="65"/>
      <c r="L8420" s="65"/>
    </row>
    <row r="8421" spans="11:12">
      <c r="K8421" s="65"/>
      <c r="L8421" s="65"/>
    </row>
    <row r="8422" spans="11:12">
      <c r="K8422" s="65"/>
      <c r="L8422" s="65"/>
    </row>
    <row r="8423" spans="11:12">
      <c r="K8423" s="65"/>
      <c r="L8423" s="65"/>
    </row>
    <row r="8424" spans="11:12">
      <c r="K8424" s="65"/>
      <c r="L8424" s="65"/>
    </row>
    <row r="8425" spans="11:12">
      <c r="K8425" s="65"/>
      <c r="L8425" s="65"/>
    </row>
    <row r="8426" spans="11:12">
      <c r="K8426" s="65"/>
      <c r="L8426" s="65"/>
    </row>
    <row r="8427" spans="11:12">
      <c r="K8427" s="65"/>
      <c r="L8427" s="65"/>
    </row>
    <row r="8428" spans="11:12">
      <c r="K8428" s="65"/>
      <c r="L8428" s="65"/>
    </row>
    <row r="8429" spans="11:12">
      <c r="K8429" s="65"/>
      <c r="L8429" s="65"/>
    </row>
    <row r="8430" spans="11:12">
      <c r="K8430" s="65"/>
      <c r="L8430" s="65"/>
    </row>
    <row r="8431" spans="11:12">
      <c r="K8431" s="65"/>
      <c r="L8431" s="65"/>
    </row>
    <row r="8432" spans="11:12">
      <c r="K8432" s="65"/>
      <c r="L8432" s="65"/>
    </row>
    <row r="8433" spans="11:12">
      <c r="K8433" s="65"/>
      <c r="L8433" s="65"/>
    </row>
    <row r="8434" spans="11:12">
      <c r="K8434" s="65"/>
      <c r="L8434" s="65"/>
    </row>
    <row r="8435" spans="11:12">
      <c r="K8435" s="65"/>
      <c r="L8435" s="65"/>
    </row>
    <row r="8436" spans="11:12">
      <c r="K8436" s="65"/>
      <c r="L8436" s="65"/>
    </row>
    <row r="8437" spans="11:12">
      <c r="K8437" s="65"/>
      <c r="L8437" s="65"/>
    </row>
    <row r="8438" spans="11:12">
      <c r="K8438" s="65"/>
      <c r="L8438" s="65"/>
    </row>
    <row r="8439" spans="11:12">
      <c r="K8439" s="65"/>
      <c r="L8439" s="65"/>
    </row>
    <row r="8440" spans="11:12">
      <c r="K8440" s="65"/>
      <c r="L8440" s="65"/>
    </row>
    <row r="8441" spans="11:12">
      <c r="K8441" s="65"/>
      <c r="L8441" s="65"/>
    </row>
    <row r="8442" spans="11:12">
      <c r="K8442" s="65"/>
      <c r="L8442" s="65"/>
    </row>
    <row r="8443" spans="11:12">
      <c r="K8443" s="65"/>
      <c r="L8443" s="65"/>
    </row>
    <row r="8444" spans="11:12">
      <c r="K8444" s="65"/>
      <c r="L8444" s="65"/>
    </row>
    <row r="8445" spans="11:12">
      <c r="K8445" s="65"/>
      <c r="L8445" s="65"/>
    </row>
    <row r="8446" spans="11:12">
      <c r="K8446" s="65"/>
      <c r="L8446" s="65"/>
    </row>
    <row r="8447" spans="11:12">
      <c r="K8447" s="65"/>
      <c r="L8447" s="65"/>
    </row>
    <row r="8448" spans="11:12">
      <c r="K8448" s="65"/>
      <c r="L8448" s="65"/>
    </row>
    <row r="8449" spans="11:12">
      <c r="K8449" s="65"/>
      <c r="L8449" s="65"/>
    </row>
    <row r="8450" spans="11:12">
      <c r="K8450" s="65"/>
      <c r="L8450" s="65"/>
    </row>
    <row r="8451" spans="11:12">
      <c r="K8451" s="65"/>
      <c r="L8451" s="65"/>
    </row>
    <row r="8452" spans="11:12">
      <c r="K8452" s="65"/>
      <c r="L8452" s="65"/>
    </row>
    <row r="8453" spans="11:12">
      <c r="K8453" s="65"/>
      <c r="L8453" s="65"/>
    </row>
    <row r="8454" spans="11:12">
      <c r="K8454" s="65"/>
      <c r="L8454" s="65"/>
    </row>
    <row r="8455" spans="11:12">
      <c r="K8455" s="65"/>
      <c r="L8455" s="65"/>
    </row>
    <row r="8456" spans="11:12">
      <c r="K8456" s="65"/>
      <c r="L8456" s="65"/>
    </row>
    <row r="8457" spans="11:12">
      <c r="K8457" s="65"/>
      <c r="L8457" s="65"/>
    </row>
    <row r="8458" spans="11:12">
      <c r="K8458" s="65"/>
      <c r="L8458" s="65"/>
    </row>
    <row r="8459" spans="11:12">
      <c r="K8459" s="65"/>
      <c r="L8459" s="65"/>
    </row>
    <row r="8460" spans="11:12">
      <c r="K8460" s="65"/>
      <c r="L8460" s="65"/>
    </row>
    <row r="8461" spans="11:12">
      <c r="K8461" s="65"/>
      <c r="L8461" s="65"/>
    </row>
    <row r="8462" spans="11:12">
      <c r="K8462" s="65"/>
      <c r="L8462" s="65"/>
    </row>
    <row r="8463" spans="11:12">
      <c r="K8463" s="65"/>
      <c r="L8463" s="65"/>
    </row>
    <row r="8464" spans="11:12">
      <c r="K8464" s="65"/>
      <c r="L8464" s="65"/>
    </row>
    <row r="8465" spans="11:12">
      <c r="K8465" s="65"/>
      <c r="L8465" s="65"/>
    </row>
    <row r="8466" spans="11:12">
      <c r="K8466" s="65"/>
      <c r="L8466" s="65"/>
    </row>
    <row r="8467" spans="11:12">
      <c r="K8467" s="65"/>
      <c r="L8467" s="65"/>
    </row>
    <row r="8468" spans="11:12">
      <c r="K8468" s="65"/>
      <c r="L8468" s="65"/>
    </row>
    <row r="8469" spans="11:12">
      <c r="K8469" s="65"/>
      <c r="L8469" s="65"/>
    </row>
    <row r="8470" spans="11:12">
      <c r="K8470" s="65"/>
      <c r="L8470" s="65"/>
    </row>
    <row r="8471" spans="11:12">
      <c r="K8471" s="65"/>
      <c r="L8471" s="65"/>
    </row>
    <row r="8472" spans="11:12">
      <c r="K8472" s="65"/>
      <c r="L8472" s="65"/>
    </row>
    <row r="8473" spans="11:12">
      <c r="K8473" s="65"/>
      <c r="L8473" s="65"/>
    </row>
    <row r="8474" spans="11:12">
      <c r="K8474" s="65"/>
      <c r="L8474" s="65"/>
    </row>
    <row r="8475" spans="11:12">
      <c r="K8475" s="65"/>
      <c r="L8475" s="65"/>
    </row>
    <row r="8476" spans="11:12">
      <c r="K8476" s="65"/>
      <c r="L8476" s="65"/>
    </row>
    <row r="8477" spans="11:12">
      <c r="K8477" s="65"/>
      <c r="L8477" s="65"/>
    </row>
    <row r="8478" spans="11:12">
      <c r="K8478" s="65"/>
      <c r="L8478" s="65"/>
    </row>
    <row r="8479" spans="11:12">
      <c r="K8479" s="65"/>
      <c r="L8479" s="65"/>
    </row>
    <row r="8480" spans="11:12">
      <c r="K8480" s="65"/>
      <c r="L8480" s="65"/>
    </row>
    <row r="8481" spans="11:12">
      <c r="K8481" s="65"/>
      <c r="L8481" s="65"/>
    </row>
    <row r="8482" spans="11:12">
      <c r="K8482" s="65"/>
      <c r="L8482" s="65"/>
    </row>
    <row r="8483" spans="11:12">
      <c r="K8483" s="65"/>
      <c r="L8483" s="65"/>
    </row>
    <row r="8484" spans="11:12">
      <c r="K8484" s="65"/>
      <c r="L8484" s="65"/>
    </row>
    <row r="8485" spans="11:12">
      <c r="K8485" s="65"/>
      <c r="L8485" s="65"/>
    </row>
    <row r="8486" spans="11:12">
      <c r="K8486" s="65"/>
      <c r="L8486" s="65"/>
    </row>
    <row r="8487" spans="11:12">
      <c r="K8487" s="65"/>
      <c r="L8487" s="65"/>
    </row>
    <row r="8488" spans="11:12">
      <c r="K8488" s="65"/>
      <c r="L8488" s="65"/>
    </row>
    <row r="8489" spans="11:12">
      <c r="K8489" s="65"/>
      <c r="L8489" s="65"/>
    </row>
    <row r="8490" spans="11:12">
      <c r="K8490" s="65"/>
      <c r="L8490" s="65"/>
    </row>
    <row r="8491" spans="11:12">
      <c r="K8491" s="65"/>
      <c r="L8491" s="65"/>
    </row>
    <row r="8492" spans="11:12">
      <c r="K8492" s="65"/>
      <c r="L8492" s="65"/>
    </row>
    <row r="8493" spans="11:12">
      <c r="K8493" s="65"/>
      <c r="L8493" s="65"/>
    </row>
    <row r="8494" spans="11:12">
      <c r="K8494" s="65"/>
      <c r="L8494" s="65"/>
    </row>
    <row r="8495" spans="11:12">
      <c r="K8495" s="65"/>
      <c r="L8495" s="65"/>
    </row>
    <row r="8496" spans="11:12">
      <c r="K8496" s="65"/>
      <c r="L8496" s="65"/>
    </row>
    <row r="8497" spans="11:12">
      <c r="K8497" s="65"/>
      <c r="L8497" s="65"/>
    </row>
    <row r="8498" spans="11:12">
      <c r="K8498" s="65"/>
      <c r="L8498" s="65"/>
    </row>
    <row r="8499" spans="11:12">
      <c r="K8499" s="65"/>
      <c r="L8499" s="65"/>
    </row>
    <row r="8500" spans="11:12">
      <c r="K8500" s="65"/>
      <c r="L8500" s="65"/>
    </row>
    <row r="8501" spans="11:12">
      <c r="K8501" s="65"/>
      <c r="L8501" s="65"/>
    </row>
    <row r="8502" spans="11:12">
      <c r="K8502" s="65"/>
      <c r="L8502" s="65"/>
    </row>
    <row r="8503" spans="11:12">
      <c r="K8503" s="65"/>
      <c r="L8503" s="65"/>
    </row>
    <row r="8504" spans="11:12">
      <c r="K8504" s="65"/>
      <c r="L8504" s="65"/>
    </row>
    <row r="8505" spans="11:12">
      <c r="K8505" s="65"/>
      <c r="L8505" s="65"/>
    </row>
    <row r="8506" spans="11:12">
      <c r="K8506" s="65"/>
      <c r="L8506" s="65"/>
    </row>
    <row r="8507" spans="11:12">
      <c r="K8507" s="65"/>
      <c r="L8507" s="65"/>
    </row>
    <row r="8508" spans="11:12">
      <c r="K8508" s="65"/>
      <c r="L8508" s="65"/>
    </row>
    <row r="8509" spans="11:12">
      <c r="K8509" s="65"/>
      <c r="L8509" s="65"/>
    </row>
    <row r="8510" spans="11:12">
      <c r="K8510" s="65"/>
      <c r="L8510" s="65"/>
    </row>
    <row r="8511" spans="11:12">
      <c r="K8511" s="65"/>
      <c r="L8511" s="65"/>
    </row>
    <row r="8512" spans="11:12">
      <c r="K8512" s="65"/>
      <c r="L8512" s="65"/>
    </row>
    <row r="8513" spans="11:12">
      <c r="K8513" s="65"/>
      <c r="L8513" s="65"/>
    </row>
    <row r="8514" spans="11:12">
      <c r="K8514" s="65"/>
      <c r="L8514" s="65"/>
    </row>
    <row r="8515" spans="11:12">
      <c r="K8515" s="65"/>
      <c r="L8515" s="65"/>
    </row>
    <row r="8516" spans="11:12">
      <c r="K8516" s="65"/>
      <c r="L8516" s="65"/>
    </row>
    <row r="8517" spans="11:12">
      <c r="K8517" s="65"/>
      <c r="L8517" s="65"/>
    </row>
    <row r="8518" spans="11:12">
      <c r="K8518" s="65"/>
      <c r="L8518" s="65"/>
    </row>
    <row r="8519" spans="11:12">
      <c r="K8519" s="65"/>
      <c r="L8519" s="65"/>
    </row>
    <row r="8520" spans="11:12">
      <c r="K8520" s="65"/>
      <c r="L8520" s="65"/>
    </row>
    <row r="8521" spans="11:12">
      <c r="K8521" s="65"/>
      <c r="L8521" s="65"/>
    </row>
    <row r="8522" spans="11:12">
      <c r="K8522" s="65"/>
      <c r="L8522" s="65"/>
    </row>
    <row r="8523" spans="11:12">
      <c r="K8523" s="65"/>
      <c r="L8523" s="65"/>
    </row>
    <row r="8524" spans="11:12">
      <c r="K8524" s="65"/>
      <c r="L8524" s="65"/>
    </row>
    <row r="8525" spans="11:12">
      <c r="K8525" s="65"/>
      <c r="L8525" s="65"/>
    </row>
    <row r="8526" spans="11:12">
      <c r="K8526" s="65"/>
      <c r="L8526" s="65"/>
    </row>
    <row r="8527" spans="11:12">
      <c r="K8527" s="65"/>
      <c r="L8527" s="65"/>
    </row>
    <row r="8528" spans="11:12">
      <c r="K8528" s="65"/>
      <c r="L8528" s="65"/>
    </row>
    <row r="8529" spans="11:12">
      <c r="K8529" s="65"/>
      <c r="L8529" s="65"/>
    </row>
    <row r="8530" spans="11:12">
      <c r="K8530" s="65"/>
      <c r="L8530" s="65"/>
    </row>
    <row r="8531" spans="11:12">
      <c r="K8531" s="65"/>
      <c r="L8531" s="65"/>
    </row>
    <row r="8532" spans="11:12">
      <c r="K8532" s="65"/>
      <c r="L8532" s="65"/>
    </row>
    <row r="8533" spans="11:12">
      <c r="K8533" s="65"/>
      <c r="L8533" s="65"/>
    </row>
    <row r="8534" spans="11:12">
      <c r="K8534" s="65"/>
      <c r="L8534" s="65"/>
    </row>
    <row r="8535" spans="11:12">
      <c r="K8535" s="65"/>
      <c r="L8535" s="65"/>
    </row>
    <row r="8536" spans="11:12">
      <c r="K8536" s="65"/>
      <c r="L8536" s="65"/>
    </row>
    <row r="8537" spans="11:12">
      <c r="K8537" s="65"/>
      <c r="L8537" s="65"/>
    </row>
    <row r="8538" spans="11:12">
      <c r="K8538" s="65"/>
      <c r="L8538" s="65"/>
    </row>
    <row r="8539" spans="11:12">
      <c r="K8539" s="65"/>
      <c r="L8539" s="65"/>
    </row>
    <row r="8540" spans="11:12">
      <c r="K8540" s="65"/>
      <c r="L8540" s="65"/>
    </row>
    <row r="8541" spans="11:12">
      <c r="K8541" s="65"/>
      <c r="L8541" s="65"/>
    </row>
    <row r="8542" spans="11:12">
      <c r="K8542" s="65"/>
      <c r="L8542" s="65"/>
    </row>
    <row r="8543" spans="11:12">
      <c r="K8543" s="65"/>
      <c r="L8543" s="65"/>
    </row>
    <row r="8544" spans="11:12">
      <c r="K8544" s="65"/>
      <c r="L8544" s="65"/>
    </row>
    <row r="8545" spans="11:12">
      <c r="K8545" s="65"/>
      <c r="L8545" s="65"/>
    </row>
    <row r="8546" spans="11:12">
      <c r="K8546" s="65"/>
      <c r="L8546" s="65"/>
    </row>
    <row r="8547" spans="11:12">
      <c r="K8547" s="65"/>
      <c r="L8547" s="65"/>
    </row>
    <row r="8548" spans="11:12">
      <c r="K8548" s="65"/>
      <c r="L8548" s="65"/>
    </row>
    <row r="8549" spans="11:12">
      <c r="K8549" s="65"/>
      <c r="L8549" s="65"/>
    </row>
    <row r="8550" spans="11:12">
      <c r="K8550" s="65"/>
      <c r="L8550" s="65"/>
    </row>
    <row r="8551" spans="11:12">
      <c r="K8551" s="65"/>
      <c r="L8551" s="65"/>
    </row>
    <row r="8552" spans="11:12">
      <c r="K8552" s="65"/>
      <c r="L8552" s="65"/>
    </row>
    <row r="8553" spans="11:12">
      <c r="K8553" s="65"/>
      <c r="L8553" s="65"/>
    </row>
    <row r="8554" spans="11:12">
      <c r="K8554" s="65"/>
      <c r="L8554" s="65"/>
    </row>
    <row r="8555" spans="11:12">
      <c r="K8555" s="65"/>
      <c r="L8555" s="65"/>
    </row>
    <row r="8556" spans="11:12">
      <c r="K8556" s="65"/>
      <c r="L8556" s="65"/>
    </row>
    <row r="8557" spans="11:12">
      <c r="K8557" s="65"/>
      <c r="L8557" s="65"/>
    </row>
    <row r="8558" spans="11:12">
      <c r="K8558" s="65"/>
      <c r="L8558" s="65"/>
    </row>
    <row r="8559" spans="11:12">
      <c r="K8559" s="65"/>
      <c r="L8559" s="65"/>
    </row>
    <row r="8560" spans="11:12">
      <c r="K8560" s="65"/>
      <c r="L8560" s="65"/>
    </row>
    <row r="8561" spans="11:12">
      <c r="K8561" s="65"/>
      <c r="L8561" s="65"/>
    </row>
    <row r="8562" spans="11:12">
      <c r="K8562" s="65"/>
      <c r="L8562" s="65"/>
    </row>
    <row r="8563" spans="11:12">
      <c r="K8563" s="65"/>
      <c r="L8563" s="65"/>
    </row>
    <row r="8564" spans="11:12">
      <c r="K8564" s="65"/>
      <c r="L8564" s="65"/>
    </row>
    <row r="8565" spans="11:12">
      <c r="K8565" s="65"/>
      <c r="L8565" s="65"/>
    </row>
    <row r="8566" spans="11:12">
      <c r="K8566" s="65"/>
      <c r="L8566" s="65"/>
    </row>
    <row r="8567" spans="11:12">
      <c r="K8567" s="65"/>
      <c r="L8567" s="65"/>
    </row>
    <row r="8568" spans="11:12">
      <c r="K8568" s="65"/>
      <c r="L8568" s="65"/>
    </row>
    <row r="8569" spans="11:12">
      <c r="K8569" s="65"/>
      <c r="L8569" s="65"/>
    </row>
    <row r="8570" spans="11:12">
      <c r="K8570" s="65"/>
      <c r="L8570" s="65"/>
    </row>
    <row r="8571" spans="11:12">
      <c r="K8571" s="65"/>
      <c r="L8571" s="65"/>
    </row>
    <row r="8572" spans="11:12">
      <c r="K8572" s="65"/>
      <c r="L8572" s="65"/>
    </row>
    <row r="8573" spans="11:12">
      <c r="K8573" s="65"/>
      <c r="L8573" s="65"/>
    </row>
    <row r="8574" spans="11:12">
      <c r="K8574" s="65"/>
      <c r="L8574" s="65"/>
    </row>
    <row r="8575" spans="11:12">
      <c r="K8575" s="65"/>
      <c r="L8575" s="65"/>
    </row>
    <row r="8576" spans="11:12">
      <c r="K8576" s="65"/>
      <c r="L8576" s="65"/>
    </row>
    <row r="8577" spans="11:12">
      <c r="K8577" s="65"/>
      <c r="L8577" s="65"/>
    </row>
    <row r="8578" spans="11:12">
      <c r="K8578" s="65"/>
      <c r="L8578" s="65"/>
    </row>
    <row r="8579" spans="11:12">
      <c r="K8579" s="65"/>
      <c r="L8579" s="65"/>
    </row>
    <row r="8580" spans="11:12">
      <c r="K8580" s="65"/>
      <c r="L8580" s="65"/>
    </row>
    <row r="8581" spans="11:12">
      <c r="K8581" s="65"/>
      <c r="L8581" s="65"/>
    </row>
    <row r="8582" spans="11:12">
      <c r="K8582" s="65"/>
      <c r="L8582" s="65"/>
    </row>
    <row r="8583" spans="11:12">
      <c r="K8583" s="65"/>
      <c r="L8583" s="65"/>
    </row>
    <row r="8584" spans="11:12">
      <c r="K8584" s="65"/>
      <c r="L8584" s="65"/>
    </row>
    <row r="8585" spans="11:12">
      <c r="K8585" s="65"/>
      <c r="L8585" s="65"/>
    </row>
    <row r="8586" spans="11:12">
      <c r="K8586" s="65"/>
      <c r="L8586" s="65"/>
    </row>
    <row r="8587" spans="11:12">
      <c r="K8587" s="65"/>
      <c r="L8587" s="65"/>
    </row>
    <row r="8588" spans="11:12">
      <c r="K8588" s="65"/>
      <c r="L8588" s="65"/>
    </row>
    <row r="8589" spans="11:12">
      <c r="K8589" s="65"/>
      <c r="L8589" s="65"/>
    </row>
    <row r="8590" spans="11:12">
      <c r="K8590" s="65"/>
      <c r="L8590" s="65"/>
    </row>
    <row r="8591" spans="11:12">
      <c r="K8591" s="65"/>
      <c r="L8591" s="65"/>
    </row>
    <row r="8592" spans="11:12">
      <c r="K8592" s="65"/>
      <c r="L8592" s="65"/>
    </row>
    <row r="8593" spans="11:12">
      <c r="K8593" s="65"/>
      <c r="L8593" s="65"/>
    </row>
    <row r="8594" spans="11:12">
      <c r="K8594" s="65"/>
      <c r="L8594" s="65"/>
    </row>
    <row r="8595" spans="11:12">
      <c r="K8595" s="65"/>
      <c r="L8595" s="65"/>
    </row>
    <row r="8596" spans="11:12">
      <c r="K8596" s="65"/>
      <c r="L8596" s="65"/>
    </row>
    <row r="8597" spans="11:12">
      <c r="K8597" s="65"/>
      <c r="L8597" s="65"/>
    </row>
    <row r="8598" spans="11:12">
      <c r="K8598" s="65"/>
      <c r="L8598" s="65"/>
    </row>
    <row r="8599" spans="11:12">
      <c r="K8599" s="65"/>
      <c r="L8599" s="65"/>
    </row>
    <row r="8600" spans="11:12">
      <c r="K8600" s="65"/>
      <c r="L8600" s="65"/>
    </row>
    <row r="8601" spans="11:12">
      <c r="K8601" s="65"/>
      <c r="L8601" s="65"/>
    </row>
    <row r="8602" spans="11:12">
      <c r="K8602" s="65"/>
      <c r="L8602" s="65"/>
    </row>
    <row r="8603" spans="11:12">
      <c r="K8603" s="65"/>
      <c r="L8603" s="65"/>
    </row>
    <row r="8604" spans="11:12">
      <c r="K8604" s="65"/>
      <c r="L8604" s="65"/>
    </row>
    <row r="8605" spans="11:12">
      <c r="K8605" s="65"/>
      <c r="L8605" s="65"/>
    </row>
    <row r="8606" spans="11:12">
      <c r="K8606" s="65"/>
      <c r="L8606" s="65"/>
    </row>
    <row r="8607" spans="11:12">
      <c r="K8607" s="65"/>
      <c r="L8607" s="65"/>
    </row>
    <row r="8608" spans="11:12">
      <c r="K8608" s="65"/>
      <c r="L8608" s="65"/>
    </row>
    <row r="8609" spans="11:12">
      <c r="K8609" s="65"/>
      <c r="L8609" s="65"/>
    </row>
    <row r="8610" spans="11:12">
      <c r="K8610" s="65"/>
      <c r="L8610" s="65"/>
    </row>
    <row r="8611" spans="11:12">
      <c r="K8611" s="65"/>
      <c r="L8611" s="65"/>
    </row>
    <row r="8612" spans="11:12">
      <c r="K8612" s="65"/>
      <c r="L8612" s="65"/>
    </row>
    <row r="8613" spans="11:12">
      <c r="K8613" s="65"/>
      <c r="L8613" s="65"/>
    </row>
    <row r="8614" spans="11:12">
      <c r="K8614" s="65"/>
      <c r="L8614" s="65"/>
    </row>
    <row r="8615" spans="11:12">
      <c r="K8615" s="65"/>
      <c r="L8615" s="65"/>
    </row>
    <row r="8616" spans="11:12">
      <c r="K8616" s="65"/>
      <c r="L8616" s="65"/>
    </row>
    <row r="8617" spans="11:12">
      <c r="K8617" s="65"/>
      <c r="L8617" s="65"/>
    </row>
    <row r="8618" spans="11:12">
      <c r="K8618" s="65"/>
      <c r="L8618" s="65"/>
    </row>
    <row r="8619" spans="11:12">
      <c r="K8619" s="65"/>
      <c r="L8619" s="65"/>
    </row>
    <row r="8620" spans="11:12">
      <c r="K8620" s="65"/>
      <c r="L8620" s="65"/>
    </row>
    <row r="8621" spans="11:12">
      <c r="K8621" s="65"/>
      <c r="L8621" s="65"/>
    </row>
    <row r="8622" spans="11:12">
      <c r="K8622" s="65"/>
      <c r="L8622" s="65"/>
    </row>
    <row r="8623" spans="11:12">
      <c r="K8623" s="65"/>
      <c r="L8623" s="65"/>
    </row>
    <row r="8624" spans="11:12">
      <c r="K8624" s="65"/>
      <c r="L8624" s="65"/>
    </row>
    <row r="8625" spans="11:12">
      <c r="K8625" s="65"/>
      <c r="L8625" s="65"/>
    </row>
    <row r="8626" spans="11:12">
      <c r="K8626" s="65"/>
      <c r="L8626" s="65"/>
    </row>
    <row r="8627" spans="11:12">
      <c r="K8627" s="65"/>
      <c r="L8627" s="65"/>
    </row>
    <row r="8628" spans="11:12">
      <c r="K8628" s="65"/>
      <c r="L8628" s="65"/>
    </row>
    <row r="8629" spans="11:12">
      <c r="K8629" s="65"/>
      <c r="L8629" s="65"/>
    </row>
    <row r="8630" spans="11:12">
      <c r="K8630" s="65"/>
      <c r="L8630" s="65"/>
    </row>
    <row r="8631" spans="11:12">
      <c r="K8631" s="65"/>
      <c r="L8631" s="65"/>
    </row>
    <row r="8632" spans="11:12">
      <c r="K8632" s="65"/>
      <c r="L8632" s="65"/>
    </row>
    <row r="8633" spans="11:12">
      <c r="K8633" s="65"/>
      <c r="L8633" s="65"/>
    </row>
    <row r="8634" spans="11:12">
      <c r="K8634" s="65"/>
      <c r="L8634" s="65"/>
    </row>
    <row r="8635" spans="11:12">
      <c r="K8635" s="65"/>
      <c r="L8635" s="65"/>
    </row>
    <row r="8636" spans="11:12">
      <c r="K8636" s="65"/>
      <c r="L8636" s="65"/>
    </row>
    <row r="8637" spans="11:12">
      <c r="K8637" s="65"/>
      <c r="L8637" s="65"/>
    </row>
    <row r="8638" spans="11:12">
      <c r="K8638" s="65"/>
      <c r="L8638" s="65"/>
    </row>
    <row r="8639" spans="11:12">
      <c r="K8639" s="65"/>
      <c r="L8639" s="65"/>
    </row>
    <row r="8640" spans="11:12">
      <c r="K8640" s="65"/>
      <c r="L8640" s="65"/>
    </row>
    <row r="8641" spans="11:12">
      <c r="K8641" s="65"/>
      <c r="L8641" s="65"/>
    </row>
    <row r="8642" spans="11:12">
      <c r="K8642" s="65"/>
      <c r="L8642" s="65"/>
    </row>
    <row r="8643" spans="11:12">
      <c r="K8643" s="65"/>
      <c r="L8643" s="65"/>
    </row>
    <row r="8644" spans="11:12">
      <c r="K8644" s="65"/>
      <c r="L8644" s="65"/>
    </row>
    <row r="8645" spans="11:12">
      <c r="K8645" s="65"/>
      <c r="L8645" s="65"/>
    </row>
    <row r="8646" spans="11:12">
      <c r="K8646" s="65"/>
      <c r="L8646" s="65"/>
    </row>
    <row r="8647" spans="11:12">
      <c r="K8647" s="65"/>
      <c r="L8647" s="65"/>
    </row>
    <row r="8648" spans="11:12">
      <c r="K8648" s="65"/>
      <c r="L8648" s="65"/>
    </row>
    <row r="8649" spans="11:12">
      <c r="K8649" s="65"/>
      <c r="L8649" s="65"/>
    </row>
    <row r="8650" spans="11:12">
      <c r="K8650" s="65"/>
      <c r="L8650" s="65"/>
    </row>
    <row r="8651" spans="11:12">
      <c r="K8651" s="65"/>
      <c r="L8651" s="65"/>
    </row>
    <row r="8652" spans="11:12">
      <c r="K8652" s="65"/>
      <c r="L8652" s="65"/>
    </row>
    <row r="8653" spans="11:12">
      <c r="K8653" s="65"/>
      <c r="L8653" s="65"/>
    </row>
    <row r="8654" spans="11:12">
      <c r="K8654" s="65"/>
      <c r="L8654" s="65"/>
    </row>
    <row r="8655" spans="11:12">
      <c r="K8655" s="65"/>
      <c r="L8655" s="65"/>
    </row>
    <row r="8656" spans="11:12">
      <c r="K8656" s="65"/>
      <c r="L8656" s="65"/>
    </row>
    <row r="8657" spans="11:12">
      <c r="K8657" s="65"/>
      <c r="L8657" s="65"/>
    </row>
    <row r="8658" spans="11:12">
      <c r="K8658" s="65"/>
      <c r="L8658" s="65"/>
    </row>
    <row r="8659" spans="11:12">
      <c r="K8659" s="65"/>
      <c r="L8659" s="65"/>
    </row>
    <row r="8660" spans="11:12">
      <c r="K8660" s="65"/>
      <c r="L8660" s="65"/>
    </row>
    <row r="8661" spans="11:12">
      <c r="K8661" s="65"/>
      <c r="L8661" s="65"/>
    </row>
    <row r="8662" spans="11:12">
      <c r="K8662" s="65"/>
      <c r="L8662" s="65"/>
    </row>
    <row r="8663" spans="11:12">
      <c r="K8663" s="65"/>
      <c r="L8663" s="65"/>
    </row>
    <row r="8664" spans="11:12">
      <c r="K8664" s="65"/>
      <c r="L8664" s="65"/>
    </row>
    <row r="8665" spans="11:12">
      <c r="K8665" s="65"/>
      <c r="L8665" s="65"/>
    </row>
    <row r="8666" spans="11:12">
      <c r="K8666" s="65"/>
      <c r="L8666" s="65"/>
    </row>
    <row r="8667" spans="11:12">
      <c r="K8667" s="65"/>
      <c r="L8667" s="65"/>
    </row>
    <row r="8668" spans="11:12">
      <c r="K8668" s="65"/>
      <c r="L8668" s="65"/>
    </row>
    <row r="8669" spans="11:12">
      <c r="K8669" s="65"/>
      <c r="L8669" s="65"/>
    </row>
    <row r="8670" spans="11:12">
      <c r="K8670" s="65"/>
      <c r="L8670" s="65"/>
    </row>
    <row r="8671" spans="11:12">
      <c r="K8671" s="65"/>
      <c r="L8671" s="65"/>
    </row>
    <row r="8672" spans="11:12">
      <c r="K8672" s="65"/>
      <c r="L8672" s="65"/>
    </row>
    <row r="8673" spans="11:12">
      <c r="K8673" s="65"/>
      <c r="L8673" s="65"/>
    </row>
    <row r="8674" spans="11:12">
      <c r="K8674" s="65"/>
      <c r="L8674" s="65"/>
    </row>
    <row r="8675" spans="11:12">
      <c r="K8675" s="65"/>
      <c r="L8675" s="65"/>
    </row>
    <row r="8676" spans="11:12">
      <c r="K8676" s="65"/>
      <c r="L8676" s="65"/>
    </row>
    <row r="8677" spans="11:12">
      <c r="K8677" s="65"/>
      <c r="L8677" s="65"/>
    </row>
    <row r="8678" spans="11:12">
      <c r="K8678" s="65"/>
      <c r="L8678" s="65"/>
    </row>
    <row r="8679" spans="11:12">
      <c r="K8679" s="65"/>
      <c r="L8679" s="65"/>
    </row>
    <row r="8680" spans="11:12">
      <c r="K8680" s="65"/>
      <c r="L8680" s="65"/>
    </row>
    <row r="8681" spans="11:12">
      <c r="K8681" s="65"/>
      <c r="L8681" s="65"/>
    </row>
    <row r="8682" spans="11:12">
      <c r="K8682" s="65"/>
      <c r="L8682" s="65"/>
    </row>
    <row r="8683" spans="11:12">
      <c r="K8683" s="65"/>
      <c r="L8683" s="65"/>
    </row>
    <row r="8684" spans="11:12">
      <c r="K8684" s="65"/>
      <c r="L8684" s="65"/>
    </row>
    <row r="8685" spans="11:12">
      <c r="K8685" s="65"/>
      <c r="L8685" s="65"/>
    </row>
    <row r="8686" spans="11:12">
      <c r="K8686" s="65"/>
      <c r="L8686" s="65"/>
    </row>
    <row r="8687" spans="11:12">
      <c r="K8687" s="65"/>
      <c r="L8687" s="65"/>
    </row>
    <row r="8688" spans="11:12">
      <c r="K8688" s="65"/>
      <c r="L8688" s="65"/>
    </row>
    <row r="8689" spans="11:12">
      <c r="K8689" s="65"/>
      <c r="L8689" s="65"/>
    </row>
    <row r="8690" spans="11:12">
      <c r="K8690" s="65"/>
      <c r="L8690" s="65"/>
    </row>
    <row r="8691" spans="11:12">
      <c r="K8691" s="65"/>
      <c r="L8691" s="65"/>
    </row>
    <row r="8692" spans="11:12">
      <c r="K8692" s="65"/>
      <c r="L8692" s="65"/>
    </row>
    <row r="8693" spans="11:12">
      <c r="K8693" s="65"/>
      <c r="L8693" s="65"/>
    </row>
    <row r="8694" spans="11:12">
      <c r="K8694" s="65"/>
      <c r="L8694" s="65"/>
    </row>
    <row r="8695" spans="11:12">
      <c r="K8695" s="65"/>
      <c r="L8695" s="65"/>
    </row>
    <row r="8696" spans="11:12">
      <c r="K8696" s="65"/>
      <c r="L8696" s="65"/>
    </row>
    <row r="8697" spans="11:12">
      <c r="K8697" s="65"/>
      <c r="L8697" s="65"/>
    </row>
    <row r="8698" spans="11:12">
      <c r="K8698" s="65"/>
      <c r="L8698" s="65"/>
    </row>
    <row r="8699" spans="11:12">
      <c r="K8699" s="65"/>
      <c r="L8699" s="65"/>
    </row>
    <row r="8700" spans="11:12">
      <c r="K8700" s="65"/>
      <c r="L8700" s="65"/>
    </row>
    <row r="8701" spans="11:12">
      <c r="K8701" s="65"/>
      <c r="L8701" s="65"/>
    </row>
    <row r="8702" spans="11:12">
      <c r="K8702" s="65"/>
      <c r="L8702" s="65"/>
    </row>
    <row r="8703" spans="11:12">
      <c r="K8703" s="65"/>
      <c r="L8703" s="65"/>
    </row>
    <row r="8704" spans="11:12">
      <c r="K8704" s="65"/>
      <c r="L8704" s="65"/>
    </row>
    <row r="8705" spans="11:12">
      <c r="K8705" s="65"/>
      <c r="L8705" s="65"/>
    </row>
    <row r="8706" spans="11:12">
      <c r="K8706" s="65"/>
      <c r="L8706" s="65"/>
    </row>
    <row r="8707" spans="11:12">
      <c r="K8707" s="65"/>
      <c r="L8707" s="65"/>
    </row>
    <row r="8708" spans="11:12">
      <c r="K8708" s="65"/>
      <c r="L8708" s="65"/>
    </row>
    <row r="8709" spans="11:12">
      <c r="K8709" s="65"/>
      <c r="L8709" s="65"/>
    </row>
    <row r="8710" spans="11:12">
      <c r="K8710" s="65"/>
      <c r="L8710" s="65"/>
    </row>
    <row r="8711" spans="11:12">
      <c r="K8711" s="65"/>
      <c r="L8711" s="65"/>
    </row>
    <row r="8712" spans="11:12">
      <c r="K8712" s="65"/>
      <c r="L8712" s="65"/>
    </row>
    <row r="8713" spans="11:12">
      <c r="K8713" s="65"/>
      <c r="L8713" s="65"/>
    </row>
    <row r="8714" spans="11:12">
      <c r="K8714" s="65"/>
      <c r="L8714" s="65"/>
    </row>
    <row r="8715" spans="11:12">
      <c r="K8715" s="65"/>
      <c r="L8715" s="65"/>
    </row>
    <row r="8716" spans="11:12">
      <c r="K8716" s="65"/>
      <c r="L8716" s="65"/>
    </row>
    <row r="8717" spans="11:12">
      <c r="K8717" s="65"/>
      <c r="L8717" s="65"/>
    </row>
    <row r="8718" spans="11:12">
      <c r="K8718" s="65"/>
      <c r="L8718" s="65"/>
    </row>
    <row r="8719" spans="11:12">
      <c r="K8719" s="65"/>
      <c r="L8719" s="65"/>
    </row>
    <row r="8720" spans="11:12">
      <c r="K8720" s="65"/>
      <c r="L8720" s="65"/>
    </row>
    <row r="8721" spans="11:12">
      <c r="K8721" s="65"/>
      <c r="L8721" s="65"/>
    </row>
    <row r="8722" spans="11:12">
      <c r="K8722" s="65"/>
      <c r="L8722" s="65"/>
    </row>
    <row r="8723" spans="11:12">
      <c r="K8723" s="65"/>
      <c r="L8723" s="65"/>
    </row>
    <row r="8724" spans="11:12">
      <c r="K8724" s="65"/>
      <c r="L8724" s="65"/>
    </row>
    <row r="8725" spans="11:12">
      <c r="K8725" s="65"/>
      <c r="L8725" s="65"/>
    </row>
    <row r="8726" spans="11:12">
      <c r="K8726" s="65"/>
      <c r="L8726" s="65"/>
    </row>
    <row r="8727" spans="11:12">
      <c r="K8727" s="65"/>
      <c r="L8727" s="65"/>
    </row>
    <row r="8728" spans="11:12">
      <c r="K8728" s="65"/>
      <c r="L8728" s="65"/>
    </row>
    <row r="8729" spans="11:12">
      <c r="K8729" s="65"/>
      <c r="L8729" s="65"/>
    </row>
    <row r="8730" spans="11:12">
      <c r="K8730" s="65"/>
      <c r="L8730" s="65"/>
    </row>
    <row r="8731" spans="11:12">
      <c r="K8731" s="65"/>
      <c r="L8731" s="65"/>
    </row>
    <row r="8732" spans="11:12">
      <c r="K8732" s="65"/>
      <c r="L8732" s="65"/>
    </row>
    <row r="8733" spans="11:12">
      <c r="K8733" s="65"/>
      <c r="L8733" s="65"/>
    </row>
    <row r="8734" spans="11:12">
      <c r="K8734" s="65"/>
      <c r="L8734" s="65"/>
    </row>
    <row r="8735" spans="11:12">
      <c r="K8735" s="65"/>
      <c r="L8735" s="65"/>
    </row>
    <row r="8736" spans="11:12">
      <c r="K8736" s="65"/>
      <c r="L8736" s="65"/>
    </row>
    <row r="8737" spans="11:12">
      <c r="K8737" s="65"/>
      <c r="L8737" s="65"/>
    </row>
    <row r="8738" spans="11:12">
      <c r="K8738" s="65"/>
      <c r="L8738" s="65"/>
    </row>
    <row r="8739" spans="11:12">
      <c r="K8739" s="65"/>
      <c r="L8739" s="65"/>
    </row>
    <row r="8740" spans="11:12">
      <c r="K8740" s="65"/>
      <c r="L8740" s="65"/>
    </row>
    <row r="8741" spans="11:12">
      <c r="K8741" s="65"/>
      <c r="L8741" s="65"/>
    </row>
    <row r="8742" spans="11:12">
      <c r="K8742" s="65"/>
      <c r="L8742" s="65"/>
    </row>
    <row r="8743" spans="11:12">
      <c r="K8743" s="65"/>
      <c r="L8743" s="65"/>
    </row>
    <row r="8744" spans="11:12">
      <c r="K8744" s="65"/>
      <c r="L8744" s="65"/>
    </row>
    <row r="8745" spans="11:12">
      <c r="K8745" s="65"/>
      <c r="L8745" s="65"/>
    </row>
    <row r="8746" spans="11:12">
      <c r="K8746" s="65"/>
      <c r="L8746" s="65"/>
    </row>
    <row r="8747" spans="11:12">
      <c r="K8747" s="65"/>
      <c r="L8747" s="65"/>
    </row>
    <row r="8748" spans="11:12">
      <c r="K8748" s="65"/>
      <c r="L8748" s="65"/>
    </row>
    <row r="8749" spans="11:12">
      <c r="K8749" s="65"/>
      <c r="L8749" s="65"/>
    </row>
    <row r="8750" spans="11:12">
      <c r="K8750" s="65"/>
      <c r="L8750" s="65"/>
    </row>
    <row r="8751" spans="11:12">
      <c r="K8751" s="65"/>
      <c r="L8751" s="65"/>
    </row>
    <row r="8752" spans="11:12">
      <c r="K8752" s="65"/>
      <c r="L8752" s="65"/>
    </row>
    <row r="8753" spans="11:12">
      <c r="K8753" s="65"/>
      <c r="L8753" s="65"/>
    </row>
    <row r="8754" spans="11:12">
      <c r="K8754" s="65"/>
      <c r="L8754" s="65"/>
    </row>
    <row r="8755" spans="11:12">
      <c r="K8755" s="65"/>
      <c r="L8755" s="65"/>
    </row>
    <row r="8756" spans="11:12">
      <c r="K8756" s="65"/>
      <c r="L8756" s="65"/>
    </row>
    <row r="8757" spans="11:12">
      <c r="K8757" s="65"/>
      <c r="L8757" s="65"/>
    </row>
    <row r="8758" spans="11:12">
      <c r="K8758" s="65"/>
      <c r="L8758" s="65"/>
    </row>
    <row r="8759" spans="11:12">
      <c r="K8759" s="65"/>
      <c r="L8759" s="65"/>
    </row>
    <row r="8760" spans="11:12">
      <c r="K8760" s="65"/>
      <c r="L8760" s="65"/>
    </row>
    <row r="8761" spans="11:12">
      <c r="K8761" s="65"/>
      <c r="L8761" s="65"/>
    </row>
    <row r="8762" spans="11:12">
      <c r="K8762" s="65"/>
      <c r="L8762" s="65"/>
    </row>
    <row r="8763" spans="11:12">
      <c r="K8763" s="65"/>
      <c r="L8763" s="65"/>
    </row>
    <row r="8764" spans="11:12">
      <c r="K8764" s="65"/>
      <c r="L8764" s="65"/>
    </row>
    <row r="8765" spans="11:12">
      <c r="K8765" s="65"/>
      <c r="L8765" s="65"/>
    </row>
    <row r="8766" spans="11:12">
      <c r="K8766" s="65"/>
      <c r="L8766" s="65"/>
    </row>
    <row r="8767" spans="11:12">
      <c r="K8767" s="65"/>
      <c r="L8767" s="65"/>
    </row>
    <row r="8768" spans="11:12">
      <c r="K8768" s="65"/>
      <c r="L8768" s="65"/>
    </row>
    <row r="8769" spans="11:12">
      <c r="K8769" s="65"/>
      <c r="L8769" s="65"/>
    </row>
    <row r="8770" spans="11:12">
      <c r="K8770" s="65"/>
      <c r="L8770" s="65"/>
    </row>
    <row r="8771" spans="11:12">
      <c r="K8771" s="65"/>
      <c r="L8771" s="65"/>
    </row>
    <row r="8772" spans="11:12">
      <c r="K8772" s="65"/>
      <c r="L8772" s="65"/>
    </row>
    <row r="8773" spans="11:12">
      <c r="K8773" s="65"/>
      <c r="L8773" s="65"/>
    </row>
    <row r="8774" spans="11:12">
      <c r="K8774" s="65"/>
      <c r="L8774" s="65"/>
    </row>
    <row r="8775" spans="11:12">
      <c r="K8775" s="65"/>
      <c r="L8775" s="65"/>
    </row>
    <row r="8776" spans="11:12">
      <c r="K8776" s="65"/>
      <c r="L8776" s="65"/>
    </row>
    <row r="8777" spans="11:12">
      <c r="K8777" s="65"/>
      <c r="L8777" s="65"/>
    </row>
    <row r="8778" spans="11:12">
      <c r="K8778" s="65"/>
      <c r="L8778" s="65"/>
    </row>
    <row r="8779" spans="11:12">
      <c r="K8779" s="65"/>
      <c r="L8779" s="65"/>
    </row>
    <row r="8780" spans="11:12">
      <c r="K8780" s="65"/>
      <c r="L8780" s="65"/>
    </row>
    <row r="8781" spans="11:12">
      <c r="K8781" s="65"/>
      <c r="L8781" s="65"/>
    </row>
    <row r="8782" spans="11:12">
      <c r="K8782" s="65"/>
      <c r="L8782" s="65"/>
    </row>
    <row r="8783" spans="11:12">
      <c r="K8783" s="65"/>
      <c r="L8783" s="65"/>
    </row>
    <row r="8784" spans="11:12">
      <c r="K8784" s="65"/>
      <c r="L8784" s="65"/>
    </row>
    <row r="8785" spans="11:12">
      <c r="K8785" s="65"/>
      <c r="L8785" s="65"/>
    </row>
    <row r="8786" spans="11:12">
      <c r="K8786" s="65"/>
      <c r="L8786" s="65"/>
    </row>
    <row r="8787" spans="11:12">
      <c r="K8787" s="65"/>
      <c r="L8787" s="65"/>
    </row>
    <row r="8788" spans="11:12">
      <c r="K8788" s="65"/>
      <c r="L8788" s="65"/>
    </row>
    <row r="8789" spans="11:12">
      <c r="K8789" s="65"/>
      <c r="L8789" s="65"/>
    </row>
    <row r="8790" spans="11:12">
      <c r="K8790" s="65"/>
      <c r="L8790" s="65"/>
    </row>
    <row r="8791" spans="11:12">
      <c r="K8791" s="65"/>
      <c r="L8791" s="65"/>
    </row>
    <row r="8792" spans="11:12">
      <c r="K8792" s="65"/>
      <c r="L8792" s="65"/>
    </row>
    <row r="8793" spans="11:12">
      <c r="K8793" s="65"/>
      <c r="L8793" s="65"/>
    </row>
    <row r="8794" spans="11:12">
      <c r="K8794" s="65"/>
      <c r="L8794" s="65"/>
    </row>
    <row r="8795" spans="11:12">
      <c r="K8795" s="65"/>
      <c r="L8795" s="65"/>
    </row>
    <row r="8796" spans="11:12">
      <c r="K8796" s="65"/>
      <c r="L8796" s="65"/>
    </row>
    <row r="8797" spans="11:12">
      <c r="K8797" s="65"/>
      <c r="L8797" s="65"/>
    </row>
    <row r="8798" spans="11:12">
      <c r="K8798" s="65"/>
      <c r="L8798" s="65"/>
    </row>
    <row r="8799" spans="11:12">
      <c r="K8799" s="65"/>
      <c r="L8799" s="65"/>
    </row>
    <row r="8800" spans="11:12">
      <c r="K8800" s="65"/>
      <c r="L8800" s="65"/>
    </row>
    <row r="8801" spans="11:12">
      <c r="K8801" s="65"/>
      <c r="L8801" s="65"/>
    </row>
    <row r="8802" spans="11:12">
      <c r="K8802" s="65"/>
      <c r="L8802" s="65"/>
    </row>
    <row r="8803" spans="11:12">
      <c r="K8803" s="65"/>
      <c r="L8803" s="65"/>
    </row>
    <row r="8804" spans="11:12">
      <c r="K8804" s="65"/>
      <c r="L8804" s="65"/>
    </row>
    <row r="8805" spans="11:12">
      <c r="K8805" s="65"/>
      <c r="L8805" s="65"/>
    </row>
    <row r="8806" spans="11:12">
      <c r="K8806" s="65"/>
      <c r="L8806" s="65"/>
    </row>
    <row r="8807" spans="11:12">
      <c r="K8807" s="65"/>
      <c r="L8807" s="65"/>
    </row>
    <row r="8808" spans="11:12">
      <c r="K8808" s="65"/>
      <c r="L8808" s="65"/>
    </row>
    <row r="8809" spans="11:12">
      <c r="K8809" s="65"/>
      <c r="L8809" s="65"/>
    </row>
    <row r="8810" spans="11:12">
      <c r="K8810" s="65"/>
      <c r="L8810" s="65"/>
    </row>
    <row r="8811" spans="11:12">
      <c r="K8811" s="65"/>
      <c r="L8811" s="65"/>
    </row>
    <row r="8812" spans="11:12">
      <c r="K8812" s="65"/>
      <c r="L8812" s="65"/>
    </row>
    <row r="8813" spans="11:12">
      <c r="K8813" s="65"/>
      <c r="L8813" s="65"/>
    </row>
    <row r="8814" spans="11:12">
      <c r="K8814" s="65"/>
      <c r="L8814" s="65"/>
    </row>
    <row r="8815" spans="11:12">
      <c r="K8815" s="65"/>
      <c r="L8815" s="65"/>
    </row>
    <row r="8816" spans="11:12">
      <c r="K8816" s="65"/>
      <c r="L8816" s="65"/>
    </row>
    <row r="8817" spans="11:12">
      <c r="K8817" s="65"/>
      <c r="L8817" s="65"/>
    </row>
    <row r="8818" spans="11:12">
      <c r="K8818" s="65"/>
      <c r="L8818" s="65"/>
    </row>
    <row r="8819" spans="11:12">
      <c r="K8819" s="65"/>
      <c r="L8819" s="65"/>
    </row>
    <row r="8820" spans="11:12">
      <c r="K8820" s="65"/>
      <c r="L8820" s="65"/>
    </row>
    <row r="8821" spans="11:12">
      <c r="K8821" s="65"/>
      <c r="L8821" s="65"/>
    </row>
    <row r="8822" spans="11:12">
      <c r="K8822" s="65"/>
      <c r="L8822" s="65"/>
    </row>
    <row r="8823" spans="11:12">
      <c r="K8823" s="65"/>
      <c r="L8823" s="65"/>
    </row>
    <row r="8824" spans="11:12">
      <c r="K8824" s="65"/>
      <c r="L8824" s="65"/>
    </row>
    <row r="8825" spans="11:12">
      <c r="K8825" s="65"/>
      <c r="L8825" s="65"/>
    </row>
    <row r="8826" spans="11:12">
      <c r="K8826" s="65"/>
      <c r="L8826" s="65"/>
    </row>
    <row r="8827" spans="11:12">
      <c r="K8827" s="65"/>
      <c r="L8827" s="65"/>
    </row>
    <row r="8828" spans="11:12">
      <c r="K8828" s="65"/>
      <c r="L8828" s="65"/>
    </row>
    <row r="8829" spans="11:12">
      <c r="K8829" s="65"/>
      <c r="L8829" s="65"/>
    </row>
    <row r="8830" spans="11:12">
      <c r="K8830" s="65"/>
      <c r="L8830" s="65"/>
    </row>
    <row r="8831" spans="11:12">
      <c r="K8831" s="65"/>
      <c r="L8831" s="65"/>
    </row>
    <row r="8832" spans="11:12">
      <c r="K8832" s="65"/>
      <c r="L8832" s="65"/>
    </row>
    <row r="8833" spans="11:12">
      <c r="K8833" s="65"/>
      <c r="L8833" s="65"/>
    </row>
    <row r="8834" spans="11:12">
      <c r="K8834" s="65"/>
      <c r="L8834" s="65"/>
    </row>
    <row r="8835" spans="11:12">
      <c r="K8835" s="65"/>
      <c r="L8835" s="65"/>
    </row>
    <row r="8836" spans="11:12">
      <c r="K8836" s="65"/>
      <c r="L8836" s="65"/>
    </row>
    <row r="8837" spans="11:12">
      <c r="K8837" s="65"/>
      <c r="L8837" s="65"/>
    </row>
    <row r="8838" spans="11:12">
      <c r="K8838" s="65"/>
      <c r="L8838" s="65"/>
    </row>
    <row r="8839" spans="11:12">
      <c r="K8839" s="65"/>
      <c r="L8839" s="65"/>
    </row>
    <row r="8840" spans="11:12">
      <c r="K8840" s="65"/>
      <c r="L8840" s="65"/>
    </row>
    <row r="8841" spans="11:12">
      <c r="K8841" s="65"/>
      <c r="L8841" s="65"/>
    </row>
    <row r="8842" spans="11:12">
      <c r="K8842" s="65"/>
      <c r="L8842" s="65"/>
    </row>
    <row r="8843" spans="11:12">
      <c r="K8843" s="65"/>
      <c r="L8843" s="65"/>
    </row>
    <row r="8844" spans="11:12">
      <c r="K8844" s="65"/>
      <c r="L8844" s="65"/>
    </row>
    <row r="8845" spans="11:12">
      <c r="K8845" s="65"/>
      <c r="L8845" s="65"/>
    </row>
    <row r="8846" spans="11:12">
      <c r="K8846" s="65"/>
      <c r="L8846" s="65"/>
    </row>
    <row r="8847" spans="11:12">
      <c r="K8847" s="65"/>
      <c r="L8847" s="65"/>
    </row>
    <row r="8848" spans="11:12">
      <c r="K8848" s="65"/>
      <c r="L8848" s="65"/>
    </row>
    <row r="8849" spans="11:12">
      <c r="K8849" s="65"/>
      <c r="L8849" s="65"/>
    </row>
    <row r="8850" spans="11:12">
      <c r="K8850" s="65"/>
      <c r="L8850" s="65"/>
    </row>
    <row r="8851" spans="11:12">
      <c r="K8851" s="65"/>
      <c r="L8851" s="65"/>
    </row>
    <row r="8852" spans="11:12">
      <c r="K8852" s="65"/>
      <c r="L8852" s="65"/>
    </row>
    <row r="8853" spans="11:12">
      <c r="K8853" s="65"/>
      <c r="L8853" s="65"/>
    </row>
    <row r="8854" spans="11:12">
      <c r="K8854" s="65"/>
      <c r="L8854" s="65"/>
    </row>
    <row r="8855" spans="11:12">
      <c r="K8855" s="65"/>
      <c r="L8855" s="65"/>
    </row>
    <row r="8856" spans="11:12">
      <c r="K8856" s="65"/>
      <c r="L8856" s="65"/>
    </row>
    <row r="8857" spans="11:12">
      <c r="K8857" s="65"/>
      <c r="L8857" s="65"/>
    </row>
    <row r="8858" spans="11:12">
      <c r="K8858" s="65"/>
      <c r="L8858" s="65"/>
    </row>
    <row r="8859" spans="11:12">
      <c r="K8859" s="65"/>
      <c r="L8859" s="65"/>
    </row>
    <row r="8860" spans="11:12">
      <c r="K8860" s="65"/>
      <c r="L8860" s="65"/>
    </row>
    <row r="8861" spans="11:12">
      <c r="K8861" s="65"/>
      <c r="L8861" s="65"/>
    </row>
    <row r="8862" spans="11:12">
      <c r="K8862" s="65"/>
      <c r="L8862" s="65"/>
    </row>
    <row r="8863" spans="11:12">
      <c r="K8863" s="65"/>
      <c r="L8863" s="65"/>
    </row>
    <row r="8864" spans="11:12">
      <c r="K8864" s="65"/>
      <c r="L8864" s="65"/>
    </row>
    <row r="8865" spans="11:12">
      <c r="K8865" s="65"/>
      <c r="L8865" s="65"/>
    </row>
    <row r="8866" spans="11:12">
      <c r="K8866" s="65"/>
      <c r="L8866" s="65"/>
    </row>
    <row r="8867" spans="11:12">
      <c r="K8867" s="65"/>
      <c r="L8867" s="65"/>
    </row>
    <row r="8868" spans="11:12">
      <c r="K8868" s="65"/>
      <c r="L8868" s="65"/>
    </row>
    <row r="8869" spans="11:12">
      <c r="K8869" s="65"/>
      <c r="L8869" s="65"/>
    </row>
    <row r="8870" spans="11:12">
      <c r="K8870" s="65"/>
      <c r="L8870" s="65"/>
    </row>
    <row r="8871" spans="11:12">
      <c r="K8871" s="65"/>
      <c r="L8871" s="65"/>
    </row>
    <row r="8872" spans="11:12">
      <c r="K8872" s="65"/>
      <c r="L8872" s="65"/>
    </row>
    <row r="8873" spans="11:12">
      <c r="K8873" s="65"/>
      <c r="L8873" s="65"/>
    </row>
    <row r="8874" spans="11:12">
      <c r="K8874" s="65"/>
      <c r="L8874" s="65"/>
    </row>
    <row r="8875" spans="11:12">
      <c r="K8875" s="65"/>
      <c r="L8875" s="65"/>
    </row>
    <row r="8876" spans="11:12">
      <c r="K8876" s="65"/>
      <c r="L8876" s="65"/>
    </row>
    <row r="8877" spans="11:12">
      <c r="K8877" s="65"/>
      <c r="L8877" s="65"/>
    </row>
    <row r="8878" spans="11:12">
      <c r="K8878" s="65"/>
      <c r="L8878" s="65"/>
    </row>
    <row r="8879" spans="11:12">
      <c r="K8879" s="65"/>
      <c r="L8879" s="65"/>
    </row>
    <row r="8880" spans="11:12">
      <c r="K8880" s="65"/>
      <c r="L8880" s="65"/>
    </row>
    <row r="8881" spans="11:12">
      <c r="K8881" s="65"/>
      <c r="L8881" s="65"/>
    </row>
    <row r="8882" spans="11:12">
      <c r="K8882" s="65"/>
      <c r="L8882" s="65"/>
    </row>
    <row r="8883" spans="11:12">
      <c r="K8883" s="65"/>
      <c r="L8883" s="65"/>
    </row>
    <row r="8884" spans="11:12">
      <c r="K8884" s="65"/>
      <c r="L8884" s="65"/>
    </row>
    <row r="8885" spans="11:12">
      <c r="K8885" s="65"/>
      <c r="L8885" s="65"/>
    </row>
    <row r="8886" spans="11:12">
      <c r="K8886" s="65"/>
      <c r="L8886" s="65"/>
    </row>
    <row r="8887" spans="11:12">
      <c r="K8887" s="65"/>
      <c r="L8887" s="65"/>
    </row>
    <row r="8888" spans="11:12">
      <c r="K8888" s="65"/>
      <c r="L8888" s="65"/>
    </row>
    <row r="8889" spans="11:12">
      <c r="K8889" s="65"/>
      <c r="L8889" s="65"/>
    </row>
    <row r="8890" spans="11:12">
      <c r="K8890" s="65"/>
      <c r="L8890" s="65"/>
    </row>
    <row r="8891" spans="11:12">
      <c r="K8891" s="65"/>
      <c r="L8891" s="65"/>
    </row>
    <row r="8892" spans="11:12">
      <c r="K8892" s="65"/>
      <c r="L8892" s="65"/>
    </row>
    <row r="8893" spans="11:12">
      <c r="K8893" s="65"/>
      <c r="L8893" s="65"/>
    </row>
    <row r="8894" spans="11:12">
      <c r="K8894" s="65"/>
      <c r="L8894" s="65"/>
    </row>
    <row r="8895" spans="11:12">
      <c r="K8895" s="65"/>
      <c r="L8895" s="65"/>
    </row>
    <row r="8896" spans="11:12">
      <c r="K8896" s="65"/>
      <c r="L8896" s="65"/>
    </row>
    <row r="8897" spans="11:12">
      <c r="K8897" s="65"/>
      <c r="L8897" s="65"/>
    </row>
    <row r="8898" spans="11:12">
      <c r="K8898" s="65"/>
      <c r="L8898" s="65"/>
    </row>
    <row r="8899" spans="11:12">
      <c r="K8899" s="65"/>
      <c r="L8899" s="65"/>
    </row>
    <row r="8900" spans="11:12">
      <c r="K8900" s="65"/>
      <c r="L8900" s="65"/>
    </row>
    <row r="8901" spans="11:12">
      <c r="K8901" s="65"/>
      <c r="L8901" s="65"/>
    </row>
    <row r="8902" spans="11:12">
      <c r="K8902" s="65"/>
      <c r="L8902" s="65"/>
    </row>
    <row r="8903" spans="11:12">
      <c r="K8903" s="65"/>
      <c r="L8903" s="65"/>
    </row>
    <row r="8904" spans="11:12">
      <c r="K8904" s="65"/>
      <c r="L8904" s="65"/>
    </row>
    <row r="8905" spans="11:12">
      <c r="K8905" s="65"/>
      <c r="L8905" s="65"/>
    </row>
    <row r="8906" spans="11:12">
      <c r="K8906" s="65"/>
      <c r="L8906" s="65"/>
    </row>
    <row r="8907" spans="11:12">
      <c r="K8907" s="65"/>
      <c r="L8907" s="65"/>
    </row>
    <row r="8908" spans="11:12">
      <c r="K8908" s="65"/>
      <c r="L8908" s="65"/>
    </row>
    <row r="8909" spans="11:12">
      <c r="K8909" s="65"/>
      <c r="L8909" s="65"/>
    </row>
    <row r="8910" spans="11:12">
      <c r="K8910" s="65"/>
      <c r="L8910" s="65"/>
    </row>
    <row r="8911" spans="11:12">
      <c r="K8911" s="65"/>
      <c r="L8911" s="65"/>
    </row>
    <row r="8912" spans="11:12">
      <c r="K8912" s="65"/>
      <c r="L8912" s="65"/>
    </row>
    <row r="8913" spans="11:12">
      <c r="K8913" s="65"/>
      <c r="L8913" s="65"/>
    </row>
    <row r="8914" spans="11:12">
      <c r="K8914" s="65"/>
      <c r="L8914" s="65"/>
    </row>
    <row r="8915" spans="11:12">
      <c r="K8915" s="65"/>
      <c r="L8915" s="65"/>
    </row>
    <row r="8916" spans="11:12">
      <c r="K8916" s="65"/>
      <c r="L8916" s="65"/>
    </row>
    <row r="8917" spans="11:12">
      <c r="K8917" s="65"/>
      <c r="L8917" s="65"/>
    </row>
    <row r="8918" spans="11:12">
      <c r="K8918" s="65"/>
      <c r="L8918" s="65"/>
    </row>
    <row r="8919" spans="11:12">
      <c r="K8919" s="65"/>
      <c r="L8919" s="65"/>
    </row>
    <row r="8920" spans="11:12">
      <c r="K8920" s="65"/>
      <c r="L8920" s="65"/>
    </row>
    <row r="8921" spans="11:12">
      <c r="K8921" s="65"/>
      <c r="L8921" s="65"/>
    </row>
    <row r="8922" spans="11:12">
      <c r="K8922" s="65"/>
      <c r="L8922" s="65"/>
    </row>
    <row r="8923" spans="11:12">
      <c r="K8923" s="65"/>
      <c r="L8923" s="65"/>
    </row>
    <row r="8924" spans="11:12">
      <c r="K8924" s="65"/>
      <c r="L8924" s="65"/>
    </row>
    <row r="8925" spans="11:12">
      <c r="K8925" s="65"/>
      <c r="L8925" s="65"/>
    </row>
    <row r="8926" spans="11:12">
      <c r="K8926" s="65"/>
      <c r="L8926" s="65"/>
    </row>
    <row r="8927" spans="11:12">
      <c r="K8927" s="65"/>
      <c r="L8927" s="65"/>
    </row>
    <row r="8928" spans="11:12">
      <c r="K8928" s="65"/>
      <c r="L8928" s="65"/>
    </row>
    <row r="8929" spans="11:12">
      <c r="K8929" s="65"/>
      <c r="L8929" s="65"/>
    </row>
    <row r="8930" spans="11:12">
      <c r="K8930" s="65"/>
      <c r="L8930" s="65"/>
    </row>
    <row r="8931" spans="11:12">
      <c r="K8931" s="65"/>
      <c r="L8931" s="65"/>
    </row>
    <row r="8932" spans="11:12">
      <c r="K8932" s="65"/>
      <c r="L8932" s="65"/>
    </row>
    <row r="8933" spans="11:12">
      <c r="K8933" s="65"/>
      <c r="L8933" s="65"/>
    </row>
    <row r="8934" spans="11:12">
      <c r="K8934" s="65"/>
      <c r="L8934" s="65"/>
    </row>
    <row r="8935" spans="11:12">
      <c r="K8935" s="65"/>
      <c r="L8935" s="65"/>
    </row>
    <row r="8936" spans="11:12">
      <c r="K8936" s="65"/>
      <c r="L8936" s="65"/>
    </row>
    <row r="8937" spans="11:12">
      <c r="K8937" s="65"/>
      <c r="L8937" s="65"/>
    </row>
    <row r="8938" spans="11:12">
      <c r="K8938" s="65"/>
      <c r="L8938" s="65"/>
    </row>
    <row r="8939" spans="11:12">
      <c r="K8939" s="65"/>
      <c r="L8939" s="65"/>
    </row>
    <row r="8940" spans="11:12">
      <c r="K8940" s="65"/>
      <c r="L8940" s="65"/>
    </row>
    <row r="8941" spans="11:12">
      <c r="K8941" s="65"/>
      <c r="L8941" s="65"/>
    </row>
    <row r="8942" spans="11:12">
      <c r="K8942" s="65"/>
      <c r="L8942" s="65"/>
    </row>
    <row r="8943" spans="11:12">
      <c r="K8943" s="65"/>
      <c r="L8943" s="65"/>
    </row>
    <row r="8944" spans="11:12">
      <c r="K8944" s="65"/>
      <c r="L8944" s="65"/>
    </row>
    <row r="8945" spans="11:12">
      <c r="K8945" s="65"/>
      <c r="L8945" s="65"/>
    </row>
    <row r="8946" spans="11:12">
      <c r="K8946" s="65"/>
      <c r="L8946" s="65"/>
    </row>
    <row r="8947" spans="11:12">
      <c r="K8947" s="65"/>
      <c r="L8947" s="65"/>
    </row>
    <row r="8948" spans="11:12">
      <c r="K8948" s="65"/>
      <c r="L8948" s="65"/>
    </row>
    <row r="8949" spans="11:12">
      <c r="K8949" s="65"/>
      <c r="L8949" s="65"/>
    </row>
    <row r="8950" spans="11:12">
      <c r="K8950" s="65"/>
      <c r="L8950" s="65"/>
    </row>
    <row r="8951" spans="11:12">
      <c r="K8951" s="65"/>
      <c r="L8951" s="65"/>
    </row>
    <row r="8952" spans="11:12">
      <c r="K8952" s="65"/>
      <c r="L8952" s="65"/>
    </row>
    <row r="8953" spans="11:12">
      <c r="K8953" s="65"/>
      <c r="L8953" s="65"/>
    </row>
    <row r="8954" spans="11:12">
      <c r="K8954" s="65"/>
      <c r="L8954" s="65"/>
    </row>
    <row r="8955" spans="11:12">
      <c r="K8955" s="65"/>
      <c r="L8955" s="65"/>
    </row>
    <row r="8956" spans="11:12">
      <c r="K8956" s="65"/>
      <c r="L8956" s="65"/>
    </row>
    <row r="8957" spans="11:12">
      <c r="K8957" s="65"/>
      <c r="L8957" s="65"/>
    </row>
    <row r="8958" spans="11:12">
      <c r="K8958" s="65"/>
      <c r="L8958" s="65"/>
    </row>
    <row r="8959" spans="11:12">
      <c r="K8959" s="65"/>
      <c r="L8959" s="65"/>
    </row>
    <row r="8960" spans="11:12">
      <c r="K8960" s="65"/>
      <c r="L8960" s="65"/>
    </row>
    <row r="8961" spans="11:12">
      <c r="K8961" s="65"/>
      <c r="L8961" s="65"/>
    </row>
    <row r="8962" spans="11:12">
      <c r="K8962" s="65"/>
      <c r="L8962" s="65"/>
    </row>
    <row r="8963" spans="11:12">
      <c r="K8963" s="65"/>
      <c r="L8963" s="65"/>
    </row>
    <row r="8964" spans="11:12">
      <c r="K8964" s="65"/>
      <c r="L8964" s="65"/>
    </row>
    <row r="8965" spans="11:12">
      <c r="K8965" s="65"/>
      <c r="L8965" s="65"/>
    </row>
    <row r="8966" spans="11:12">
      <c r="K8966" s="65"/>
      <c r="L8966" s="65"/>
    </row>
    <row r="8967" spans="11:12">
      <c r="K8967" s="65"/>
      <c r="L8967" s="65"/>
    </row>
    <row r="8968" spans="11:12">
      <c r="K8968" s="65"/>
      <c r="L8968" s="65"/>
    </row>
    <row r="8969" spans="11:12">
      <c r="K8969" s="65"/>
      <c r="L8969" s="65"/>
    </row>
    <row r="8970" spans="11:12">
      <c r="K8970" s="65"/>
      <c r="L8970" s="65"/>
    </row>
    <row r="8971" spans="11:12">
      <c r="K8971" s="65"/>
      <c r="L8971" s="65"/>
    </row>
    <row r="8972" spans="11:12">
      <c r="K8972" s="65"/>
      <c r="L8972" s="65"/>
    </row>
    <row r="8973" spans="11:12">
      <c r="K8973" s="65"/>
      <c r="L8973" s="65"/>
    </row>
    <row r="8974" spans="11:12">
      <c r="K8974" s="65"/>
      <c r="L8974" s="65"/>
    </row>
    <row r="8975" spans="11:12">
      <c r="K8975" s="65"/>
      <c r="L8975" s="65"/>
    </row>
    <row r="8976" spans="11:12">
      <c r="K8976" s="65"/>
      <c r="L8976" s="65"/>
    </row>
    <row r="8977" spans="11:12">
      <c r="K8977" s="65"/>
      <c r="L8977" s="65"/>
    </row>
    <row r="8978" spans="11:12">
      <c r="K8978" s="65"/>
      <c r="L8978" s="65"/>
    </row>
    <row r="8979" spans="11:12">
      <c r="K8979" s="65"/>
      <c r="L8979" s="65"/>
    </row>
    <row r="8980" spans="11:12">
      <c r="K8980" s="65"/>
      <c r="L8980" s="65"/>
    </row>
    <row r="8981" spans="11:12">
      <c r="K8981" s="65"/>
      <c r="L8981" s="65"/>
    </row>
    <row r="8982" spans="11:12">
      <c r="K8982" s="65"/>
      <c r="L8982" s="65"/>
    </row>
    <row r="8983" spans="11:12">
      <c r="K8983" s="65"/>
      <c r="L8983" s="65"/>
    </row>
    <row r="8984" spans="11:12">
      <c r="K8984" s="65"/>
      <c r="L8984" s="65"/>
    </row>
    <row r="8985" spans="11:12">
      <c r="K8985" s="65"/>
      <c r="L8985" s="65"/>
    </row>
    <row r="8986" spans="11:12">
      <c r="K8986" s="65"/>
      <c r="L8986" s="65"/>
    </row>
    <row r="8987" spans="11:12">
      <c r="K8987" s="65"/>
      <c r="L8987" s="65"/>
    </row>
    <row r="8988" spans="11:12">
      <c r="K8988" s="65"/>
      <c r="L8988" s="65"/>
    </row>
    <row r="8989" spans="11:12">
      <c r="K8989" s="65"/>
      <c r="L8989" s="65"/>
    </row>
    <row r="8990" spans="11:12">
      <c r="K8990" s="65"/>
      <c r="L8990" s="65"/>
    </row>
    <row r="8991" spans="11:12">
      <c r="K8991" s="65"/>
      <c r="L8991" s="65"/>
    </row>
    <row r="8992" spans="11:12">
      <c r="K8992" s="65"/>
      <c r="L8992" s="65"/>
    </row>
    <row r="8993" spans="11:12">
      <c r="K8993" s="65"/>
      <c r="L8993" s="65"/>
    </row>
    <row r="8994" spans="11:12">
      <c r="K8994" s="65"/>
      <c r="L8994" s="65"/>
    </row>
    <row r="8995" spans="11:12">
      <c r="K8995" s="65"/>
      <c r="L8995" s="65"/>
    </row>
    <row r="8996" spans="11:12">
      <c r="K8996" s="65"/>
      <c r="L8996" s="65"/>
    </row>
    <row r="8997" spans="11:12">
      <c r="K8997" s="65"/>
      <c r="L8997" s="65"/>
    </row>
    <row r="8998" spans="11:12">
      <c r="K8998" s="65"/>
      <c r="L8998" s="65"/>
    </row>
    <row r="8999" spans="11:12">
      <c r="K8999" s="65"/>
      <c r="L8999" s="65"/>
    </row>
    <row r="9000" spans="11:12">
      <c r="K9000" s="65"/>
      <c r="L9000" s="65"/>
    </row>
    <row r="9001" spans="11:12">
      <c r="K9001" s="65"/>
      <c r="L9001" s="65"/>
    </row>
    <row r="9002" spans="11:12">
      <c r="K9002" s="65"/>
      <c r="L9002" s="65"/>
    </row>
    <row r="9003" spans="11:12">
      <c r="K9003" s="65"/>
      <c r="L9003" s="65"/>
    </row>
    <row r="9004" spans="11:12">
      <c r="K9004" s="65"/>
      <c r="L9004" s="65"/>
    </row>
    <row r="9005" spans="11:12">
      <c r="K9005" s="65"/>
      <c r="L9005" s="65"/>
    </row>
    <row r="9006" spans="11:12">
      <c r="K9006" s="65"/>
      <c r="L9006" s="65"/>
    </row>
    <row r="9007" spans="11:12">
      <c r="K9007" s="65"/>
      <c r="L9007" s="65"/>
    </row>
    <row r="9008" spans="11:12">
      <c r="K9008" s="65"/>
      <c r="L9008" s="65"/>
    </row>
    <row r="9009" spans="11:12">
      <c r="K9009" s="65"/>
      <c r="L9009" s="65"/>
    </row>
    <row r="9010" spans="11:12">
      <c r="K9010" s="65"/>
      <c r="L9010" s="65"/>
    </row>
    <row r="9011" spans="11:12">
      <c r="K9011" s="65"/>
      <c r="L9011" s="65"/>
    </row>
    <row r="9012" spans="11:12">
      <c r="K9012" s="65"/>
      <c r="L9012" s="65"/>
    </row>
    <row r="9013" spans="11:12">
      <c r="K9013" s="65"/>
      <c r="L9013" s="65"/>
    </row>
    <row r="9014" spans="11:12">
      <c r="K9014" s="65"/>
      <c r="L9014" s="65"/>
    </row>
    <row r="9015" spans="11:12">
      <c r="K9015" s="65"/>
      <c r="L9015" s="65"/>
    </row>
    <row r="9016" spans="11:12">
      <c r="K9016" s="65"/>
      <c r="L9016" s="65"/>
    </row>
    <row r="9017" spans="11:12">
      <c r="K9017" s="65"/>
      <c r="L9017" s="65"/>
    </row>
    <row r="9018" spans="11:12">
      <c r="K9018" s="65"/>
      <c r="L9018" s="65"/>
    </row>
    <row r="9019" spans="11:12">
      <c r="K9019" s="65"/>
      <c r="L9019" s="65"/>
    </row>
    <row r="9020" spans="11:12">
      <c r="K9020" s="65"/>
      <c r="L9020" s="65"/>
    </row>
    <row r="9021" spans="11:12">
      <c r="K9021" s="65"/>
      <c r="L9021" s="65"/>
    </row>
    <row r="9022" spans="11:12">
      <c r="K9022" s="65"/>
      <c r="L9022" s="65"/>
    </row>
    <row r="9023" spans="11:12">
      <c r="K9023" s="65"/>
      <c r="L9023" s="65"/>
    </row>
    <row r="9024" spans="11:12">
      <c r="K9024" s="65"/>
      <c r="L9024" s="65"/>
    </row>
    <row r="9025" spans="11:12">
      <c r="K9025" s="65"/>
      <c r="L9025" s="65"/>
    </row>
    <row r="9026" spans="11:12">
      <c r="K9026" s="65"/>
      <c r="L9026" s="65"/>
    </row>
    <row r="9027" spans="11:12">
      <c r="K9027" s="65"/>
      <c r="L9027" s="65"/>
    </row>
    <row r="9028" spans="11:12">
      <c r="K9028" s="65"/>
      <c r="L9028" s="65"/>
    </row>
    <row r="9029" spans="11:12">
      <c r="K9029" s="65"/>
      <c r="L9029" s="65"/>
    </row>
    <row r="9030" spans="11:12">
      <c r="K9030" s="65"/>
      <c r="L9030" s="65"/>
    </row>
    <row r="9031" spans="11:12">
      <c r="K9031" s="65"/>
      <c r="L9031" s="65"/>
    </row>
    <row r="9032" spans="11:12">
      <c r="K9032" s="65"/>
      <c r="L9032" s="65"/>
    </row>
    <row r="9033" spans="11:12">
      <c r="K9033" s="65"/>
      <c r="L9033" s="65"/>
    </row>
    <row r="9034" spans="11:12">
      <c r="K9034" s="65"/>
      <c r="L9034" s="65"/>
    </row>
    <row r="9035" spans="11:12">
      <c r="K9035" s="65"/>
      <c r="L9035" s="65"/>
    </row>
    <row r="9036" spans="11:12">
      <c r="K9036" s="65"/>
      <c r="L9036" s="65"/>
    </row>
    <row r="9037" spans="11:12">
      <c r="K9037" s="65"/>
      <c r="L9037" s="65"/>
    </row>
    <row r="9038" spans="11:12">
      <c r="K9038" s="65"/>
      <c r="L9038" s="65"/>
    </row>
    <row r="9039" spans="11:12">
      <c r="K9039" s="65"/>
      <c r="L9039" s="65"/>
    </row>
    <row r="9040" spans="11:12">
      <c r="K9040" s="65"/>
      <c r="L9040" s="65"/>
    </row>
    <row r="9041" spans="11:12">
      <c r="K9041" s="65"/>
      <c r="L9041" s="65"/>
    </row>
    <row r="9042" spans="11:12">
      <c r="K9042" s="65"/>
      <c r="L9042" s="65"/>
    </row>
    <row r="9043" spans="11:12">
      <c r="K9043" s="65"/>
      <c r="L9043" s="65"/>
    </row>
    <row r="9044" spans="11:12">
      <c r="K9044" s="65"/>
      <c r="L9044" s="65"/>
    </row>
    <row r="9045" spans="11:12">
      <c r="K9045" s="65"/>
      <c r="L9045" s="65"/>
    </row>
    <row r="9046" spans="11:12">
      <c r="K9046" s="65"/>
      <c r="L9046" s="65"/>
    </row>
    <row r="9047" spans="11:12">
      <c r="K9047" s="65"/>
      <c r="L9047" s="65"/>
    </row>
    <row r="9048" spans="11:12">
      <c r="K9048" s="65"/>
      <c r="L9048" s="65"/>
    </row>
    <row r="9049" spans="11:12">
      <c r="K9049" s="65"/>
      <c r="L9049" s="65"/>
    </row>
    <row r="9050" spans="11:12">
      <c r="K9050" s="65"/>
      <c r="L9050" s="65"/>
    </row>
    <row r="9051" spans="11:12">
      <c r="K9051" s="65"/>
      <c r="L9051" s="65"/>
    </row>
    <row r="9052" spans="11:12">
      <c r="K9052" s="65"/>
      <c r="L9052" s="65"/>
    </row>
    <row r="9053" spans="11:12">
      <c r="K9053" s="65"/>
      <c r="L9053" s="65"/>
    </row>
    <row r="9054" spans="11:12">
      <c r="K9054" s="65"/>
      <c r="L9054" s="65"/>
    </row>
    <row r="9055" spans="11:12">
      <c r="K9055" s="65"/>
      <c r="L9055" s="65"/>
    </row>
    <row r="9056" spans="11:12">
      <c r="K9056" s="65"/>
      <c r="L9056" s="65"/>
    </row>
    <row r="9057" spans="11:12">
      <c r="K9057" s="65"/>
      <c r="L9057" s="65"/>
    </row>
    <row r="9058" spans="11:12">
      <c r="K9058" s="65"/>
      <c r="L9058" s="65"/>
    </row>
    <row r="9059" spans="11:12">
      <c r="K9059" s="65"/>
      <c r="L9059" s="65"/>
    </row>
    <row r="9060" spans="11:12">
      <c r="K9060" s="65"/>
      <c r="L9060" s="65"/>
    </row>
    <row r="9061" spans="11:12">
      <c r="K9061" s="65"/>
      <c r="L9061" s="65"/>
    </row>
    <row r="9062" spans="11:12">
      <c r="K9062" s="65"/>
      <c r="L9062" s="65"/>
    </row>
    <row r="9063" spans="11:12">
      <c r="K9063" s="65"/>
      <c r="L9063" s="65"/>
    </row>
    <row r="9064" spans="11:12">
      <c r="K9064" s="65"/>
      <c r="L9064" s="65"/>
    </row>
    <row r="9065" spans="11:12">
      <c r="K9065" s="65"/>
      <c r="L9065" s="65"/>
    </row>
    <row r="9066" spans="11:12">
      <c r="K9066" s="65"/>
      <c r="L9066" s="65"/>
    </row>
    <row r="9067" spans="11:12">
      <c r="K9067" s="65"/>
      <c r="L9067" s="65"/>
    </row>
    <row r="9068" spans="11:12">
      <c r="K9068" s="65"/>
      <c r="L9068" s="65"/>
    </row>
    <row r="9069" spans="11:12">
      <c r="K9069" s="65"/>
      <c r="L9069" s="65"/>
    </row>
    <row r="9070" spans="11:12">
      <c r="K9070" s="65"/>
      <c r="L9070" s="65"/>
    </row>
    <row r="9071" spans="11:12">
      <c r="K9071" s="65"/>
      <c r="L9071" s="65"/>
    </row>
    <row r="9072" spans="11:12">
      <c r="K9072" s="65"/>
      <c r="L9072" s="65"/>
    </row>
    <row r="9073" spans="11:12">
      <c r="K9073" s="65"/>
      <c r="L9073" s="65"/>
    </row>
    <row r="9074" spans="11:12">
      <c r="K9074" s="65"/>
      <c r="L9074" s="65"/>
    </row>
    <row r="9075" spans="11:12">
      <c r="K9075" s="65"/>
      <c r="L9075" s="65"/>
    </row>
    <row r="9076" spans="11:12">
      <c r="K9076" s="65"/>
      <c r="L9076" s="65"/>
    </row>
    <row r="9077" spans="11:12">
      <c r="K9077" s="65"/>
      <c r="L9077" s="65"/>
    </row>
    <row r="9078" spans="11:12">
      <c r="K9078" s="65"/>
      <c r="L9078" s="65"/>
    </row>
    <row r="9079" spans="11:12">
      <c r="K9079" s="65"/>
      <c r="L9079" s="65"/>
    </row>
    <row r="9080" spans="11:12">
      <c r="K9080" s="65"/>
      <c r="L9080" s="65"/>
    </row>
    <row r="9081" spans="11:12">
      <c r="K9081" s="65"/>
      <c r="L9081" s="65"/>
    </row>
    <row r="9082" spans="11:12">
      <c r="K9082" s="65"/>
      <c r="L9082" s="65"/>
    </row>
    <row r="9083" spans="11:12">
      <c r="K9083" s="65"/>
      <c r="L9083" s="65"/>
    </row>
    <row r="9084" spans="11:12">
      <c r="K9084" s="65"/>
      <c r="L9084" s="65"/>
    </row>
    <row r="9085" spans="11:12">
      <c r="K9085" s="65"/>
      <c r="L9085" s="65"/>
    </row>
    <row r="9086" spans="11:12">
      <c r="K9086" s="65"/>
      <c r="L9086" s="65"/>
    </row>
    <row r="9087" spans="11:12">
      <c r="K9087" s="65"/>
      <c r="L9087" s="65"/>
    </row>
    <row r="9088" spans="11:12">
      <c r="K9088" s="65"/>
      <c r="L9088" s="65"/>
    </row>
    <row r="9089" spans="11:12">
      <c r="K9089" s="65"/>
      <c r="L9089" s="65"/>
    </row>
    <row r="9090" spans="11:12">
      <c r="K9090" s="65"/>
      <c r="L9090" s="65"/>
    </row>
    <row r="9091" spans="11:12">
      <c r="K9091" s="65"/>
      <c r="L9091" s="65"/>
    </row>
    <row r="9092" spans="11:12">
      <c r="K9092" s="65"/>
      <c r="L9092" s="65"/>
    </row>
    <row r="9093" spans="11:12">
      <c r="K9093" s="65"/>
      <c r="L9093" s="65"/>
    </row>
    <row r="9094" spans="11:12">
      <c r="K9094" s="65"/>
      <c r="L9094" s="65"/>
    </row>
    <row r="9095" spans="11:12">
      <c r="K9095" s="65"/>
      <c r="L9095" s="65"/>
    </row>
    <row r="9096" spans="11:12">
      <c r="K9096" s="65"/>
      <c r="L9096" s="65"/>
    </row>
    <row r="9097" spans="11:12">
      <c r="K9097" s="65"/>
      <c r="L9097" s="65"/>
    </row>
    <row r="9098" spans="11:12">
      <c r="K9098" s="65"/>
      <c r="L9098" s="65"/>
    </row>
    <row r="9099" spans="11:12">
      <c r="K9099" s="65"/>
      <c r="L9099" s="65"/>
    </row>
    <row r="9100" spans="11:12">
      <c r="K9100" s="65"/>
      <c r="L9100" s="65"/>
    </row>
    <row r="9101" spans="11:12">
      <c r="K9101" s="65"/>
      <c r="L9101" s="65"/>
    </row>
    <row r="9102" spans="11:12">
      <c r="K9102" s="65"/>
      <c r="L9102" s="65"/>
    </row>
    <row r="9103" spans="11:12">
      <c r="K9103" s="65"/>
      <c r="L9103" s="65"/>
    </row>
    <row r="9104" spans="11:12">
      <c r="K9104" s="65"/>
      <c r="L9104" s="65"/>
    </row>
    <row r="9105" spans="11:12">
      <c r="K9105" s="65"/>
      <c r="L9105" s="65"/>
    </row>
    <row r="9106" spans="11:12">
      <c r="K9106" s="65"/>
      <c r="L9106" s="65"/>
    </row>
    <row r="9107" spans="11:12">
      <c r="K9107" s="65"/>
      <c r="L9107" s="65"/>
    </row>
    <row r="9108" spans="11:12">
      <c r="K9108" s="65"/>
      <c r="L9108" s="65"/>
    </row>
    <row r="9109" spans="11:12">
      <c r="K9109" s="65"/>
      <c r="L9109" s="65"/>
    </row>
    <row r="9110" spans="11:12">
      <c r="K9110" s="65"/>
      <c r="L9110" s="65"/>
    </row>
    <row r="9111" spans="11:12">
      <c r="K9111" s="65"/>
      <c r="L9111" s="65"/>
    </row>
    <row r="9112" spans="11:12">
      <c r="K9112" s="65"/>
      <c r="L9112" s="65"/>
    </row>
    <row r="9113" spans="11:12">
      <c r="K9113" s="65"/>
      <c r="L9113" s="65"/>
    </row>
    <row r="9114" spans="11:12">
      <c r="K9114" s="65"/>
      <c r="L9114" s="65"/>
    </row>
    <row r="9115" spans="11:12">
      <c r="K9115" s="65"/>
      <c r="L9115" s="65"/>
    </row>
    <row r="9116" spans="11:12">
      <c r="K9116" s="65"/>
      <c r="L9116" s="65"/>
    </row>
    <row r="9117" spans="11:12">
      <c r="K9117" s="65"/>
      <c r="L9117" s="65"/>
    </row>
    <row r="9118" spans="11:12">
      <c r="K9118" s="65"/>
      <c r="L9118" s="65"/>
    </row>
    <row r="9119" spans="11:12">
      <c r="K9119" s="65"/>
      <c r="L9119" s="65"/>
    </row>
    <row r="9120" spans="11:12">
      <c r="K9120" s="65"/>
      <c r="L9120" s="65"/>
    </row>
    <row r="9121" spans="11:12">
      <c r="K9121" s="65"/>
      <c r="L9121" s="65"/>
    </row>
    <row r="9122" spans="11:12">
      <c r="K9122" s="65"/>
      <c r="L9122" s="65"/>
    </row>
    <row r="9123" spans="11:12">
      <c r="K9123" s="65"/>
      <c r="L9123" s="65"/>
    </row>
    <row r="9124" spans="11:12">
      <c r="K9124" s="65"/>
      <c r="L9124" s="65"/>
    </row>
    <row r="9125" spans="11:12">
      <c r="K9125" s="65"/>
      <c r="L9125" s="65"/>
    </row>
    <row r="9126" spans="11:12">
      <c r="K9126" s="65"/>
      <c r="L9126" s="65"/>
    </row>
    <row r="9127" spans="11:12">
      <c r="K9127" s="65"/>
      <c r="L9127" s="65"/>
    </row>
    <row r="9128" spans="11:12">
      <c r="K9128" s="65"/>
      <c r="L9128" s="65"/>
    </row>
    <row r="9129" spans="11:12">
      <c r="K9129" s="65"/>
      <c r="L9129" s="65"/>
    </row>
    <row r="9130" spans="11:12">
      <c r="K9130" s="65"/>
      <c r="L9130" s="65"/>
    </row>
    <row r="9131" spans="11:12">
      <c r="K9131" s="65"/>
      <c r="L9131" s="65"/>
    </row>
    <row r="9132" spans="11:12">
      <c r="K9132" s="65"/>
      <c r="L9132" s="65"/>
    </row>
    <row r="9133" spans="11:12">
      <c r="K9133" s="65"/>
      <c r="L9133" s="65"/>
    </row>
    <row r="9134" spans="11:12">
      <c r="K9134" s="65"/>
      <c r="L9134" s="65"/>
    </row>
    <row r="9135" spans="11:12">
      <c r="K9135" s="65"/>
      <c r="L9135" s="65"/>
    </row>
    <row r="9136" spans="11:12">
      <c r="K9136" s="65"/>
      <c r="L9136" s="65"/>
    </row>
    <row r="9137" spans="11:12">
      <c r="K9137" s="65"/>
      <c r="L9137" s="65"/>
    </row>
    <row r="9138" spans="11:12">
      <c r="K9138" s="65"/>
      <c r="L9138" s="65"/>
    </row>
    <row r="9139" spans="11:12">
      <c r="K9139" s="65"/>
      <c r="L9139" s="65"/>
    </row>
    <row r="9140" spans="11:12">
      <c r="K9140" s="65"/>
      <c r="L9140" s="65"/>
    </row>
    <row r="9141" spans="11:12">
      <c r="K9141" s="65"/>
      <c r="L9141" s="65"/>
    </row>
    <row r="9142" spans="11:12">
      <c r="K9142" s="65"/>
      <c r="L9142" s="65"/>
    </row>
    <row r="9143" spans="11:12">
      <c r="K9143" s="65"/>
      <c r="L9143" s="65"/>
    </row>
    <row r="9144" spans="11:12">
      <c r="K9144" s="65"/>
      <c r="L9144" s="65"/>
    </row>
    <row r="9145" spans="11:12">
      <c r="K9145" s="65"/>
      <c r="L9145" s="65"/>
    </row>
    <row r="9146" spans="11:12">
      <c r="K9146" s="65"/>
      <c r="L9146" s="65"/>
    </row>
    <row r="9147" spans="11:12">
      <c r="K9147" s="65"/>
      <c r="L9147" s="65"/>
    </row>
    <row r="9148" spans="11:12">
      <c r="K9148" s="65"/>
      <c r="L9148" s="65"/>
    </row>
    <row r="9149" spans="11:12">
      <c r="K9149" s="65"/>
      <c r="L9149" s="65"/>
    </row>
    <row r="9150" spans="11:12">
      <c r="K9150" s="65"/>
      <c r="L9150" s="65"/>
    </row>
    <row r="9151" spans="11:12">
      <c r="K9151" s="65"/>
      <c r="L9151" s="65"/>
    </row>
    <row r="9152" spans="11:12">
      <c r="K9152" s="65"/>
      <c r="L9152" s="65"/>
    </row>
    <row r="9153" spans="11:12">
      <c r="K9153" s="65"/>
      <c r="L9153" s="65"/>
    </row>
    <row r="9154" spans="11:12">
      <c r="K9154" s="65"/>
      <c r="L9154" s="65"/>
    </row>
    <row r="9155" spans="11:12">
      <c r="K9155" s="65"/>
      <c r="L9155" s="65"/>
    </row>
    <row r="9156" spans="11:12">
      <c r="K9156" s="65"/>
      <c r="L9156" s="65"/>
    </row>
    <row r="9157" spans="11:12">
      <c r="K9157" s="65"/>
      <c r="L9157" s="65"/>
    </row>
    <row r="9158" spans="11:12">
      <c r="K9158" s="65"/>
      <c r="L9158" s="65"/>
    </row>
    <row r="9159" spans="11:12">
      <c r="K9159" s="65"/>
      <c r="L9159" s="65"/>
    </row>
    <row r="9160" spans="11:12">
      <c r="K9160" s="65"/>
      <c r="L9160" s="65"/>
    </row>
    <row r="9161" spans="11:12">
      <c r="K9161" s="65"/>
      <c r="L9161" s="65"/>
    </row>
    <row r="9162" spans="11:12">
      <c r="K9162" s="65"/>
      <c r="L9162" s="65"/>
    </row>
    <row r="9163" spans="11:12">
      <c r="K9163" s="65"/>
      <c r="L9163" s="65"/>
    </row>
    <row r="9164" spans="11:12">
      <c r="K9164" s="65"/>
      <c r="L9164" s="65"/>
    </row>
    <row r="9165" spans="11:12">
      <c r="K9165" s="65"/>
      <c r="L9165" s="65"/>
    </row>
    <row r="9166" spans="11:12">
      <c r="K9166" s="65"/>
      <c r="L9166" s="65"/>
    </row>
    <row r="9167" spans="11:12">
      <c r="K9167" s="65"/>
      <c r="L9167" s="65"/>
    </row>
    <row r="9168" spans="11:12">
      <c r="K9168" s="65"/>
      <c r="L9168" s="65"/>
    </row>
    <row r="9169" spans="11:12">
      <c r="K9169" s="65"/>
      <c r="L9169" s="65"/>
    </row>
    <row r="9170" spans="11:12">
      <c r="K9170" s="65"/>
      <c r="L9170" s="65"/>
    </row>
    <row r="9171" spans="11:12">
      <c r="K9171" s="65"/>
      <c r="L9171" s="65"/>
    </row>
    <row r="9172" spans="11:12">
      <c r="K9172" s="65"/>
      <c r="L9172" s="65"/>
    </row>
    <row r="9173" spans="11:12">
      <c r="K9173" s="65"/>
      <c r="L9173" s="65"/>
    </row>
    <row r="9174" spans="11:12">
      <c r="K9174" s="65"/>
      <c r="L9174" s="65"/>
    </row>
    <row r="9175" spans="11:12">
      <c r="K9175" s="65"/>
      <c r="L9175" s="65"/>
    </row>
    <row r="9176" spans="11:12">
      <c r="K9176" s="65"/>
      <c r="L9176" s="65"/>
    </row>
    <row r="9177" spans="11:12">
      <c r="K9177" s="65"/>
      <c r="L9177" s="65"/>
    </row>
    <row r="9178" spans="11:12">
      <c r="K9178" s="65"/>
      <c r="L9178" s="65"/>
    </row>
    <row r="9179" spans="11:12">
      <c r="K9179" s="65"/>
      <c r="L9179" s="65"/>
    </row>
    <row r="9180" spans="11:12">
      <c r="K9180" s="65"/>
      <c r="L9180" s="65"/>
    </row>
    <row r="9181" spans="11:12">
      <c r="K9181" s="65"/>
      <c r="L9181" s="65"/>
    </row>
    <row r="9182" spans="11:12">
      <c r="K9182" s="65"/>
      <c r="L9182" s="65"/>
    </row>
    <row r="9183" spans="11:12">
      <c r="K9183" s="65"/>
      <c r="L9183" s="65"/>
    </row>
    <row r="9184" spans="11:12">
      <c r="K9184" s="65"/>
      <c r="L9184" s="65"/>
    </row>
    <row r="9185" spans="11:12">
      <c r="K9185" s="65"/>
      <c r="L9185" s="65"/>
    </row>
    <row r="9186" spans="11:12">
      <c r="K9186" s="65"/>
      <c r="L9186" s="65"/>
    </row>
    <row r="9187" spans="11:12">
      <c r="K9187" s="65"/>
      <c r="L9187" s="65"/>
    </row>
    <row r="9188" spans="11:12">
      <c r="K9188" s="65"/>
      <c r="L9188" s="65"/>
    </row>
    <row r="9189" spans="11:12">
      <c r="K9189" s="65"/>
      <c r="L9189" s="65"/>
    </row>
    <row r="9190" spans="11:12">
      <c r="K9190" s="65"/>
      <c r="L9190" s="65"/>
    </row>
    <row r="9191" spans="11:12">
      <c r="K9191" s="65"/>
      <c r="L9191" s="65"/>
    </row>
    <row r="9192" spans="11:12">
      <c r="K9192" s="65"/>
      <c r="L9192" s="65"/>
    </row>
    <row r="9193" spans="11:12">
      <c r="K9193" s="65"/>
      <c r="L9193" s="65"/>
    </row>
    <row r="9194" spans="11:12">
      <c r="K9194" s="65"/>
      <c r="L9194" s="65"/>
    </row>
    <row r="9195" spans="11:12">
      <c r="K9195" s="65"/>
      <c r="L9195" s="65"/>
    </row>
    <row r="9196" spans="11:12">
      <c r="K9196" s="65"/>
      <c r="L9196" s="65"/>
    </row>
    <row r="9197" spans="11:12">
      <c r="K9197" s="65"/>
      <c r="L9197" s="65"/>
    </row>
    <row r="9198" spans="11:12">
      <c r="K9198" s="65"/>
      <c r="L9198" s="65"/>
    </row>
    <row r="9199" spans="11:12">
      <c r="K9199" s="65"/>
      <c r="L9199" s="65"/>
    </row>
    <row r="9200" spans="11:12">
      <c r="K9200" s="65"/>
      <c r="L9200" s="65"/>
    </row>
    <row r="9201" spans="11:12">
      <c r="K9201" s="65"/>
      <c r="L9201" s="65"/>
    </row>
    <row r="9202" spans="11:12">
      <c r="K9202" s="65"/>
      <c r="L9202" s="65"/>
    </row>
    <row r="9203" spans="11:12">
      <c r="K9203" s="65"/>
      <c r="L9203" s="65"/>
    </row>
    <row r="9204" spans="11:12">
      <c r="K9204" s="65"/>
      <c r="L9204" s="65"/>
    </row>
    <row r="9205" spans="11:12">
      <c r="K9205" s="65"/>
      <c r="L9205" s="65"/>
    </row>
    <row r="9206" spans="11:12">
      <c r="K9206" s="65"/>
      <c r="L9206" s="65"/>
    </row>
    <row r="9207" spans="11:12">
      <c r="K9207" s="65"/>
      <c r="L9207" s="65"/>
    </row>
    <row r="9208" spans="11:12">
      <c r="K9208" s="65"/>
      <c r="L9208" s="65"/>
    </row>
    <row r="9209" spans="11:12">
      <c r="K9209" s="65"/>
      <c r="L9209" s="65"/>
    </row>
    <row r="9210" spans="11:12">
      <c r="K9210" s="65"/>
      <c r="L9210" s="65"/>
    </row>
    <row r="9211" spans="11:12">
      <c r="K9211" s="65"/>
      <c r="L9211" s="65"/>
    </row>
    <row r="9212" spans="11:12">
      <c r="K9212" s="65"/>
      <c r="L9212" s="65"/>
    </row>
    <row r="9213" spans="11:12">
      <c r="K9213" s="65"/>
      <c r="L9213" s="65"/>
    </row>
    <row r="9214" spans="11:12">
      <c r="K9214" s="65"/>
      <c r="L9214" s="65"/>
    </row>
    <row r="9215" spans="11:12">
      <c r="K9215" s="65"/>
      <c r="L9215" s="65"/>
    </row>
    <row r="9216" spans="11:12">
      <c r="K9216" s="65"/>
      <c r="L9216" s="65"/>
    </row>
    <row r="9217" spans="11:12">
      <c r="K9217" s="65"/>
      <c r="L9217" s="65"/>
    </row>
    <row r="9218" spans="11:12">
      <c r="K9218" s="65"/>
      <c r="L9218" s="65"/>
    </row>
    <row r="9219" spans="11:12">
      <c r="K9219" s="65"/>
      <c r="L9219" s="65"/>
    </row>
    <row r="9220" spans="11:12">
      <c r="K9220" s="65"/>
      <c r="L9220" s="65"/>
    </row>
    <row r="9221" spans="11:12">
      <c r="K9221" s="65"/>
      <c r="L9221" s="65"/>
    </row>
    <row r="9222" spans="11:12">
      <c r="K9222" s="65"/>
      <c r="L9222" s="65"/>
    </row>
    <row r="9223" spans="11:12">
      <c r="K9223" s="65"/>
      <c r="L9223" s="65"/>
    </row>
    <row r="9224" spans="11:12">
      <c r="K9224" s="65"/>
      <c r="L9224" s="65"/>
    </row>
    <row r="9225" spans="11:12">
      <c r="K9225" s="65"/>
      <c r="L9225" s="65"/>
    </row>
    <row r="9226" spans="11:12">
      <c r="K9226" s="65"/>
      <c r="L9226" s="65"/>
    </row>
    <row r="9227" spans="11:12">
      <c r="K9227" s="65"/>
      <c r="L9227" s="65"/>
    </row>
    <row r="9228" spans="11:12">
      <c r="K9228" s="65"/>
      <c r="L9228" s="65"/>
    </row>
    <row r="9229" spans="11:12">
      <c r="K9229" s="65"/>
      <c r="L9229" s="65"/>
    </row>
    <row r="9230" spans="11:12">
      <c r="K9230" s="65"/>
      <c r="L9230" s="65"/>
    </row>
    <row r="9231" spans="11:12">
      <c r="K9231" s="65"/>
      <c r="L9231" s="65"/>
    </row>
    <row r="9232" spans="11:12">
      <c r="K9232" s="65"/>
      <c r="L9232" s="65"/>
    </row>
    <row r="9233" spans="11:12">
      <c r="K9233" s="65"/>
      <c r="L9233" s="65"/>
    </row>
    <row r="9234" spans="11:12">
      <c r="K9234" s="65"/>
      <c r="L9234" s="65"/>
    </row>
    <row r="9235" spans="11:12">
      <c r="K9235" s="65"/>
      <c r="L9235" s="65"/>
    </row>
    <row r="9236" spans="11:12">
      <c r="K9236" s="65"/>
      <c r="L9236" s="65"/>
    </row>
    <row r="9237" spans="11:12">
      <c r="K9237" s="65"/>
      <c r="L9237" s="65"/>
    </row>
    <row r="9238" spans="11:12">
      <c r="K9238" s="65"/>
      <c r="L9238" s="65"/>
    </row>
    <row r="9239" spans="11:12">
      <c r="K9239" s="65"/>
      <c r="L9239" s="65"/>
    </row>
    <row r="9240" spans="11:12">
      <c r="K9240" s="65"/>
      <c r="L9240" s="65"/>
    </row>
    <row r="9241" spans="11:12">
      <c r="K9241" s="65"/>
      <c r="L9241" s="65"/>
    </row>
    <row r="9242" spans="11:12">
      <c r="K9242" s="65"/>
      <c r="L9242" s="65"/>
    </row>
    <row r="9243" spans="11:12">
      <c r="K9243" s="65"/>
      <c r="L9243" s="65"/>
    </row>
    <row r="9244" spans="11:12">
      <c r="K9244" s="65"/>
      <c r="L9244" s="65"/>
    </row>
    <row r="9245" spans="11:12">
      <c r="K9245" s="65"/>
      <c r="L9245" s="65"/>
    </row>
    <row r="9246" spans="11:12">
      <c r="K9246" s="65"/>
      <c r="L9246" s="65"/>
    </row>
    <row r="9247" spans="11:12">
      <c r="K9247" s="65"/>
      <c r="L9247" s="65"/>
    </row>
    <row r="9248" spans="11:12">
      <c r="K9248" s="65"/>
      <c r="L9248" s="65"/>
    </row>
    <row r="9249" spans="11:12">
      <c r="K9249" s="65"/>
      <c r="L9249" s="65"/>
    </row>
    <row r="9250" spans="11:12">
      <c r="K9250" s="65"/>
      <c r="L9250" s="65"/>
    </row>
    <row r="9251" spans="11:12">
      <c r="K9251" s="65"/>
      <c r="L9251" s="65"/>
    </row>
    <row r="9252" spans="11:12">
      <c r="K9252" s="65"/>
      <c r="L9252" s="65"/>
    </row>
    <row r="9253" spans="11:12">
      <c r="K9253" s="65"/>
      <c r="L9253" s="65"/>
    </row>
    <row r="9254" spans="11:12">
      <c r="K9254" s="65"/>
      <c r="L9254" s="65"/>
    </row>
    <row r="9255" spans="11:12">
      <c r="K9255" s="65"/>
      <c r="L9255" s="65"/>
    </row>
    <row r="9256" spans="11:12">
      <c r="K9256" s="65"/>
      <c r="L9256" s="65"/>
    </row>
    <row r="9257" spans="11:12">
      <c r="K9257" s="65"/>
      <c r="L9257" s="65"/>
    </row>
    <row r="9258" spans="11:12">
      <c r="K9258" s="65"/>
      <c r="L9258" s="65"/>
    </row>
    <row r="9259" spans="11:12">
      <c r="K9259" s="65"/>
      <c r="L9259" s="65"/>
    </row>
    <row r="9260" spans="11:12">
      <c r="K9260" s="65"/>
      <c r="L9260" s="65"/>
    </row>
    <row r="9261" spans="11:12">
      <c r="K9261" s="65"/>
      <c r="L9261" s="65"/>
    </row>
    <row r="9262" spans="11:12">
      <c r="K9262" s="65"/>
      <c r="L9262" s="65"/>
    </row>
    <row r="9263" spans="11:12">
      <c r="K9263" s="65"/>
      <c r="L9263" s="65"/>
    </row>
    <row r="9264" spans="11:12">
      <c r="K9264" s="65"/>
      <c r="L9264" s="65"/>
    </row>
    <row r="9265" spans="11:12">
      <c r="K9265" s="65"/>
      <c r="L9265" s="65"/>
    </row>
    <row r="9266" spans="11:12">
      <c r="K9266" s="65"/>
      <c r="L9266" s="65"/>
    </row>
    <row r="9267" spans="11:12">
      <c r="K9267" s="65"/>
      <c r="L9267" s="65"/>
    </row>
    <row r="9268" spans="11:12">
      <c r="K9268" s="65"/>
      <c r="L9268" s="65"/>
    </row>
    <row r="9269" spans="11:12">
      <c r="K9269" s="65"/>
      <c r="L9269" s="65"/>
    </row>
    <row r="9270" spans="11:12">
      <c r="K9270" s="65"/>
      <c r="L9270" s="65"/>
    </row>
    <row r="9271" spans="11:12">
      <c r="K9271" s="65"/>
      <c r="L9271" s="65"/>
    </row>
    <row r="9272" spans="11:12">
      <c r="K9272" s="65"/>
      <c r="L9272" s="65"/>
    </row>
    <row r="9273" spans="11:12">
      <c r="K9273" s="65"/>
      <c r="L9273" s="65"/>
    </row>
    <row r="9274" spans="11:12">
      <c r="K9274" s="65"/>
      <c r="L9274" s="65"/>
    </row>
    <row r="9275" spans="11:12">
      <c r="K9275" s="65"/>
      <c r="L9275" s="65"/>
    </row>
    <row r="9276" spans="11:12">
      <c r="K9276" s="65"/>
      <c r="L9276" s="65"/>
    </row>
    <row r="9277" spans="11:12">
      <c r="K9277" s="65"/>
      <c r="L9277" s="65"/>
    </row>
    <row r="9278" spans="11:12">
      <c r="K9278" s="65"/>
      <c r="L9278" s="65"/>
    </row>
    <row r="9279" spans="11:12">
      <c r="K9279" s="65"/>
      <c r="L9279" s="65"/>
    </row>
    <row r="9280" spans="11:12">
      <c r="K9280" s="65"/>
      <c r="L9280" s="65"/>
    </row>
    <row r="9281" spans="11:12">
      <c r="K9281" s="65"/>
      <c r="L9281" s="65"/>
    </row>
    <row r="9282" spans="11:12">
      <c r="K9282" s="65"/>
      <c r="L9282" s="65"/>
    </row>
    <row r="9283" spans="11:12">
      <c r="K9283" s="65"/>
      <c r="L9283" s="65"/>
    </row>
    <row r="9284" spans="11:12">
      <c r="K9284" s="65"/>
      <c r="L9284" s="65"/>
    </row>
    <row r="9285" spans="11:12">
      <c r="K9285" s="65"/>
      <c r="L9285" s="65"/>
    </row>
    <row r="9286" spans="11:12">
      <c r="K9286" s="65"/>
      <c r="L9286" s="65"/>
    </row>
    <row r="9287" spans="11:12">
      <c r="K9287" s="65"/>
      <c r="L9287" s="65"/>
    </row>
    <row r="9288" spans="11:12">
      <c r="K9288" s="65"/>
      <c r="L9288" s="65"/>
    </row>
    <row r="9289" spans="11:12">
      <c r="K9289" s="65"/>
      <c r="L9289" s="65"/>
    </row>
    <row r="9290" spans="11:12">
      <c r="K9290" s="65"/>
      <c r="L9290" s="65"/>
    </row>
    <row r="9291" spans="11:12">
      <c r="K9291" s="65"/>
      <c r="L9291" s="65"/>
    </row>
    <row r="9292" spans="11:12">
      <c r="K9292" s="65"/>
      <c r="L9292" s="65"/>
    </row>
    <row r="9293" spans="11:12">
      <c r="K9293" s="65"/>
      <c r="L9293" s="65"/>
    </row>
    <row r="9294" spans="11:12">
      <c r="K9294" s="65"/>
      <c r="L9294" s="65"/>
    </row>
    <row r="9295" spans="11:12">
      <c r="K9295" s="65"/>
      <c r="L9295" s="65"/>
    </row>
    <row r="9296" spans="11:12">
      <c r="K9296" s="65"/>
      <c r="L9296" s="65"/>
    </row>
    <row r="9297" spans="11:12">
      <c r="K9297" s="65"/>
      <c r="L9297" s="65"/>
    </row>
    <row r="9298" spans="11:12">
      <c r="K9298" s="65"/>
      <c r="L9298" s="65"/>
    </row>
    <row r="9299" spans="11:12">
      <c r="K9299" s="65"/>
      <c r="L9299" s="65"/>
    </row>
    <row r="9300" spans="11:12">
      <c r="K9300" s="65"/>
      <c r="L9300" s="65"/>
    </row>
    <row r="9301" spans="11:12">
      <c r="K9301" s="65"/>
      <c r="L9301" s="65"/>
    </row>
    <row r="9302" spans="11:12">
      <c r="K9302" s="65"/>
      <c r="L9302" s="65"/>
    </row>
    <row r="9303" spans="11:12">
      <c r="K9303" s="65"/>
      <c r="L9303" s="65"/>
    </row>
    <row r="9304" spans="11:12">
      <c r="K9304" s="65"/>
      <c r="L9304" s="65"/>
    </row>
    <row r="9305" spans="11:12">
      <c r="K9305" s="65"/>
      <c r="L9305" s="65"/>
    </row>
    <row r="9306" spans="11:12">
      <c r="K9306" s="65"/>
      <c r="L9306" s="65"/>
    </row>
    <row r="9307" spans="11:12">
      <c r="K9307" s="65"/>
      <c r="L9307" s="65"/>
    </row>
    <row r="9308" spans="11:12">
      <c r="K9308" s="65"/>
      <c r="L9308" s="65"/>
    </row>
    <row r="9309" spans="11:12">
      <c r="K9309" s="65"/>
      <c r="L9309" s="65"/>
    </row>
    <row r="9310" spans="11:12">
      <c r="K9310" s="65"/>
      <c r="L9310" s="65"/>
    </row>
    <row r="9311" spans="11:12">
      <c r="K9311" s="65"/>
      <c r="L9311" s="65"/>
    </row>
    <row r="9312" spans="11:12">
      <c r="K9312" s="65"/>
      <c r="L9312" s="65"/>
    </row>
    <row r="9313" spans="11:12">
      <c r="K9313" s="65"/>
      <c r="L9313" s="65"/>
    </row>
    <row r="9314" spans="11:12">
      <c r="K9314" s="65"/>
      <c r="L9314" s="65"/>
    </row>
    <row r="9315" spans="11:12">
      <c r="K9315" s="65"/>
      <c r="L9315" s="65"/>
    </row>
    <row r="9316" spans="11:12">
      <c r="K9316" s="65"/>
      <c r="L9316" s="65"/>
    </row>
    <row r="9317" spans="11:12">
      <c r="K9317" s="65"/>
      <c r="L9317" s="65"/>
    </row>
    <row r="9318" spans="11:12">
      <c r="K9318" s="65"/>
      <c r="L9318" s="65"/>
    </row>
    <row r="9319" spans="11:12">
      <c r="K9319" s="65"/>
      <c r="L9319" s="65"/>
    </row>
    <row r="9320" spans="11:12">
      <c r="K9320" s="65"/>
      <c r="L9320" s="65"/>
    </row>
    <row r="9321" spans="11:12">
      <c r="K9321" s="65"/>
      <c r="L9321" s="65"/>
    </row>
    <row r="9322" spans="11:12">
      <c r="K9322" s="65"/>
      <c r="L9322" s="65"/>
    </row>
    <row r="9323" spans="11:12">
      <c r="K9323" s="65"/>
      <c r="L9323" s="65"/>
    </row>
    <row r="9324" spans="11:12">
      <c r="K9324" s="65"/>
      <c r="L9324" s="65"/>
    </row>
    <row r="9325" spans="11:12">
      <c r="K9325" s="65"/>
      <c r="L9325" s="65"/>
    </row>
    <row r="9326" spans="11:12">
      <c r="K9326" s="65"/>
      <c r="L9326" s="65"/>
    </row>
    <row r="9327" spans="11:12">
      <c r="K9327" s="65"/>
      <c r="L9327" s="65"/>
    </row>
    <row r="9328" spans="11:12">
      <c r="K9328" s="65"/>
      <c r="L9328" s="65"/>
    </row>
    <row r="9329" spans="11:12">
      <c r="K9329" s="65"/>
      <c r="L9329" s="65"/>
    </row>
    <row r="9330" spans="11:12">
      <c r="K9330" s="65"/>
      <c r="L9330" s="65"/>
    </row>
    <row r="9331" spans="11:12">
      <c r="K9331" s="65"/>
      <c r="L9331" s="65"/>
    </row>
    <row r="9332" spans="11:12">
      <c r="K9332" s="65"/>
      <c r="L9332" s="65"/>
    </row>
    <row r="9333" spans="11:12">
      <c r="K9333" s="65"/>
      <c r="L9333" s="65"/>
    </row>
    <row r="9334" spans="11:12">
      <c r="K9334" s="65"/>
      <c r="L9334" s="65"/>
    </row>
    <row r="9335" spans="11:12">
      <c r="K9335" s="65"/>
      <c r="L9335" s="65"/>
    </row>
    <row r="9336" spans="11:12">
      <c r="K9336" s="65"/>
      <c r="L9336" s="65"/>
    </row>
    <row r="9337" spans="11:12">
      <c r="K9337" s="65"/>
      <c r="L9337" s="65"/>
    </row>
    <row r="9338" spans="11:12">
      <c r="K9338" s="65"/>
      <c r="L9338" s="65"/>
    </row>
    <row r="9339" spans="11:12">
      <c r="K9339" s="65"/>
      <c r="L9339" s="65"/>
    </row>
    <row r="9340" spans="11:12">
      <c r="K9340" s="65"/>
      <c r="L9340" s="65"/>
    </row>
    <row r="9341" spans="11:12">
      <c r="K9341" s="65"/>
      <c r="L9341" s="65"/>
    </row>
    <row r="9342" spans="11:12">
      <c r="K9342" s="65"/>
      <c r="L9342" s="65"/>
    </row>
    <row r="9343" spans="11:12">
      <c r="K9343" s="65"/>
      <c r="L9343" s="65"/>
    </row>
    <row r="9344" spans="11:12">
      <c r="K9344" s="65"/>
      <c r="L9344" s="65"/>
    </row>
    <row r="9345" spans="11:12">
      <c r="K9345" s="65"/>
      <c r="L9345" s="65"/>
    </row>
    <row r="9346" spans="11:12">
      <c r="K9346" s="65"/>
      <c r="L9346" s="65"/>
    </row>
    <row r="9347" spans="11:12">
      <c r="K9347" s="65"/>
      <c r="L9347" s="65"/>
    </row>
    <row r="9348" spans="11:12">
      <c r="K9348" s="65"/>
      <c r="L9348" s="65"/>
    </row>
    <row r="9349" spans="11:12">
      <c r="K9349" s="65"/>
      <c r="L9349" s="65"/>
    </row>
    <row r="9350" spans="11:12">
      <c r="K9350" s="65"/>
      <c r="L9350" s="65"/>
    </row>
    <row r="9351" spans="11:12">
      <c r="K9351" s="65"/>
      <c r="L9351" s="65"/>
    </row>
    <row r="9352" spans="11:12">
      <c r="K9352" s="65"/>
      <c r="L9352" s="65"/>
    </row>
    <row r="9353" spans="11:12">
      <c r="K9353" s="65"/>
      <c r="L9353" s="65"/>
    </row>
    <row r="9354" spans="11:12">
      <c r="K9354" s="65"/>
      <c r="L9354" s="65"/>
    </row>
    <row r="9355" spans="11:12">
      <c r="K9355" s="65"/>
      <c r="L9355" s="65"/>
    </row>
    <row r="9356" spans="11:12">
      <c r="K9356" s="65"/>
      <c r="L9356" s="65"/>
    </row>
    <row r="9357" spans="11:12">
      <c r="K9357" s="65"/>
      <c r="L9357" s="65"/>
    </row>
    <row r="9358" spans="11:12">
      <c r="K9358" s="65"/>
      <c r="L9358" s="65"/>
    </row>
    <row r="9359" spans="11:12">
      <c r="K9359" s="65"/>
      <c r="L9359" s="65"/>
    </row>
    <row r="9360" spans="11:12">
      <c r="K9360" s="65"/>
      <c r="L9360" s="65"/>
    </row>
    <row r="9361" spans="11:12">
      <c r="K9361" s="65"/>
      <c r="L9361" s="65"/>
    </row>
    <row r="9362" spans="11:12">
      <c r="K9362" s="65"/>
      <c r="L9362" s="65"/>
    </row>
    <row r="9363" spans="11:12">
      <c r="K9363" s="65"/>
      <c r="L9363" s="65"/>
    </row>
    <row r="9364" spans="11:12">
      <c r="K9364" s="65"/>
      <c r="L9364" s="65"/>
    </row>
    <row r="9365" spans="11:12">
      <c r="K9365" s="65"/>
      <c r="L9365" s="65"/>
    </row>
    <row r="9366" spans="11:12">
      <c r="K9366" s="65"/>
      <c r="L9366" s="65"/>
    </row>
    <row r="9367" spans="11:12">
      <c r="K9367" s="65"/>
      <c r="L9367" s="65"/>
    </row>
    <row r="9368" spans="11:12">
      <c r="K9368" s="65"/>
      <c r="L9368" s="65"/>
    </row>
    <row r="9369" spans="11:12">
      <c r="K9369" s="65"/>
      <c r="L9369" s="65"/>
    </row>
    <row r="9370" spans="11:12">
      <c r="K9370" s="65"/>
      <c r="L9370" s="65"/>
    </row>
    <row r="9371" spans="11:12">
      <c r="K9371" s="65"/>
      <c r="L9371" s="65"/>
    </row>
    <row r="9372" spans="11:12">
      <c r="K9372" s="65"/>
      <c r="L9372" s="65"/>
    </row>
    <row r="9373" spans="11:12">
      <c r="K9373" s="65"/>
      <c r="L9373" s="65"/>
    </row>
    <row r="9374" spans="11:12">
      <c r="K9374" s="65"/>
      <c r="L9374" s="65"/>
    </row>
    <row r="9375" spans="11:12">
      <c r="K9375" s="65"/>
      <c r="L9375" s="65"/>
    </row>
    <row r="9376" spans="11:12">
      <c r="K9376" s="65"/>
      <c r="L9376" s="65"/>
    </row>
    <row r="9377" spans="11:12">
      <c r="K9377" s="65"/>
      <c r="L9377" s="65"/>
    </row>
    <row r="9378" spans="11:12">
      <c r="K9378" s="65"/>
      <c r="L9378" s="65"/>
    </row>
    <row r="9379" spans="11:12">
      <c r="K9379" s="65"/>
      <c r="L9379" s="65"/>
    </row>
    <row r="9380" spans="11:12">
      <c r="K9380" s="65"/>
      <c r="L9380" s="65"/>
    </row>
    <row r="9381" spans="11:12">
      <c r="K9381" s="65"/>
      <c r="L9381" s="65"/>
    </row>
    <row r="9382" spans="11:12">
      <c r="K9382" s="65"/>
      <c r="L9382" s="65"/>
    </row>
    <row r="9383" spans="11:12">
      <c r="K9383" s="65"/>
      <c r="L9383" s="65"/>
    </row>
    <row r="9384" spans="11:12">
      <c r="K9384" s="65"/>
      <c r="L9384" s="65"/>
    </row>
    <row r="9385" spans="11:12">
      <c r="K9385" s="65"/>
      <c r="L9385" s="65"/>
    </row>
  </sheetData>
  <autoFilter ref="A2:Q942">
    <filterColumn colId="4">
      <filters>
        <filter val="Wifi cố định"/>
      </filters>
    </filterColumn>
  </autoFilter>
  <conditionalFormatting sqref="D1:D2 D980:D1048576">
    <cfRule type="duplicateValues" dxfId="7" priority="8"/>
  </conditionalFormatting>
  <conditionalFormatting sqref="G103">
    <cfRule type="duplicateValues" dxfId="6" priority="7"/>
  </conditionalFormatting>
  <conditionalFormatting sqref="G115">
    <cfRule type="duplicateValues" dxfId="5" priority="6"/>
  </conditionalFormatting>
  <conditionalFormatting sqref="G121">
    <cfRule type="duplicateValues" dxfId="4" priority="5"/>
  </conditionalFormatting>
  <conditionalFormatting sqref="G124">
    <cfRule type="duplicateValues" dxfId="3" priority="4"/>
  </conditionalFormatting>
  <conditionalFormatting sqref="G136">
    <cfRule type="duplicateValues" dxfId="2" priority="3"/>
  </conditionalFormatting>
  <conditionalFormatting sqref="G140">
    <cfRule type="duplicateValues" dxfId="1" priority="2"/>
  </conditionalFormatting>
  <conditionalFormatting sqref="G150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01"/>
  <sheetViews>
    <sheetView topLeftCell="A130" zoomScale="85" zoomScaleNormal="85" workbookViewId="0">
      <selection activeCell="E15" sqref="E15"/>
    </sheetView>
  </sheetViews>
  <sheetFormatPr defaultColWidth="9.125" defaultRowHeight="15.75"/>
  <cols>
    <col min="1" max="1" width="14.375" style="7" customWidth="1"/>
    <col min="2" max="2" width="19.625" style="7" customWidth="1"/>
    <col min="3" max="3" width="34.625" style="7" customWidth="1"/>
    <col min="4" max="4" width="9.125" style="7" customWidth="1"/>
    <col min="5" max="5" width="14.875" style="7" customWidth="1"/>
    <col min="6" max="6" width="21.375" style="7" bestFit="1" customWidth="1"/>
    <col min="7" max="7" width="19.125" style="7" customWidth="1"/>
    <col min="8" max="8" width="13.5" style="8" customWidth="1"/>
    <col min="9" max="9" width="14.125" style="8" customWidth="1"/>
    <col min="10" max="10" width="27.5" style="7" customWidth="1"/>
    <col min="11" max="11" width="9.125" style="7" customWidth="1"/>
    <col min="12" max="12" width="19.875" style="7" customWidth="1"/>
    <col min="13" max="13" width="30.625" style="7" customWidth="1"/>
    <col min="14" max="16" width="19.875" style="8" customWidth="1"/>
    <col min="17" max="17" width="19.875" style="7" customWidth="1"/>
    <col min="18" max="18" width="9.125" style="7" customWidth="1"/>
    <col min="19" max="16384" width="9.125" style="7"/>
  </cols>
  <sheetData>
    <row r="1" spans="1:17" ht="32.25" customHeight="1">
      <c r="A1" s="86" t="s">
        <v>151</v>
      </c>
      <c r="B1" s="86" t="s">
        <v>152</v>
      </c>
      <c r="C1" s="86" t="s">
        <v>1126</v>
      </c>
      <c r="D1" s="86"/>
      <c r="E1" s="86" t="s">
        <v>1127</v>
      </c>
      <c r="F1" s="86" t="s">
        <v>1128</v>
      </c>
      <c r="G1" s="86" t="s">
        <v>155</v>
      </c>
      <c r="H1" s="87" t="s">
        <v>156</v>
      </c>
      <c r="I1" s="87" t="s">
        <v>160</v>
      </c>
      <c r="J1" s="86" t="s">
        <v>134</v>
      </c>
    </row>
    <row r="2" spans="1:17" ht="58.5" customHeight="1" thickBot="1">
      <c r="A2" s="84"/>
      <c r="B2" s="78"/>
      <c r="C2" s="78"/>
      <c r="D2" s="78"/>
      <c r="E2" s="78"/>
      <c r="F2" s="78"/>
      <c r="G2" s="78"/>
      <c r="H2" s="85">
        <f>SUBTOTAL(9,H3:H201)</f>
        <v>6656563</v>
      </c>
      <c r="I2" s="85">
        <f>SUBTOTAL(9,I3:I201)</f>
        <v>7228354</v>
      </c>
      <c r="J2" s="78"/>
      <c r="N2" s="8" t="s">
        <v>160</v>
      </c>
      <c r="O2" s="8" t="s">
        <v>156</v>
      </c>
    </row>
    <row r="3" spans="1:17" ht="16.5" customHeight="1" thickBot="1">
      <c r="A3" s="7" t="s">
        <v>162</v>
      </c>
      <c r="B3" s="3">
        <f>L3</f>
        <v>46237</v>
      </c>
      <c r="C3" s="4" t="str">
        <f>M3</f>
        <v>口座振替 シヤープフアイナンス</v>
      </c>
      <c r="E3" s="7" t="s">
        <v>478</v>
      </c>
      <c r="F3" s="7" t="s">
        <v>1129</v>
      </c>
      <c r="G3" s="7" t="s">
        <v>360</v>
      </c>
      <c r="H3" s="6">
        <f>O3</f>
        <v>0</v>
      </c>
      <c r="I3" s="5">
        <f>N3</f>
        <v>10890</v>
      </c>
      <c r="J3" s="7" t="s">
        <v>3838</v>
      </c>
      <c r="L3" s="35">
        <v>46237</v>
      </c>
      <c r="M3" s="36" t="s">
        <v>1134</v>
      </c>
      <c r="N3" s="44">
        <v>10890</v>
      </c>
      <c r="O3" s="45"/>
      <c r="P3" s="44">
        <v>1528658</v>
      </c>
      <c r="Q3" s="36" t="s">
        <v>1130</v>
      </c>
    </row>
    <row r="4" spans="1:17" ht="16.5" customHeight="1" thickBot="1">
      <c r="A4" s="7" t="s">
        <v>162</v>
      </c>
      <c r="B4" s="3">
        <f t="shared" ref="B4:B67" si="0">L4</f>
        <v>46237</v>
      </c>
      <c r="C4" s="4" t="str">
        <f t="shared" ref="C4:C67" si="1">M4</f>
        <v>振込＊チヤン テイ マイ チユオン</v>
      </c>
      <c r="E4" s="7" t="s">
        <v>478</v>
      </c>
      <c r="F4" s="7" t="s">
        <v>1129</v>
      </c>
      <c r="G4" s="7" t="s">
        <v>360</v>
      </c>
      <c r="H4" s="6">
        <f t="shared" ref="H4:H67" si="2">O4</f>
        <v>0</v>
      </c>
      <c r="I4" s="5">
        <f t="shared" ref="I4:I67" si="3">N4</f>
        <v>81880</v>
      </c>
      <c r="J4" s="7" t="s">
        <v>3839</v>
      </c>
      <c r="L4" s="38">
        <v>46237</v>
      </c>
      <c r="M4" s="39" t="s">
        <v>1135</v>
      </c>
      <c r="N4" s="46">
        <v>81880</v>
      </c>
      <c r="O4" s="47"/>
      <c r="P4" s="46">
        <v>1446778</v>
      </c>
      <c r="Q4" s="39" t="s">
        <v>3679</v>
      </c>
    </row>
    <row r="5" spans="1:17" ht="16.5" customHeight="1" thickBot="1">
      <c r="A5" s="7" t="s">
        <v>162</v>
      </c>
      <c r="B5" s="3">
        <f t="shared" si="0"/>
        <v>46237</v>
      </c>
      <c r="C5" s="4" t="str">
        <f t="shared" si="1"/>
        <v>振込手数料</v>
      </c>
      <c r="E5" s="7" t="s">
        <v>478</v>
      </c>
      <c r="F5" s="7" t="s">
        <v>1129</v>
      </c>
      <c r="G5" s="7" t="s">
        <v>360</v>
      </c>
      <c r="H5" s="6">
        <f t="shared" si="2"/>
        <v>0</v>
      </c>
      <c r="I5" s="5">
        <f t="shared" si="3"/>
        <v>140</v>
      </c>
      <c r="J5" s="7" t="s">
        <v>3840</v>
      </c>
      <c r="L5" s="41">
        <v>46237</v>
      </c>
      <c r="M5" s="42" t="s">
        <v>1136</v>
      </c>
      <c r="N5" s="48">
        <v>140</v>
      </c>
      <c r="O5" s="49"/>
      <c r="P5" s="48">
        <v>1446638</v>
      </c>
      <c r="Q5" s="42" t="s">
        <v>1130</v>
      </c>
    </row>
    <row r="6" spans="1:17" ht="16.5" customHeight="1" thickBot="1">
      <c r="A6" s="7" t="s">
        <v>162</v>
      </c>
      <c r="B6" s="3">
        <f t="shared" si="0"/>
        <v>46237</v>
      </c>
      <c r="C6" s="4" t="str">
        <f t="shared" si="1"/>
        <v>振込＊クボ シヤロン エスプラゴサ</v>
      </c>
      <c r="E6" s="7" t="s">
        <v>478</v>
      </c>
      <c r="F6" s="7" t="s">
        <v>1129</v>
      </c>
      <c r="G6" s="7" t="s">
        <v>360</v>
      </c>
      <c r="H6" s="6">
        <f t="shared" si="2"/>
        <v>0</v>
      </c>
      <c r="I6" s="5">
        <f t="shared" si="3"/>
        <v>3000</v>
      </c>
      <c r="J6" s="7" t="s">
        <v>1175</v>
      </c>
      <c r="L6" s="38">
        <v>46237</v>
      </c>
      <c r="M6" s="39" t="s">
        <v>3680</v>
      </c>
      <c r="N6" s="46">
        <v>3000</v>
      </c>
      <c r="O6" s="47"/>
      <c r="P6" s="46">
        <v>1443638</v>
      </c>
      <c r="Q6" s="39" t="s">
        <v>3681</v>
      </c>
    </row>
    <row r="7" spans="1:17" ht="16.5" customHeight="1" thickBot="1">
      <c r="A7" s="7" t="s">
        <v>162</v>
      </c>
      <c r="B7" s="3">
        <f t="shared" si="0"/>
        <v>46237</v>
      </c>
      <c r="C7" s="4" t="str">
        <f t="shared" si="1"/>
        <v>振込手数料</v>
      </c>
      <c r="E7" s="7" t="s">
        <v>478</v>
      </c>
      <c r="F7" s="7" t="s">
        <v>1129</v>
      </c>
      <c r="G7" s="7" t="s">
        <v>360</v>
      </c>
      <c r="H7" s="6">
        <f t="shared" si="2"/>
        <v>0</v>
      </c>
      <c r="I7" s="5">
        <f t="shared" si="3"/>
        <v>140</v>
      </c>
      <c r="J7" s="7" t="s">
        <v>3840</v>
      </c>
      <c r="L7" s="41">
        <v>46237</v>
      </c>
      <c r="M7" s="42" t="s">
        <v>1136</v>
      </c>
      <c r="N7" s="48">
        <v>140</v>
      </c>
      <c r="O7" s="49"/>
      <c r="P7" s="48">
        <v>1443498</v>
      </c>
      <c r="Q7" s="42" t="s">
        <v>1130</v>
      </c>
    </row>
    <row r="8" spans="1:17" ht="16.5" customHeight="1" thickBot="1">
      <c r="A8" s="7" t="s">
        <v>162</v>
      </c>
      <c r="B8" s="3">
        <f t="shared" si="0"/>
        <v>46237</v>
      </c>
      <c r="C8" s="4" t="str">
        <f t="shared" si="1"/>
        <v>振込＊グエン ザー フオン</v>
      </c>
      <c r="E8" s="7" t="s">
        <v>478</v>
      </c>
      <c r="F8" s="7" t="s">
        <v>1129</v>
      </c>
      <c r="G8" s="7" t="s">
        <v>360</v>
      </c>
      <c r="H8" s="6">
        <f t="shared" si="2"/>
        <v>0</v>
      </c>
      <c r="I8" s="5">
        <f t="shared" si="3"/>
        <v>4000</v>
      </c>
      <c r="J8" s="7" t="s">
        <v>1175</v>
      </c>
      <c r="L8" s="38">
        <v>46237</v>
      </c>
      <c r="M8" s="39" t="s">
        <v>3682</v>
      </c>
      <c r="N8" s="46">
        <v>4000</v>
      </c>
      <c r="O8" s="47"/>
      <c r="P8" s="46">
        <v>1439498</v>
      </c>
      <c r="Q8" s="39" t="s">
        <v>3681</v>
      </c>
    </row>
    <row r="9" spans="1:17" ht="16.5" customHeight="1" thickBot="1">
      <c r="A9" s="7" t="s">
        <v>162</v>
      </c>
      <c r="B9" s="3">
        <f t="shared" si="0"/>
        <v>46237</v>
      </c>
      <c r="C9" s="4" t="str">
        <f t="shared" si="1"/>
        <v>振込手数料</v>
      </c>
      <c r="E9" s="7" t="s">
        <v>478</v>
      </c>
      <c r="F9" s="7" t="s">
        <v>1129</v>
      </c>
      <c r="G9" s="7" t="s">
        <v>360</v>
      </c>
      <c r="H9" s="6">
        <f t="shared" si="2"/>
        <v>0</v>
      </c>
      <c r="I9" s="5">
        <f t="shared" si="3"/>
        <v>140</v>
      </c>
      <c r="J9" s="7" t="s">
        <v>3840</v>
      </c>
      <c r="L9" s="41">
        <v>46237</v>
      </c>
      <c r="M9" s="42" t="s">
        <v>1136</v>
      </c>
      <c r="N9" s="48">
        <v>140</v>
      </c>
      <c r="O9" s="49"/>
      <c r="P9" s="48">
        <v>1439358</v>
      </c>
      <c r="Q9" s="42" t="s">
        <v>1130</v>
      </c>
    </row>
    <row r="10" spans="1:17" ht="16.5" customHeight="1" thickBot="1">
      <c r="A10" s="7" t="s">
        <v>162</v>
      </c>
      <c r="B10" s="3">
        <f t="shared" si="0"/>
        <v>46237</v>
      </c>
      <c r="C10" s="4" t="str">
        <f t="shared" si="1"/>
        <v>デビット ８３５１６２</v>
      </c>
      <c r="E10" s="7" t="s">
        <v>478</v>
      </c>
      <c r="F10" s="7" t="s">
        <v>1129</v>
      </c>
      <c r="G10" s="7" t="s">
        <v>360</v>
      </c>
      <c r="H10" s="6">
        <f t="shared" si="2"/>
        <v>0</v>
      </c>
      <c r="I10" s="5">
        <f t="shared" si="3"/>
        <v>185</v>
      </c>
      <c r="J10" s="7" t="s">
        <v>3841</v>
      </c>
      <c r="L10" s="38">
        <v>46237</v>
      </c>
      <c r="M10" s="39" t="s">
        <v>3683</v>
      </c>
      <c r="N10" s="46">
        <v>185</v>
      </c>
      <c r="O10" s="47"/>
      <c r="P10" s="46">
        <v>1439173</v>
      </c>
      <c r="Q10" s="39" t="s">
        <v>1130</v>
      </c>
    </row>
    <row r="11" spans="1:17" ht="16.5" customHeight="1" thickBot="1">
      <c r="A11" s="7" t="s">
        <v>162</v>
      </c>
      <c r="B11" s="3">
        <f t="shared" si="0"/>
        <v>46237</v>
      </c>
      <c r="C11" s="4" t="str">
        <f t="shared" si="1"/>
        <v>デビット ８３５７９０</v>
      </c>
      <c r="E11" s="7" t="s">
        <v>478</v>
      </c>
      <c r="F11" s="7" t="s">
        <v>1129</v>
      </c>
      <c r="G11" s="7" t="s">
        <v>360</v>
      </c>
      <c r="H11" s="6">
        <f t="shared" si="2"/>
        <v>0</v>
      </c>
      <c r="I11" s="5">
        <f t="shared" si="3"/>
        <v>185</v>
      </c>
      <c r="J11" s="7" t="s">
        <v>3841</v>
      </c>
      <c r="L11" s="41">
        <v>46237</v>
      </c>
      <c r="M11" s="42" t="s">
        <v>3684</v>
      </c>
      <c r="N11" s="48">
        <v>185</v>
      </c>
      <c r="O11" s="49"/>
      <c r="P11" s="48">
        <v>1438988</v>
      </c>
      <c r="Q11" s="42" t="s">
        <v>1130</v>
      </c>
    </row>
    <row r="12" spans="1:17" ht="16.5" customHeight="1" thickBot="1">
      <c r="A12" s="7" t="s">
        <v>162</v>
      </c>
      <c r="B12" s="3">
        <f t="shared" si="0"/>
        <v>46237</v>
      </c>
      <c r="C12" s="4" t="str">
        <f t="shared" si="1"/>
        <v>デビット ８４１５９８</v>
      </c>
      <c r="E12" s="7" t="s">
        <v>478</v>
      </c>
      <c r="F12" s="7" t="s">
        <v>1129</v>
      </c>
      <c r="G12" s="7" t="s">
        <v>360</v>
      </c>
      <c r="H12" s="6">
        <f t="shared" si="2"/>
        <v>0</v>
      </c>
      <c r="I12" s="5">
        <f t="shared" si="3"/>
        <v>185</v>
      </c>
      <c r="J12" s="7" t="s">
        <v>3841</v>
      </c>
      <c r="L12" s="38">
        <v>46237</v>
      </c>
      <c r="M12" s="39" t="s">
        <v>3685</v>
      </c>
      <c r="N12" s="46">
        <v>185</v>
      </c>
      <c r="O12" s="47"/>
      <c r="P12" s="46">
        <v>1438803</v>
      </c>
      <c r="Q12" s="39" t="s">
        <v>1130</v>
      </c>
    </row>
    <row r="13" spans="1:17" ht="16.5" customHeight="1" thickBot="1">
      <c r="A13" s="7" t="s">
        <v>162</v>
      </c>
      <c r="B13" s="3">
        <f t="shared" si="0"/>
        <v>46237</v>
      </c>
      <c r="C13" s="4" t="str">
        <f t="shared" si="1"/>
        <v>デビット ８４３７９２</v>
      </c>
      <c r="E13" s="7" t="s">
        <v>478</v>
      </c>
      <c r="F13" s="7" t="s">
        <v>1129</v>
      </c>
      <c r="G13" s="7" t="s">
        <v>360</v>
      </c>
      <c r="H13" s="6">
        <f t="shared" si="2"/>
        <v>0</v>
      </c>
      <c r="I13" s="5">
        <f t="shared" si="3"/>
        <v>185</v>
      </c>
      <c r="J13" s="7" t="s">
        <v>3841</v>
      </c>
      <c r="L13" s="41">
        <v>46237</v>
      </c>
      <c r="M13" s="42" t="s">
        <v>3686</v>
      </c>
      <c r="N13" s="48">
        <v>185</v>
      </c>
      <c r="O13" s="49"/>
      <c r="P13" s="48">
        <v>1438618</v>
      </c>
      <c r="Q13" s="42" t="s">
        <v>1130</v>
      </c>
    </row>
    <row r="14" spans="1:17" ht="16.5" customHeight="1" thickBot="1">
      <c r="A14" s="7" t="s">
        <v>162</v>
      </c>
      <c r="B14" s="3">
        <f t="shared" si="0"/>
        <v>46237</v>
      </c>
      <c r="C14" s="4" t="str">
        <f t="shared" si="1"/>
        <v>デビット ８４４３３４</v>
      </c>
      <c r="E14" s="7" t="s">
        <v>478</v>
      </c>
      <c r="F14" s="7" t="s">
        <v>1129</v>
      </c>
      <c r="G14" s="7" t="s">
        <v>360</v>
      </c>
      <c r="H14" s="6">
        <f t="shared" si="2"/>
        <v>0</v>
      </c>
      <c r="I14" s="5">
        <f t="shared" si="3"/>
        <v>185</v>
      </c>
      <c r="J14" s="7" t="s">
        <v>3841</v>
      </c>
      <c r="L14" s="38">
        <v>46237</v>
      </c>
      <c r="M14" s="39" t="s">
        <v>3687</v>
      </c>
      <c r="N14" s="46">
        <v>185</v>
      </c>
      <c r="O14" s="47"/>
      <c r="P14" s="46">
        <v>1438433</v>
      </c>
      <c r="Q14" s="39" t="s">
        <v>1130</v>
      </c>
    </row>
    <row r="15" spans="1:17" ht="16.5" customHeight="1" thickBot="1">
      <c r="A15" s="7" t="s">
        <v>162</v>
      </c>
      <c r="B15" s="3">
        <f t="shared" si="0"/>
        <v>46237</v>
      </c>
      <c r="C15" s="4" t="str">
        <f t="shared" si="1"/>
        <v>デビット ８４５１９６</v>
      </c>
      <c r="E15" s="7" t="s">
        <v>478</v>
      </c>
      <c r="F15" s="7" t="s">
        <v>1129</v>
      </c>
      <c r="G15" s="7" t="s">
        <v>360</v>
      </c>
      <c r="H15" s="6">
        <f t="shared" si="2"/>
        <v>0</v>
      </c>
      <c r="I15" s="5">
        <f t="shared" si="3"/>
        <v>185</v>
      </c>
      <c r="J15" s="7" t="s">
        <v>3841</v>
      </c>
      <c r="L15" s="41">
        <v>46237</v>
      </c>
      <c r="M15" s="42" t="s">
        <v>3688</v>
      </c>
      <c r="N15" s="48">
        <v>185</v>
      </c>
      <c r="O15" s="49"/>
      <c r="P15" s="48">
        <v>1438248</v>
      </c>
      <c r="Q15" s="42" t="s">
        <v>1130</v>
      </c>
    </row>
    <row r="16" spans="1:17" ht="16.5" customHeight="1" thickBot="1">
      <c r="A16" s="7" t="s">
        <v>162</v>
      </c>
      <c r="B16" s="3">
        <f t="shared" si="0"/>
        <v>46237</v>
      </c>
      <c r="C16" s="4" t="str">
        <f t="shared" si="1"/>
        <v>デビット ８４５８３０</v>
      </c>
      <c r="E16" s="7" t="s">
        <v>478</v>
      </c>
      <c r="F16" s="7" t="s">
        <v>1129</v>
      </c>
      <c r="G16" s="7" t="s">
        <v>360</v>
      </c>
      <c r="H16" s="6">
        <f t="shared" si="2"/>
        <v>0</v>
      </c>
      <c r="I16" s="5">
        <f t="shared" si="3"/>
        <v>185</v>
      </c>
      <c r="J16" s="7" t="s">
        <v>3841</v>
      </c>
      <c r="L16" s="38">
        <v>46237</v>
      </c>
      <c r="M16" s="39" t="s">
        <v>3689</v>
      </c>
      <c r="N16" s="46">
        <v>185</v>
      </c>
      <c r="O16" s="47"/>
      <c r="P16" s="46">
        <v>1438063</v>
      </c>
      <c r="Q16" s="39" t="s">
        <v>1130</v>
      </c>
    </row>
    <row r="17" spans="1:17" ht="16.5" customHeight="1" thickBot="1">
      <c r="A17" s="7" t="s">
        <v>162</v>
      </c>
      <c r="B17" s="3">
        <f t="shared" si="0"/>
        <v>46237</v>
      </c>
      <c r="C17" s="4" t="str">
        <f t="shared" si="1"/>
        <v>デビット ８４６７０７</v>
      </c>
      <c r="E17" s="7" t="s">
        <v>478</v>
      </c>
      <c r="F17" s="7" t="s">
        <v>1129</v>
      </c>
      <c r="G17" s="7" t="s">
        <v>360</v>
      </c>
      <c r="H17" s="6">
        <f t="shared" si="2"/>
        <v>0</v>
      </c>
      <c r="I17" s="5">
        <f t="shared" si="3"/>
        <v>185</v>
      </c>
      <c r="J17" s="7" t="s">
        <v>3841</v>
      </c>
      <c r="L17" s="41">
        <v>46237</v>
      </c>
      <c r="M17" s="42" t="s">
        <v>3690</v>
      </c>
      <c r="N17" s="48">
        <v>185</v>
      </c>
      <c r="O17" s="49"/>
      <c r="P17" s="48">
        <v>1437878</v>
      </c>
      <c r="Q17" s="42" t="s">
        <v>1130</v>
      </c>
    </row>
    <row r="18" spans="1:17" ht="16.5" customHeight="1" thickBot="1">
      <c r="A18" s="7" t="s">
        <v>162</v>
      </c>
      <c r="B18" s="3">
        <f t="shared" si="0"/>
        <v>46237</v>
      </c>
      <c r="C18" s="4" t="str">
        <f t="shared" si="1"/>
        <v>デビット ８５４１１４</v>
      </c>
      <c r="E18" s="7" t="s">
        <v>478</v>
      </c>
      <c r="F18" s="7" t="s">
        <v>1129</v>
      </c>
      <c r="G18" s="7" t="s">
        <v>360</v>
      </c>
      <c r="H18" s="6">
        <f t="shared" si="2"/>
        <v>0</v>
      </c>
      <c r="I18" s="5">
        <f t="shared" si="3"/>
        <v>185</v>
      </c>
      <c r="J18" s="7" t="s">
        <v>3841</v>
      </c>
      <c r="L18" s="38">
        <v>46237</v>
      </c>
      <c r="M18" s="39" t="s">
        <v>3691</v>
      </c>
      <c r="N18" s="46">
        <v>185</v>
      </c>
      <c r="O18" s="47"/>
      <c r="P18" s="46">
        <v>1437693</v>
      </c>
      <c r="Q18" s="39" t="s">
        <v>1130</v>
      </c>
    </row>
    <row r="19" spans="1:17" ht="16.5" customHeight="1" thickBot="1">
      <c r="A19" s="7" t="s">
        <v>162</v>
      </c>
      <c r="B19" s="3">
        <f t="shared" si="0"/>
        <v>46237</v>
      </c>
      <c r="C19" s="4" t="str">
        <f t="shared" si="1"/>
        <v>デビット ８５４４４２</v>
      </c>
      <c r="E19" s="7" t="s">
        <v>478</v>
      </c>
      <c r="F19" s="7" t="s">
        <v>1129</v>
      </c>
      <c r="G19" s="7" t="s">
        <v>360</v>
      </c>
      <c r="H19" s="6">
        <f t="shared" si="2"/>
        <v>0</v>
      </c>
      <c r="I19" s="5">
        <f t="shared" si="3"/>
        <v>185</v>
      </c>
      <c r="J19" s="7" t="s">
        <v>3841</v>
      </c>
      <c r="L19" s="41">
        <v>46237</v>
      </c>
      <c r="M19" s="42" t="s">
        <v>3692</v>
      </c>
      <c r="N19" s="48">
        <v>185</v>
      </c>
      <c r="O19" s="49"/>
      <c r="P19" s="48">
        <v>1437508</v>
      </c>
      <c r="Q19" s="42" t="s">
        <v>1130</v>
      </c>
    </row>
    <row r="20" spans="1:17" ht="16.5" customHeight="1" thickBot="1">
      <c r="A20" s="7" t="s">
        <v>162</v>
      </c>
      <c r="B20" s="3">
        <f t="shared" si="0"/>
        <v>46237</v>
      </c>
      <c r="C20" s="4" t="str">
        <f t="shared" si="1"/>
        <v>デビット ８５５３３２</v>
      </c>
      <c r="E20" s="7" t="s">
        <v>478</v>
      </c>
      <c r="F20" s="7" t="s">
        <v>1129</v>
      </c>
      <c r="G20" s="7" t="s">
        <v>360</v>
      </c>
      <c r="H20" s="6">
        <f t="shared" si="2"/>
        <v>0</v>
      </c>
      <c r="I20" s="5">
        <f t="shared" si="3"/>
        <v>185</v>
      </c>
      <c r="J20" s="7" t="s">
        <v>3841</v>
      </c>
      <c r="L20" s="38">
        <v>46237</v>
      </c>
      <c r="M20" s="39" t="s">
        <v>3693</v>
      </c>
      <c r="N20" s="46">
        <v>185</v>
      </c>
      <c r="O20" s="47"/>
      <c r="P20" s="46">
        <v>1437323</v>
      </c>
      <c r="Q20" s="39" t="s">
        <v>1130</v>
      </c>
    </row>
    <row r="21" spans="1:17" ht="16.5" customHeight="1" thickBot="1">
      <c r="A21" s="7" t="s">
        <v>162</v>
      </c>
      <c r="B21" s="3">
        <f t="shared" si="0"/>
        <v>46237</v>
      </c>
      <c r="C21" s="4" t="str">
        <f t="shared" si="1"/>
        <v>デビット ８５５９１９</v>
      </c>
      <c r="E21" s="7" t="s">
        <v>478</v>
      </c>
      <c r="F21" s="7" t="s">
        <v>1129</v>
      </c>
      <c r="G21" s="7" t="s">
        <v>360</v>
      </c>
      <c r="H21" s="6">
        <f t="shared" si="2"/>
        <v>0</v>
      </c>
      <c r="I21" s="5">
        <f t="shared" si="3"/>
        <v>185</v>
      </c>
      <c r="J21" s="7" t="s">
        <v>3841</v>
      </c>
      <c r="L21" s="41">
        <v>46237</v>
      </c>
      <c r="M21" s="42" t="s">
        <v>3694</v>
      </c>
      <c r="N21" s="48">
        <v>185</v>
      </c>
      <c r="O21" s="49"/>
      <c r="P21" s="48">
        <v>1437138</v>
      </c>
      <c r="Q21" s="42" t="s">
        <v>1130</v>
      </c>
    </row>
    <row r="22" spans="1:17" ht="32.25" customHeight="1" thickBot="1">
      <c r="A22" s="7" t="s">
        <v>162</v>
      </c>
      <c r="B22" s="3">
        <f t="shared" si="0"/>
        <v>46238</v>
      </c>
      <c r="C22" s="4" t="str">
        <f t="shared" si="1"/>
        <v>デビット ０７２９８７</v>
      </c>
      <c r="E22" s="7" t="s">
        <v>478</v>
      </c>
      <c r="F22" s="7" t="s">
        <v>1129</v>
      </c>
      <c r="G22" s="7" t="s">
        <v>360</v>
      </c>
      <c r="H22" s="6">
        <f t="shared" si="2"/>
        <v>0</v>
      </c>
      <c r="I22" s="5">
        <f t="shared" si="3"/>
        <v>185</v>
      </c>
      <c r="J22" s="7" t="s">
        <v>3841</v>
      </c>
      <c r="L22" s="38">
        <v>46238</v>
      </c>
      <c r="M22" s="39" t="s">
        <v>3695</v>
      </c>
      <c r="N22" s="47">
        <v>185</v>
      </c>
      <c r="O22" s="46"/>
      <c r="P22" s="46">
        <v>1436953</v>
      </c>
      <c r="Q22" s="39" t="s">
        <v>1130</v>
      </c>
    </row>
    <row r="23" spans="1:17" ht="16.5" customHeight="1" thickBot="1">
      <c r="A23" s="7" t="s">
        <v>162</v>
      </c>
      <c r="B23" s="3">
        <f t="shared" si="0"/>
        <v>46238</v>
      </c>
      <c r="C23" s="4" t="str">
        <f t="shared" si="1"/>
        <v>デビット ０７３３８６</v>
      </c>
      <c r="E23" s="7" t="s">
        <v>478</v>
      </c>
      <c r="F23" s="7" t="s">
        <v>1129</v>
      </c>
      <c r="G23" s="7" t="s">
        <v>360</v>
      </c>
      <c r="H23" s="6">
        <f t="shared" si="2"/>
        <v>0</v>
      </c>
      <c r="I23" s="5">
        <f t="shared" si="3"/>
        <v>185</v>
      </c>
      <c r="J23" s="7" t="s">
        <v>3841</v>
      </c>
      <c r="L23" s="41">
        <v>46238</v>
      </c>
      <c r="M23" s="42" t="s">
        <v>3696</v>
      </c>
      <c r="N23" s="49">
        <v>185</v>
      </c>
      <c r="O23" s="48"/>
      <c r="P23" s="48">
        <v>1436768</v>
      </c>
      <c r="Q23" s="42" t="s">
        <v>1130</v>
      </c>
    </row>
    <row r="24" spans="1:17" ht="16.5" customHeight="1" thickBot="1">
      <c r="A24" s="7" t="s">
        <v>162</v>
      </c>
      <c r="B24" s="3">
        <f t="shared" si="0"/>
        <v>46238</v>
      </c>
      <c r="C24" s="4" t="str">
        <f t="shared" si="1"/>
        <v>デビット ０７４４４６</v>
      </c>
      <c r="E24" s="7" t="s">
        <v>478</v>
      </c>
      <c r="F24" s="7" t="s">
        <v>1129</v>
      </c>
      <c r="G24" s="7" t="s">
        <v>360</v>
      </c>
      <c r="H24" s="6">
        <f t="shared" si="2"/>
        <v>0</v>
      </c>
      <c r="I24" s="5">
        <f t="shared" si="3"/>
        <v>185</v>
      </c>
      <c r="J24" s="7" t="s">
        <v>3841</v>
      </c>
      <c r="L24" s="38">
        <v>46238</v>
      </c>
      <c r="M24" s="39" t="s">
        <v>3697</v>
      </c>
      <c r="N24" s="46">
        <v>185</v>
      </c>
      <c r="O24" s="47"/>
      <c r="P24" s="46">
        <v>1436583</v>
      </c>
      <c r="Q24" s="39" t="s">
        <v>1130</v>
      </c>
    </row>
    <row r="25" spans="1:17" ht="16.5" customHeight="1" thickBot="1">
      <c r="A25" s="7" t="s">
        <v>162</v>
      </c>
      <c r="B25" s="3">
        <f t="shared" si="0"/>
        <v>46238</v>
      </c>
      <c r="C25" s="4" t="str">
        <f t="shared" si="1"/>
        <v>デビット ０７４９３４</v>
      </c>
      <c r="E25" s="7" t="s">
        <v>478</v>
      </c>
      <c r="F25" s="7" t="s">
        <v>1129</v>
      </c>
      <c r="G25" s="7" t="s">
        <v>360</v>
      </c>
      <c r="H25" s="6">
        <f t="shared" si="2"/>
        <v>0</v>
      </c>
      <c r="I25" s="5">
        <f t="shared" si="3"/>
        <v>185</v>
      </c>
      <c r="J25" s="7" t="s">
        <v>3841</v>
      </c>
      <c r="L25" s="41">
        <v>46238</v>
      </c>
      <c r="M25" s="42" t="s">
        <v>3698</v>
      </c>
      <c r="N25" s="48">
        <v>185</v>
      </c>
      <c r="O25" s="49"/>
      <c r="P25" s="48">
        <v>1436398</v>
      </c>
      <c r="Q25" s="42" t="s">
        <v>1130</v>
      </c>
    </row>
    <row r="26" spans="1:17" ht="32.25" customHeight="1" thickBot="1">
      <c r="A26" s="7" t="s">
        <v>162</v>
      </c>
      <c r="B26" s="3">
        <f t="shared" si="0"/>
        <v>46238</v>
      </c>
      <c r="C26" s="4" t="str">
        <f t="shared" si="1"/>
        <v>デビット ０７８３４２</v>
      </c>
      <c r="E26" s="7" t="s">
        <v>478</v>
      </c>
      <c r="F26" s="7" t="s">
        <v>1129</v>
      </c>
      <c r="G26" s="7" t="s">
        <v>360</v>
      </c>
      <c r="H26" s="6">
        <f t="shared" si="2"/>
        <v>0</v>
      </c>
      <c r="I26" s="5">
        <f t="shared" si="3"/>
        <v>185</v>
      </c>
      <c r="J26" s="7" t="s">
        <v>3841</v>
      </c>
      <c r="L26" s="38">
        <v>46238</v>
      </c>
      <c r="M26" s="39" t="s">
        <v>3699</v>
      </c>
      <c r="N26" s="47">
        <v>185</v>
      </c>
      <c r="O26" s="46"/>
      <c r="P26" s="46">
        <v>1436213</v>
      </c>
      <c r="Q26" s="39" t="s">
        <v>1130</v>
      </c>
    </row>
    <row r="27" spans="1:17" ht="16.5" customHeight="1" thickBot="1">
      <c r="A27" s="7" t="s">
        <v>162</v>
      </c>
      <c r="B27" s="3">
        <f t="shared" si="0"/>
        <v>46238</v>
      </c>
      <c r="C27" s="4" t="str">
        <f t="shared" si="1"/>
        <v>デビット ０７８５７９</v>
      </c>
      <c r="E27" s="7" t="s">
        <v>478</v>
      </c>
      <c r="F27" s="7" t="s">
        <v>1129</v>
      </c>
      <c r="G27" s="7" t="s">
        <v>360</v>
      </c>
      <c r="H27" s="6">
        <f t="shared" si="2"/>
        <v>0</v>
      </c>
      <c r="I27" s="5">
        <f t="shared" si="3"/>
        <v>185</v>
      </c>
      <c r="J27" s="7" t="s">
        <v>3841</v>
      </c>
      <c r="L27" s="41">
        <v>46238</v>
      </c>
      <c r="M27" s="42" t="s">
        <v>3700</v>
      </c>
      <c r="N27" s="48">
        <v>185</v>
      </c>
      <c r="O27" s="49"/>
      <c r="P27" s="48">
        <v>1436028</v>
      </c>
      <c r="Q27" s="42" t="s">
        <v>1130</v>
      </c>
    </row>
    <row r="28" spans="1:17" ht="16.5" customHeight="1" thickBot="1">
      <c r="A28" s="7" t="s">
        <v>162</v>
      </c>
      <c r="B28" s="3">
        <f t="shared" si="0"/>
        <v>46239</v>
      </c>
      <c r="C28" s="4" t="str">
        <f t="shared" si="1"/>
        <v>デビット ３０９９８６</v>
      </c>
      <c r="E28" s="7" t="s">
        <v>478</v>
      </c>
      <c r="F28" s="7" t="s">
        <v>1129</v>
      </c>
      <c r="G28" s="7" t="s">
        <v>360</v>
      </c>
      <c r="H28" s="6">
        <f t="shared" si="2"/>
        <v>0</v>
      </c>
      <c r="I28" s="5">
        <f t="shared" si="3"/>
        <v>185</v>
      </c>
      <c r="J28" s="7" t="s">
        <v>3841</v>
      </c>
      <c r="L28" s="38">
        <v>46239</v>
      </c>
      <c r="M28" s="39" t="s">
        <v>3701</v>
      </c>
      <c r="N28" s="46">
        <v>185</v>
      </c>
      <c r="O28" s="47"/>
      <c r="P28" s="46">
        <v>1435843</v>
      </c>
      <c r="Q28" s="39"/>
    </row>
    <row r="29" spans="1:17" ht="16.5" customHeight="1" thickBot="1">
      <c r="A29" s="7" t="s">
        <v>162</v>
      </c>
      <c r="B29" s="3">
        <f t="shared" si="0"/>
        <v>46239</v>
      </c>
      <c r="C29" s="4" t="str">
        <f t="shared" si="1"/>
        <v>デビット ３３１９０９</v>
      </c>
      <c r="E29" s="7" t="s">
        <v>478</v>
      </c>
      <c r="F29" s="7" t="s">
        <v>1129</v>
      </c>
      <c r="G29" s="7" t="s">
        <v>360</v>
      </c>
      <c r="H29" s="6">
        <f t="shared" si="2"/>
        <v>0</v>
      </c>
      <c r="I29" s="5">
        <f t="shared" si="3"/>
        <v>185</v>
      </c>
      <c r="J29" s="7" t="s">
        <v>3841</v>
      </c>
      <c r="L29" s="41">
        <v>46239</v>
      </c>
      <c r="M29" s="42" t="s">
        <v>3702</v>
      </c>
      <c r="N29" s="48">
        <v>185</v>
      </c>
      <c r="O29" s="49"/>
      <c r="P29" s="48">
        <v>1435658</v>
      </c>
      <c r="Q29" s="42"/>
    </row>
    <row r="30" spans="1:17" ht="32.25" customHeight="1" thickBot="1">
      <c r="A30" s="7" t="s">
        <v>162</v>
      </c>
      <c r="B30" s="3">
        <f t="shared" si="0"/>
        <v>46239</v>
      </c>
      <c r="C30" s="4" t="str">
        <f t="shared" si="1"/>
        <v>デビット ３３２５９４</v>
      </c>
      <c r="E30" s="7" t="s">
        <v>478</v>
      </c>
      <c r="F30" s="7" t="s">
        <v>1129</v>
      </c>
      <c r="G30" s="7" t="s">
        <v>360</v>
      </c>
      <c r="H30" s="6">
        <f t="shared" si="2"/>
        <v>0</v>
      </c>
      <c r="I30" s="5">
        <f t="shared" si="3"/>
        <v>185</v>
      </c>
      <c r="J30" s="7" t="s">
        <v>3841</v>
      </c>
      <c r="L30" s="38">
        <v>46239</v>
      </c>
      <c r="M30" s="39" t="s">
        <v>3703</v>
      </c>
      <c r="N30" s="46">
        <v>185</v>
      </c>
      <c r="O30" s="47"/>
      <c r="P30" s="46">
        <v>1435473</v>
      </c>
      <c r="Q30" s="39"/>
    </row>
    <row r="31" spans="1:17" ht="16.5" customHeight="1" thickBot="1">
      <c r="A31" s="7" t="s">
        <v>162</v>
      </c>
      <c r="B31" s="3">
        <f t="shared" si="0"/>
        <v>46240</v>
      </c>
      <c r="C31" s="4" t="str">
        <f t="shared" si="1"/>
        <v>デビット ５８９４５６</v>
      </c>
      <c r="E31" s="7" t="s">
        <v>478</v>
      </c>
      <c r="F31" s="7" t="s">
        <v>1129</v>
      </c>
      <c r="G31" s="7" t="s">
        <v>360</v>
      </c>
      <c r="H31" s="6">
        <f t="shared" si="2"/>
        <v>0</v>
      </c>
      <c r="I31" s="5">
        <f t="shared" si="3"/>
        <v>185</v>
      </c>
      <c r="J31" s="7" t="s">
        <v>3841</v>
      </c>
      <c r="L31" s="41">
        <v>46240</v>
      </c>
      <c r="M31" s="42" t="s">
        <v>3704</v>
      </c>
      <c r="N31" s="48">
        <v>185</v>
      </c>
      <c r="O31" s="49"/>
      <c r="P31" s="48">
        <v>1435288</v>
      </c>
      <c r="Q31" s="42"/>
    </row>
    <row r="32" spans="1:17" ht="16.5" customHeight="1" thickBot="1">
      <c r="A32" s="7" t="s">
        <v>162</v>
      </c>
      <c r="B32" s="3">
        <f t="shared" si="0"/>
        <v>46240</v>
      </c>
      <c r="C32" s="4" t="str">
        <f t="shared" si="1"/>
        <v>デビット ５９０３５６</v>
      </c>
      <c r="E32" s="7" t="s">
        <v>478</v>
      </c>
      <c r="F32" s="7" t="s">
        <v>1129</v>
      </c>
      <c r="G32" s="7" t="s">
        <v>360</v>
      </c>
      <c r="H32" s="6">
        <f t="shared" si="2"/>
        <v>0</v>
      </c>
      <c r="I32" s="5">
        <f t="shared" si="3"/>
        <v>185</v>
      </c>
      <c r="J32" s="7" t="s">
        <v>3841</v>
      </c>
      <c r="L32" s="38">
        <v>46240</v>
      </c>
      <c r="M32" s="39" t="s">
        <v>3705</v>
      </c>
      <c r="N32" s="46">
        <v>185</v>
      </c>
      <c r="O32" s="47"/>
      <c r="P32" s="46">
        <v>1435103</v>
      </c>
      <c r="Q32" s="39"/>
    </row>
    <row r="33" spans="1:17" ht="16.5" customHeight="1" thickBot="1">
      <c r="A33" s="7" t="s">
        <v>162</v>
      </c>
      <c r="B33" s="3">
        <f t="shared" si="0"/>
        <v>46240</v>
      </c>
      <c r="C33" s="4" t="str">
        <f t="shared" si="1"/>
        <v>デビット ５９１０３３</v>
      </c>
      <c r="E33" s="7" t="s">
        <v>478</v>
      </c>
      <c r="F33" s="7" t="s">
        <v>1129</v>
      </c>
      <c r="G33" s="7" t="s">
        <v>360</v>
      </c>
      <c r="H33" s="6">
        <f t="shared" si="2"/>
        <v>0</v>
      </c>
      <c r="I33" s="5">
        <f t="shared" si="3"/>
        <v>185</v>
      </c>
      <c r="J33" s="7" t="s">
        <v>3841</v>
      </c>
      <c r="L33" s="41">
        <v>46240</v>
      </c>
      <c r="M33" s="42" t="s">
        <v>3706</v>
      </c>
      <c r="N33" s="48">
        <v>185</v>
      </c>
      <c r="O33" s="49"/>
      <c r="P33" s="48">
        <v>1434918</v>
      </c>
      <c r="Q33" s="42"/>
    </row>
    <row r="34" spans="1:17" ht="16.5" customHeight="1" thickBot="1">
      <c r="A34" s="7" t="s">
        <v>162</v>
      </c>
      <c r="B34" s="3">
        <f t="shared" si="0"/>
        <v>46240</v>
      </c>
      <c r="C34" s="4" t="str">
        <f t="shared" si="1"/>
        <v>デビット ６０９３０９</v>
      </c>
      <c r="E34" s="7" t="s">
        <v>478</v>
      </c>
      <c r="F34" s="7" t="s">
        <v>1129</v>
      </c>
      <c r="G34" s="7" t="s">
        <v>360</v>
      </c>
      <c r="H34" s="6">
        <f t="shared" si="2"/>
        <v>0</v>
      </c>
      <c r="I34" s="5">
        <f t="shared" si="3"/>
        <v>185</v>
      </c>
      <c r="J34" s="7" t="s">
        <v>3841</v>
      </c>
      <c r="L34" s="38">
        <v>46240</v>
      </c>
      <c r="M34" s="39" t="s">
        <v>3707</v>
      </c>
      <c r="N34" s="46">
        <v>185</v>
      </c>
      <c r="O34" s="47"/>
      <c r="P34" s="46">
        <v>1434733</v>
      </c>
      <c r="Q34" s="39"/>
    </row>
    <row r="35" spans="1:17" ht="16.5" customHeight="1" thickBot="1">
      <c r="A35" s="7" t="s">
        <v>162</v>
      </c>
      <c r="B35" s="3">
        <f t="shared" si="0"/>
        <v>46240</v>
      </c>
      <c r="C35" s="4" t="str">
        <f t="shared" si="1"/>
        <v>デビット ６２３２５２</v>
      </c>
      <c r="E35" s="7" t="s">
        <v>478</v>
      </c>
      <c r="F35" s="7" t="s">
        <v>1129</v>
      </c>
      <c r="G35" s="7" t="s">
        <v>360</v>
      </c>
      <c r="H35" s="6">
        <f t="shared" si="2"/>
        <v>0</v>
      </c>
      <c r="I35" s="5">
        <f t="shared" si="3"/>
        <v>185</v>
      </c>
      <c r="J35" s="7" t="s">
        <v>3841</v>
      </c>
      <c r="L35" s="41">
        <v>46240</v>
      </c>
      <c r="M35" s="42" t="s">
        <v>3708</v>
      </c>
      <c r="N35" s="48">
        <v>185</v>
      </c>
      <c r="O35" s="49"/>
      <c r="P35" s="48">
        <v>1434548</v>
      </c>
      <c r="Q35" s="42"/>
    </row>
    <row r="36" spans="1:17" ht="16.5" customHeight="1" thickBot="1">
      <c r="A36" s="7" t="s">
        <v>162</v>
      </c>
      <c r="B36" s="3">
        <f t="shared" si="0"/>
        <v>46240</v>
      </c>
      <c r="C36" s="4" t="str">
        <f t="shared" si="1"/>
        <v>デビット ６３２６００</v>
      </c>
      <c r="E36" s="7" t="s">
        <v>478</v>
      </c>
      <c r="F36" s="7" t="s">
        <v>1129</v>
      </c>
      <c r="G36" s="7" t="s">
        <v>360</v>
      </c>
      <c r="H36" s="6">
        <f t="shared" si="2"/>
        <v>0</v>
      </c>
      <c r="I36" s="5">
        <f t="shared" si="3"/>
        <v>185</v>
      </c>
      <c r="J36" s="7" t="s">
        <v>3841</v>
      </c>
      <c r="L36" s="38">
        <v>46240</v>
      </c>
      <c r="M36" s="39" t="s">
        <v>3709</v>
      </c>
      <c r="N36" s="46">
        <v>185</v>
      </c>
      <c r="O36" s="47"/>
      <c r="P36" s="46">
        <v>1434363</v>
      </c>
      <c r="Q36" s="39"/>
    </row>
    <row r="37" spans="1:17" ht="32.25" customHeight="1" thickBot="1">
      <c r="A37" s="7" t="s">
        <v>162</v>
      </c>
      <c r="B37" s="3">
        <f t="shared" si="0"/>
        <v>46240</v>
      </c>
      <c r="C37" s="4" t="str">
        <f t="shared" si="1"/>
        <v>デビット ６３４１１１</v>
      </c>
      <c r="E37" s="7" t="s">
        <v>478</v>
      </c>
      <c r="F37" s="7" t="s">
        <v>1129</v>
      </c>
      <c r="G37" s="7" t="s">
        <v>360</v>
      </c>
      <c r="H37" s="6">
        <f t="shared" si="2"/>
        <v>0</v>
      </c>
      <c r="I37" s="5">
        <f t="shared" si="3"/>
        <v>185</v>
      </c>
      <c r="J37" s="7" t="s">
        <v>3841</v>
      </c>
      <c r="L37" s="41">
        <v>46240</v>
      </c>
      <c r="M37" s="42" t="s">
        <v>3710</v>
      </c>
      <c r="N37" s="48">
        <v>185</v>
      </c>
      <c r="O37" s="49"/>
      <c r="P37" s="48">
        <v>1434178</v>
      </c>
      <c r="Q37" s="42"/>
    </row>
    <row r="38" spans="1:17" ht="16.5" customHeight="1" thickBot="1">
      <c r="A38" s="7" t="s">
        <v>162</v>
      </c>
      <c r="B38" s="3">
        <f t="shared" si="0"/>
        <v>46240</v>
      </c>
      <c r="C38" s="4" t="str">
        <f t="shared" si="1"/>
        <v>デビット ６３６７０７</v>
      </c>
      <c r="E38" s="7" t="s">
        <v>478</v>
      </c>
      <c r="F38" s="7" t="s">
        <v>1129</v>
      </c>
      <c r="G38" s="7" t="s">
        <v>360</v>
      </c>
      <c r="H38" s="6">
        <f t="shared" si="2"/>
        <v>0</v>
      </c>
      <c r="I38" s="5">
        <f t="shared" si="3"/>
        <v>185</v>
      </c>
      <c r="J38" s="7" t="s">
        <v>3841</v>
      </c>
      <c r="L38" s="38">
        <v>46240</v>
      </c>
      <c r="M38" s="39" t="s">
        <v>3711</v>
      </c>
      <c r="N38" s="46">
        <v>185</v>
      </c>
      <c r="O38" s="47"/>
      <c r="P38" s="46">
        <v>1433993</v>
      </c>
      <c r="Q38" s="39"/>
    </row>
    <row r="39" spans="1:17" ht="16.5" customHeight="1" thickBot="1">
      <c r="A39" s="7" t="s">
        <v>162</v>
      </c>
      <c r="B39" s="3">
        <f t="shared" si="0"/>
        <v>46240</v>
      </c>
      <c r="C39" s="4" t="str">
        <f t="shared" si="1"/>
        <v>デビット ６３７２６１</v>
      </c>
      <c r="E39" s="7" t="s">
        <v>478</v>
      </c>
      <c r="F39" s="7" t="s">
        <v>1129</v>
      </c>
      <c r="G39" s="7" t="s">
        <v>360</v>
      </c>
      <c r="H39" s="6">
        <f t="shared" si="2"/>
        <v>0</v>
      </c>
      <c r="I39" s="5">
        <f t="shared" si="3"/>
        <v>185</v>
      </c>
      <c r="J39" s="7" t="s">
        <v>3841</v>
      </c>
      <c r="L39" s="41">
        <v>46240</v>
      </c>
      <c r="M39" s="42" t="s">
        <v>3712</v>
      </c>
      <c r="N39" s="48">
        <v>185</v>
      </c>
      <c r="O39" s="49"/>
      <c r="P39" s="48">
        <v>1433808</v>
      </c>
      <c r="Q39" s="42"/>
    </row>
    <row r="40" spans="1:17" ht="16.5" customHeight="1" thickBot="1">
      <c r="A40" s="7" t="s">
        <v>162</v>
      </c>
      <c r="B40" s="3">
        <f t="shared" si="0"/>
        <v>46240</v>
      </c>
      <c r="C40" s="4" t="str">
        <f t="shared" si="1"/>
        <v>取消＊デビット ８６０９５９</v>
      </c>
      <c r="E40" s="7" t="s">
        <v>478</v>
      </c>
      <c r="F40" s="7" t="s">
        <v>1129</v>
      </c>
      <c r="G40" s="7" t="s">
        <v>360</v>
      </c>
      <c r="H40" s="6">
        <f t="shared" si="2"/>
        <v>185</v>
      </c>
      <c r="I40" s="5">
        <f t="shared" si="3"/>
        <v>0</v>
      </c>
      <c r="J40" s="7" t="s">
        <v>3841</v>
      </c>
      <c r="L40" s="38">
        <v>46240</v>
      </c>
      <c r="M40" s="39" t="s">
        <v>3713</v>
      </c>
      <c r="N40" s="46"/>
      <c r="O40" s="47">
        <v>185</v>
      </c>
      <c r="P40" s="46">
        <v>1433993</v>
      </c>
      <c r="Q40" s="39"/>
    </row>
    <row r="41" spans="1:17" ht="32.25" customHeight="1" thickBot="1">
      <c r="A41" s="7" t="s">
        <v>162</v>
      </c>
      <c r="B41" s="3">
        <f t="shared" si="0"/>
        <v>46240</v>
      </c>
      <c r="C41" s="4" t="str">
        <f t="shared" si="1"/>
        <v>振込＊テキ（カ</v>
      </c>
      <c r="E41" s="7" t="s">
        <v>3863</v>
      </c>
      <c r="G41" s="7" t="s">
        <v>165</v>
      </c>
      <c r="H41" s="6">
        <f t="shared" si="2"/>
        <v>705651</v>
      </c>
      <c r="I41" s="5">
        <f t="shared" si="3"/>
        <v>0</v>
      </c>
      <c r="J41" s="7" t="s">
        <v>3862</v>
      </c>
      <c r="L41" s="41">
        <v>46240</v>
      </c>
      <c r="M41" s="42" t="s">
        <v>1140</v>
      </c>
      <c r="N41" s="49"/>
      <c r="O41" s="48">
        <v>705651</v>
      </c>
      <c r="P41" s="48">
        <v>2139644</v>
      </c>
      <c r="Q41" s="42"/>
    </row>
    <row r="42" spans="1:17" ht="32.25" customHeight="1" thickBot="1">
      <c r="A42" s="7" t="s">
        <v>162</v>
      </c>
      <c r="B42" s="3">
        <f t="shared" si="0"/>
        <v>46241</v>
      </c>
      <c r="C42" s="4" t="str">
        <f t="shared" si="1"/>
        <v>振込＊チヤン テイ マイ チユオン</v>
      </c>
      <c r="E42" s="7" t="s">
        <v>478</v>
      </c>
      <c r="F42" s="7" t="s">
        <v>1129</v>
      </c>
      <c r="G42" s="7" t="s">
        <v>360</v>
      </c>
      <c r="H42" s="6">
        <f t="shared" si="2"/>
        <v>0</v>
      </c>
      <c r="I42" s="5">
        <f t="shared" si="3"/>
        <v>93555</v>
      </c>
      <c r="J42" s="7" t="s">
        <v>3839</v>
      </c>
      <c r="L42" s="38">
        <v>46241</v>
      </c>
      <c r="M42" s="39" t="s">
        <v>1135</v>
      </c>
      <c r="N42" s="47">
        <v>93555</v>
      </c>
      <c r="O42" s="46"/>
      <c r="P42" s="46">
        <v>2046089</v>
      </c>
      <c r="Q42" s="39"/>
    </row>
    <row r="43" spans="1:17" ht="16.5" customHeight="1" thickBot="1">
      <c r="A43" s="7" t="s">
        <v>162</v>
      </c>
      <c r="B43" s="3">
        <f t="shared" si="0"/>
        <v>46241</v>
      </c>
      <c r="C43" s="4" t="str">
        <f t="shared" si="1"/>
        <v>振込手数料</v>
      </c>
      <c r="E43" s="7" t="s">
        <v>478</v>
      </c>
      <c r="F43" s="7" t="s">
        <v>1129</v>
      </c>
      <c r="G43" s="7" t="s">
        <v>360</v>
      </c>
      <c r="H43" s="6">
        <f t="shared" si="2"/>
        <v>0</v>
      </c>
      <c r="I43" s="5">
        <f t="shared" si="3"/>
        <v>140</v>
      </c>
      <c r="J43" s="7" t="s">
        <v>3840</v>
      </c>
      <c r="L43" s="41">
        <v>46241</v>
      </c>
      <c r="M43" s="42" t="s">
        <v>1136</v>
      </c>
      <c r="N43" s="48">
        <v>140</v>
      </c>
      <c r="O43" s="49"/>
      <c r="P43" s="48">
        <v>2045949</v>
      </c>
      <c r="Q43" s="42"/>
    </row>
    <row r="44" spans="1:17" ht="16.5" customHeight="1" thickBot="1">
      <c r="A44" s="7" t="s">
        <v>162</v>
      </c>
      <c r="B44" s="3">
        <f t="shared" si="0"/>
        <v>46241</v>
      </c>
      <c r="C44" s="4" t="str">
        <f t="shared" si="1"/>
        <v>デビット ８９２５６３</v>
      </c>
      <c r="E44" s="7" t="s">
        <v>478</v>
      </c>
      <c r="F44" s="7" t="s">
        <v>1129</v>
      </c>
      <c r="G44" s="7" t="s">
        <v>360</v>
      </c>
      <c r="H44" s="6">
        <f t="shared" si="2"/>
        <v>0</v>
      </c>
      <c r="I44" s="5">
        <f t="shared" si="3"/>
        <v>185</v>
      </c>
      <c r="J44" s="7" t="s">
        <v>3841</v>
      </c>
      <c r="L44" s="38">
        <v>46241</v>
      </c>
      <c r="M44" s="39" t="s">
        <v>3714</v>
      </c>
      <c r="N44" s="46">
        <v>185</v>
      </c>
      <c r="O44" s="47"/>
      <c r="P44" s="46">
        <v>2045764</v>
      </c>
      <c r="Q44" s="39"/>
    </row>
    <row r="45" spans="1:17" ht="16.5" customHeight="1" thickBot="1">
      <c r="A45" s="7" t="s">
        <v>162</v>
      </c>
      <c r="B45" s="3">
        <f t="shared" si="0"/>
        <v>46241</v>
      </c>
      <c r="C45" s="4" t="str">
        <f t="shared" si="1"/>
        <v>デビット ８９９２８３</v>
      </c>
      <c r="E45" s="7" t="s">
        <v>478</v>
      </c>
      <c r="F45" s="7" t="s">
        <v>1129</v>
      </c>
      <c r="G45" s="7" t="s">
        <v>360</v>
      </c>
      <c r="H45" s="6">
        <f t="shared" si="2"/>
        <v>0</v>
      </c>
      <c r="I45" s="5">
        <f t="shared" si="3"/>
        <v>185</v>
      </c>
      <c r="J45" s="7" t="s">
        <v>3841</v>
      </c>
      <c r="L45" s="41">
        <v>46241</v>
      </c>
      <c r="M45" s="42" t="s">
        <v>3715</v>
      </c>
      <c r="N45" s="48">
        <v>185</v>
      </c>
      <c r="O45" s="49"/>
      <c r="P45" s="48">
        <v>2045579</v>
      </c>
      <c r="Q45" s="42"/>
    </row>
    <row r="46" spans="1:17" ht="16.5" customHeight="1" thickBot="1">
      <c r="A46" s="7" t="s">
        <v>162</v>
      </c>
      <c r="B46" s="3">
        <f t="shared" si="0"/>
        <v>46241</v>
      </c>
      <c r="C46" s="4" t="str">
        <f t="shared" si="1"/>
        <v>デビット ９００１１２</v>
      </c>
      <c r="E46" s="7" t="s">
        <v>478</v>
      </c>
      <c r="F46" s="7" t="s">
        <v>1129</v>
      </c>
      <c r="G46" s="7" t="s">
        <v>360</v>
      </c>
      <c r="H46" s="6">
        <f t="shared" si="2"/>
        <v>0</v>
      </c>
      <c r="I46" s="5">
        <f t="shared" si="3"/>
        <v>185</v>
      </c>
      <c r="J46" s="7" t="s">
        <v>3841</v>
      </c>
      <c r="L46" s="38">
        <v>46241</v>
      </c>
      <c r="M46" s="39" t="s">
        <v>3716</v>
      </c>
      <c r="N46" s="46">
        <v>185</v>
      </c>
      <c r="O46" s="47"/>
      <c r="P46" s="46">
        <v>2045394</v>
      </c>
      <c r="Q46" s="39"/>
    </row>
    <row r="47" spans="1:17" ht="16.5" customHeight="1" thickBot="1">
      <c r="A47" s="7" t="s">
        <v>162</v>
      </c>
      <c r="B47" s="3">
        <f t="shared" si="0"/>
        <v>46241</v>
      </c>
      <c r="C47" s="4" t="str">
        <f t="shared" si="1"/>
        <v>デビット ９４０２３０</v>
      </c>
      <c r="E47" s="7" t="s">
        <v>478</v>
      </c>
      <c r="F47" s="7" t="s">
        <v>1129</v>
      </c>
      <c r="G47" s="7" t="s">
        <v>360</v>
      </c>
      <c r="H47" s="6">
        <f t="shared" si="2"/>
        <v>0</v>
      </c>
      <c r="I47" s="5">
        <f t="shared" si="3"/>
        <v>185</v>
      </c>
      <c r="J47" s="7" t="s">
        <v>3841</v>
      </c>
      <c r="L47" s="41">
        <v>46241</v>
      </c>
      <c r="M47" s="42" t="s">
        <v>3717</v>
      </c>
      <c r="N47" s="48">
        <v>185</v>
      </c>
      <c r="O47" s="49"/>
      <c r="P47" s="48">
        <v>2045209</v>
      </c>
      <c r="Q47" s="42"/>
    </row>
    <row r="48" spans="1:17" ht="32.25" customHeight="1" thickBot="1">
      <c r="A48" s="7" t="s">
        <v>162</v>
      </c>
      <c r="B48" s="3">
        <f t="shared" si="0"/>
        <v>46241</v>
      </c>
      <c r="C48" s="4" t="str">
        <f t="shared" si="1"/>
        <v>デビット ９４１５３６</v>
      </c>
      <c r="E48" s="7" t="s">
        <v>478</v>
      </c>
      <c r="F48" s="7" t="s">
        <v>1129</v>
      </c>
      <c r="G48" s="7" t="s">
        <v>360</v>
      </c>
      <c r="H48" s="6">
        <f t="shared" si="2"/>
        <v>0</v>
      </c>
      <c r="I48" s="5">
        <f t="shared" si="3"/>
        <v>185</v>
      </c>
      <c r="J48" s="7" t="s">
        <v>3841</v>
      </c>
      <c r="L48" s="38">
        <v>46241</v>
      </c>
      <c r="M48" s="39" t="s">
        <v>3718</v>
      </c>
      <c r="N48" s="47">
        <v>185</v>
      </c>
      <c r="O48" s="46"/>
      <c r="P48" s="46">
        <v>2045024</v>
      </c>
      <c r="Q48" s="39"/>
    </row>
    <row r="49" spans="1:17" ht="16.5" customHeight="1" thickBot="1">
      <c r="A49" s="7" t="s">
        <v>162</v>
      </c>
      <c r="B49" s="3">
        <f t="shared" si="0"/>
        <v>46241</v>
      </c>
      <c r="C49" s="4" t="str">
        <f t="shared" si="1"/>
        <v>デビット ９４３４７３</v>
      </c>
      <c r="E49" s="7" t="s">
        <v>478</v>
      </c>
      <c r="F49" s="7" t="s">
        <v>1129</v>
      </c>
      <c r="G49" s="7" t="s">
        <v>360</v>
      </c>
      <c r="H49" s="6">
        <f t="shared" si="2"/>
        <v>0</v>
      </c>
      <c r="I49" s="5">
        <f t="shared" si="3"/>
        <v>185</v>
      </c>
      <c r="J49" s="7" t="s">
        <v>3841</v>
      </c>
      <c r="L49" s="41">
        <v>46241</v>
      </c>
      <c r="M49" s="42" t="s">
        <v>3719</v>
      </c>
      <c r="N49" s="48">
        <v>185</v>
      </c>
      <c r="O49" s="49"/>
      <c r="P49" s="48">
        <v>2044839</v>
      </c>
      <c r="Q49" s="42"/>
    </row>
    <row r="50" spans="1:17" ht="16.5" customHeight="1" thickBot="1">
      <c r="A50" s="7" t="s">
        <v>162</v>
      </c>
      <c r="B50" s="3">
        <f t="shared" si="0"/>
        <v>46241</v>
      </c>
      <c r="C50" s="4" t="str">
        <f t="shared" si="1"/>
        <v>デビット ９４４７２０</v>
      </c>
      <c r="E50" s="7" t="s">
        <v>478</v>
      </c>
      <c r="F50" s="7" t="s">
        <v>1129</v>
      </c>
      <c r="G50" s="7" t="s">
        <v>360</v>
      </c>
      <c r="H50" s="6">
        <f t="shared" si="2"/>
        <v>0</v>
      </c>
      <c r="I50" s="5">
        <f t="shared" si="3"/>
        <v>185</v>
      </c>
      <c r="J50" s="7" t="s">
        <v>3841</v>
      </c>
      <c r="L50" s="38">
        <v>46241</v>
      </c>
      <c r="M50" s="39" t="s">
        <v>3720</v>
      </c>
      <c r="N50" s="46">
        <v>185</v>
      </c>
      <c r="O50" s="47"/>
      <c r="P50" s="46">
        <v>2044654</v>
      </c>
      <c r="Q50" s="39"/>
    </row>
    <row r="51" spans="1:17" ht="16.5" customHeight="1" thickBot="1">
      <c r="A51" s="7" t="s">
        <v>162</v>
      </c>
      <c r="B51" s="3">
        <f t="shared" si="0"/>
        <v>46241</v>
      </c>
      <c r="C51" s="4" t="str">
        <f t="shared" si="1"/>
        <v>デビット ９４６０３７</v>
      </c>
      <c r="E51" s="7" t="s">
        <v>478</v>
      </c>
      <c r="F51" s="7" t="s">
        <v>1129</v>
      </c>
      <c r="G51" s="7" t="s">
        <v>360</v>
      </c>
      <c r="H51" s="6">
        <f t="shared" si="2"/>
        <v>0</v>
      </c>
      <c r="I51" s="5">
        <f t="shared" si="3"/>
        <v>185</v>
      </c>
      <c r="J51" s="7" t="s">
        <v>3841</v>
      </c>
      <c r="L51" s="41">
        <v>46241</v>
      </c>
      <c r="M51" s="42" t="s">
        <v>3721</v>
      </c>
      <c r="N51" s="48">
        <v>185</v>
      </c>
      <c r="O51" s="49"/>
      <c r="P51" s="48">
        <v>2044469</v>
      </c>
      <c r="Q51" s="42"/>
    </row>
    <row r="52" spans="1:17" ht="16.5" customHeight="1" thickBot="1">
      <c r="A52" s="7" t="s">
        <v>162</v>
      </c>
      <c r="B52" s="3">
        <f t="shared" si="0"/>
        <v>46241</v>
      </c>
      <c r="C52" s="4" t="str">
        <f t="shared" si="1"/>
        <v>デビット ９４７３４７</v>
      </c>
      <c r="E52" s="7" t="s">
        <v>478</v>
      </c>
      <c r="F52" s="7" t="s">
        <v>1129</v>
      </c>
      <c r="G52" s="7" t="s">
        <v>360</v>
      </c>
      <c r="H52" s="6">
        <f t="shared" si="2"/>
        <v>0</v>
      </c>
      <c r="I52" s="5">
        <f t="shared" si="3"/>
        <v>185</v>
      </c>
      <c r="J52" s="7" t="s">
        <v>3841</v>
      </c>
      <c r="L52" s="38">
        <v>46241</v>
      </c>
      <c r="M52" s="39" t="s">
        <v>3722</v>
      </c>
      <c r="N52" s="46">
        <v>185</v>
      </c>
      <c r="O52" s="47"/>
      <c r="P52" s="46">
        <v>2044284</v>
      </c>
      <c r="Q52" s="39"/>
    </row>
    <row r="53" spans="1:17" ht="16.5" customHeight="1" thickBot="1">
      <c r="A53" s="7" t="s">
        <v>162</v>
      </c>
      <c r="B53" s="3">
        <f t="shared" si="0"/>
        <v>46241</v>
      </c>
      <c r="C53" s="4" t="str">
        <f t="shared" si="1"/>
        <v>デビット ９５０３５９</v>
      </c>
      <c r="E53" s="7" t="s">
        <v>478</v>
      </c>
      <c r="F53" s="7" t="s">
        <v>1129</v>
      </c>
      <c r="G53" s="7" t="s">
        <v>360</v>
      </c>
      <c r="H53" s="6">
        <f t="shared" si="2"/>
        <v>0</v>
      </c>
      <c r="I53" s="5">
        <f t="shared" si="3"/>
        <v>185</v>
      </c>
      <c r="J53" s="7" t="s">
        <v>3841</v>
      </c>
      <c r="L53" s="41">
        <v>46241</v>
      </c>
      <c r="M53" s="42" t="s">
        <v>3723</v>
      </c>
      <c r="N53" s="48">
        <v>185</v>
      </c>
      <c r="O53" s="49"/>
      <c r="P53" s="48">
        <v>2044099</v>
      </c>
      <c r="Q53" s="42"/>
    </row>
    <row r="54" spans="1:17" ht="16.5" customHeight="1" thickBot="1">
      <c r="A54" s="7" t="s">
        <v>162</v>
      </c>
      <c r="B54" s="3">
        <f t="shared" si="0"/>
        <v>46241</v>
      </c>
      <c r="C54" s="4" t="str">
        <f t="shared" si="1"/>
        <v>デビット ０４１２３２</v>
      </c>
      <c r="E54" s="7" t="s">
        <v>478</v>
      </c>
      <c r="F54" s="7" t="s">
        <v>1129</v>
      </c>
      <c r="G54" s="7" t="s">
        <v>360</v>
      </c>
      <c r="H54" s="6">
        <f t="shared" si="2"/>
        <v>0</v>
      </c>
      <c r="I54" s="5">
        <f t="shared" si="3"/>
        <v>2424</v>
      </c>
      <c r="J54" s="7" t="s">
        <v>3841</v>
      </c>
      <c r="L54" s="38">
        <v>46241</v>
      </c>
      <c r="M54" s="39" t="s">
        <v>3724</v>
      </c>
      <c r="N54" s="46">
        <v>2424</v>
      </c>
      <c r="O54" s="47"/>
      <c r="P54" s="46">
        <v>2041675</v>
      </c>
      <c r="Q54" s="39"/>
    </row>
    <row r="55" spans="1:17" ht="16.5" customHeight="1" thickBot="1">
      <c r="A55" s="7" t="s">
        <v>162</v>
      </c>
      <c r="B55" s="3">
        <f t="shared" si="0"/>
        <v>46244</v>
      </c>
      <c r="C55" s="4" t="str">
        <f t="shared" si="1"/>
        <v>デビット ８３１１４４</v>
      </c>
      <c r="E55" s="7" t="s">
        <v>478</v>
      </c>
      <c r="F55" s="7" t="s">
        <v>1129</v>
      </c>
      <c r="G55" s="7" t="s">
        <v>360</v>
      </c>
      <c r="H55" s="6">
        <f t="shared" si="2"/>
        <v>0</v>
      </c>
      <c r="I55" s="5">
        <f t="shared" si="3"/>
        <v>185</v>
      </c>
      <c r="J55" s="7" t="s">
        <v>3841</v>
      </c>
      <c r="L55" s="41">
        <v>46244</v>
      </c>
      <c r="M55" s="42" t="s">
        <v>3725</v>
      </c>
      <c r="N55" s="49">
        <v>185</v>
      </c>
      <c r="O55" s="48"/>
      <c r="P55" s="48">
        <v>2139008</v>
      </c>
      <c r="Q55" s="42" t="s">
        <v>1130</v>
      </c>
    </row>
    <row r="56" spans="1:17" ht="16.5" customHeight="1" thickBot="1">
      <c r="A56" s="7" t="s">
        <v>162</v>
      </c>
      <c r="B56" s="3">
        <f t="shared" si="0"/>
        <v>46244</v>
      </c>
      <c r="C56" s="4" t="str">
        <f t="shared" si="1"/>
        <v>デビット ８３０５２３</v>
      </c>
      <c r="E56" s="7" t="s">
        <v>478</v>
      </c>
      <c r="F56" s="7" t="s">
        <v>1129</v>
      </c>
      <c r="G56" s="7" t="s">
        <v>360</v>
      </c>
      <c r="H56" s="6">
        <f t="shared" si="2"/>
        <v>0</v>
      </c>
      <c r="I56" s="5">
        <f t="shared" si="3"/>
        <v>185</v>
      </c>
      <c r="J56" s="7" t="s">
        <v>3841</v>
      </c>
      <c r="L56" s="38">
        <v>46244</v>
      </c>
      <c r="M56" s="39" t="s">
        <v>3726</v>
      </c>
      <c r="N56" s="46">
        <v>185</v>
      </c>
      <c r="O56" s="47"/>
      <c r="P56" s="46">
        <v>2139193</v>
      </c>
      <c r="Q56" s="39" t="s">
        <v>1130</v>
      </c>
    </row>
    <row r="57" spans="1:17" ht="16.5" customHeight="1" thickBot="1">
      <c r="A57" s="7" t="s">
        <v>162</v>
      </c>
      <c r="B57" s="3">
        <f t="shared" si="0"/>
        <v>46244</v>
      </c>
      <c r="C57" s="4" t="str">
        <f t="shared" si="1"/>
        <v>デビット ８２９９２６</v>
      </c>
      <c r="E57" s="7" t="s">
        <v>478</v>
      </c>
      <c r="F57" s="7" t="s">
        <v>1129</v>
      </c>
      <c r="G57" s="7" t="s">
        <v>360</v>
      </c>
      <c r="H57" s="6">
        <f t="shared" si="2"/>
        <v>0</v>
      </c>
      <c r="I57" s="5">
        <f t="shared" si="3"/>
        <v>185</v>
      </c>
      <c r="J57" s="7" t="s">
        <v>3841</v>
      </c>
      <c r="L57" s="41">
        <v>46244</v>
      </c>
      <c r="M57" s="42" t="s">
        <v>3727</v>
      </c>
      <c r="N57" s="48">
        <v>185</v>
      </c>
      <c r="O57" s="49"/>
      <c r="P57" s="48">
        <v>2139378</v>
      </c>
      <c r="Q57" s="42" t="s">
        <v>1130</v>
      </c>
    </row>
    <row r="58" spans="1:17" ht="16.5" customHeight="1" thickBot="1">
      <c r="A58" s="7" t="s">
        <v>162</v>
      </c>
      <c r="B58" s="3">
        <f t="shared" si="0"/>
        <v>46244</v>
      </c>
      <c r="C58" s="4" t="str">
        <f t="shared" si="1"/>
        <v>デビット ８２９３６０</v>
      </c>
      <c r="E58" s="7" t="s">
        <v>478</v>
      </c>
      <c r="F58" s="7" t="s">
        <v>1129</v>
      </c>
      <c r="G58" s="7" t="s">
        <v>360</v>
      </c>
      <c r="H58" s="6">
        <f t="shared" si="2"/>
        <v>0</v>
      </c>
      <c r="I58" s="5">
        <f t="shared" si="3"/>
        <v>185</v>
      </c>
      <c r="J58" s="7" t="s">
        <v>3841</v>
      </c>
      <c r="L58" s="38">
        <v>46244</v>
      </c>
      <c r="M58" s="39" t="s">
        <v>3728</v>
      </c>
      <c r="N58" s="46">
        <v>185</v>
      </c>
      <c r="O58" s="47"/>
      <c r="P58" s="46">
        <v>2139563</v>
      </c>
      <c r="Q58" s="39" t="s">
        <v>1130</v>
      </c>
    </row>
    <row r="59" spans="1:17" ht="16.5" customHeight="1" thickBot="1">
      <c r="A59" s="7" t="s">
        <v>162</v>
      </c>
      <c r="B59" s="3">
        <f t="shared" si="0"/>
        <v>46244</v>
      </c>
      <c r="C59" s="4" t="str">
        <f t="shared" si="1"/>
        <v>デビット ８２８７４２</v>
      </c>
      <c r="E59" s="7" t="s">
        <v>478</v>
      </c>
      <c r="F59" s="7" t="s">
        <v>1129</v>
      </c>
      <c r="G59" s="7" t="s">
        <v>360</v>
      </c>
      <c r="H59" s="6">
        <f t="shared" si="2"/>
        <v>0</v>
      </c>
      <c r="I59" s="5">
        <f t="shared" si="3"/>
        <v>185</v>
      </c>
      <c r="J59" s="7" t="s">
        <v>3841</v>
      </c>
      <c r="L59" s="41">
        <v>46244</v>
      </c>
      <c r="M59" s="42" t="s">
        <v>3729</v>
      </c>
      <c r="N59" s="48">
        <v>185</v>
      </c>
      <c r="O59" s="49"/>
      <c r="P59" s="48">
        <v>2139748</v>
      </c>
      <c r="Q59" s="42" t="s">
        <v>1130</v>
      </c>
    </row>
    <row r="60" spans="1:17" ht="16.5" customHeight="1" thickBot="1">
      <c r="A60" s="7" t="s">
        <v>162</v>
      </c>
      <c r="B60" s="3">
        <f t="shared" si="0"/>
        <v>46244</v>
      </c>
      <c r="C60" s="4" t="str">
        <f t="shared" si="1"/>
        <v>振込＊エヌテイキユーエツクス（ド</v>
      </c>
      <c r="E60" s="7" t="s">
        <v>1146</v>
      </c>
      <c r="G60" s="7" t="s">
        <v>165</v>
      </c>
      <c r="H60" s="6">
        <f t="shared" si="2"/>
        <v>98258</v>
      </c>
      <c r="I60" s="5">
        <f t="shared" si="3"/>
        <v>0</v>
      </c>
      <c r="J60" s="7" t="s">
        <v>3861</v>
      </c>
      <c r="L60" s="38">
        <v>46244</v>
      </c>
      <c r="M60" s="39" t="s">
        <v>1145</v>
      </c>
      <c r="N60" s="46"/>
      <c r="O60" s="47">
        <v>98258</v>
      </c>
      <c r="P60" s="46">
        <v>2139933</v>
      </c>
      <c r="Q60" s="39" t="s">
        <v>1130</v>
      </c>
    </row>
    <row r="61" spans="1:17" ht="16.5" customHeight="1" thickBot="1">
      <c r="A61" s="7" t="s">
        <v>162</v>
      </c>
      <c r="B61" s="3">
        <f t="shared" si="0"/>
        <v>46245</v>
      </c>
      <c r="C61" s="4" t="str">
        <f t="shared" si="1"/>
        <v>デビット １３４９４５</v>
      </c>
      <c r="E61" s="7" t="s">
        <v>478</v>
      </c>
      <c r="F61" s="7" t="s">
        <v>1129</v>
      </c>
      <c r="G61" s="7" t="s">
        <v>360</v>
      </c>
      <c r="H61" s="6">
        <f t="shared" si="2"/>
        <v>0</v>
      </c>
      <c r="I61" s="5">
        <f t="shared" si="3"/>
        <v>185</v>
      </c>
      <c r="J61" s="7" t="s">
        <v>3841</v>
      </c>
      <c r="L61" s="41">
        <v>46245</v>
      </c>
      <c r="M61" s="42" t="s">
        <v>3730</v>
      </c>
      <c r="N61" s="48">
        <v>185</v>
      </c>
      <c r="O61" s="49"/>
      <c r="P61" s="48">
        <v>2138268</v>
      </c>
      <c r="Q61" s="42" t="s">
        <v>1130</v>
      </c>
    </row>
    <row r="62" spans="1:17" ht="32.25" customHeight="1" thickBot="1">
      <c r="A62" s="7" t="s">
        <v>162</v>
      </c>
      <c r="B62" s="3">
        <f t="shared" si="0"/>
        <v>46245</v>
      </c>
      <c r="C62" s="4" t="str">
        <f t="shared" si="1"/>
        <v>デビット ０８７４２５</v>
      </c>
      <c r="E62" s="7" t="s">
        <v>478</v>
      </c>
      <c r="F62" s="7" t="s">
        <v>1129</v>
      </c>
      <c r="G62" s="7" t="s">
        <v>360</v>
      </c>
      <c r="H62" s="6">
        <f t="shared" si="2"/>
        <v>0</v>
      </c>
      <c r="I62" s="5">
        <f t="shared" si="3"/>
        <v>185</v>
      </c>
      <c r="J62" s="7" t="s">
        <v>3841</v>
      </c>
      <c r="L62" s="38">
        <v>46245</v>
      </c>
      <c r="M62" s="39" t="s">
        <v>3731</v>
      </c>
      <c r="N62" s="47">
        <v>185</v>
      </c>
      <c r="O62" s="46"/>
      <c r="P62" s="46">
        <v>2138453</v>
      </c>
      <c r="Q62" s="39" t="s">
        <v>1130</v>
      </c>
    </row>
    <row r="63" spans="1:17" ht="16.5" customHeight="1" thickBot="1">
      <c r="A63" s="7" t="s">
        <v>162</v>
      </c>
      <c r="B63" s="3">
        <f t="shared" si="0"/>
        <v>46245</v>
      </c>
      <c r="C63" s="4" t="str">
        <f t="shared" si="1"/>
        <v>デビット ０８６９４６</v>
      </c>
      <c r="E63" s="7" t="s">
        <v>478</v>
      </c>
      <c r="F63" s="7" t="s">
        <v>1129</v>
      </c>
      <c r="G63" s="7" t="s">
        <v>360</v>
      </c>
      <c r="H63" s="6">
        <f t="shared" si="2"/>
        <v>0</v>
      </c>
      <c r="I63" s="5">
        <f t="shared" si="3"/>
        <v>185</v>
      </c>
      <c r="J63" s="7" t="s">
        <v>3841</v>
      </c>
      <c r="L63" s="41">
        <v>46245</v>
      </c>
      <c r="M63" s="42" t="s">
        <v>3732</v>
      </c>
      <c r="N63" s="48">
        <v>185</v>
      </c>
      <c r="O63" s="49"/>
      <c r="P63" s="48">
        <v>2138638</v>
      </c>
      <c r="Q63" s="42" t="s">
        <v>1130</v>
      </c>
    </row>
    <row r="64" spans="1:17" ht="16.5" customHeight="1" thickBot="1">
      <c r="A64" s="7" t="s">
        <v>162</v>
      </c>
      <c r="B64" s="3">
        <f t="shared" si="0"/>
        <v>46245</v>
      </c>
      <c r="C64" s="4" t="str">
        <f t="shared" si="1"/>
        <v>デビット ０８４５１２</v>
      </c>
      <c r="E64" s="7" t="s">
        <v>478</v>
      </c>
      <c r="F64" s="7" t="s">
        <v>1129</v>
      </c>
      <c r="G64" s="7" t="s">
        <v>360</v>
      </c>
      <c r="H64" s="6">
        <f t="shared" si="2"/>
        <v>0</v>
      </c>
      <c r="I64" s="5">
        <f t="shared" si="3"/>
        <v>185</v>
      </c>
      <c r="J64" s="7" t="s">
        <v>3841</v>
      </c>
      <c r="L64" s="38">
        <v>46245</v>
      </c>
      <c r="M64" s="39" t="s">
        <v>3733</v>
      </c>
      <c r="N64" s="46">
        <v>185</v>
      </c>
      <c r="O64" s="47"/>
      <c r="P64" s="46">
        <v>2138823</v>
      </c>
      <c r="Q64" s="39" t="s">
        <v>1130</v>
      </c>
    </row>
    <row r="65" spans="1:17" ht="16.5" customHeight="1" thickBot="1">
      <c r="A65" s="7" t="s">
        <v>162</v>
      </c>
      <c r="B65" s="3">
        <f t="shared" si="0"/>
        <v>46246</v>
      </c>
      <c r="C65" s="4" t="str">
        <f t="shared" si="1"/>
        <v>取消＊デビット ７３７４３４</v>
      </c>
      <c r="E65" s="7" t="s">
        <v>478</v>
      </c>
      <c r="F65" s="7" t="s">
        <v>1129</v>
      </c>
      <c r="G65" s="7" t="s">
        <v>360</v>
      </c>
      <c r="H65" s="6">
        <f t="shared" si="2"/>
        <v>185</v>
      </c>
      <c r="I65" s="5">
        <f t="shared" si="3"/>
        <v>0</v>
      </c>
      <c r="J65" s="7" t="s">
        <v>3841</v>
      </c>
      <c r="L65" s="41">
        <v>46246</v>
      </c>
      <c r="M65" s="42" t="s">
        <v>3734</v>
      </c>
      <c r="N65" s="48"/>
      <c r="O65" s="49">
        <v>185</v>
      </c>
      <c r="P65" s="48">
        <v>2137158</v>
      </c>
      <c r="Q65" s="42" t="s">
        <v>1130</v>
      </c>
    </row>
    <row r="66" spans="1:17" ht="16.5" customHeight="1" thickBot="1">
      <c r="A66" s="7" t="s">
        <v>162</v>
      </c>
      <c r="B66" s="3">
        <f t="shared" si="0"/>
        <v>46246</v>
      </c>
      <c r="C66" s="4" t="str">
        <f t="shared" si="1"/>
        <v>デビット ４１３０８１</v>
      </c>
      <c r="E66" s="7" t="s">
        <v>478</v>
      </c>
      <c r="F66" s="7" t="s">
        <v>1129</v>
      </c>
      <c r="G66" s="7" t="s">
        <v>360</v>
      </c>
      <c r="H66" s="6">
        <f t="shared" si="2"/>
        <v>0</v>
      </c>
      <c r="I66" s="5">
        <f t="shared" si="3"/>
        <v>185</v>
      </c>
      <c r="J66" s="7" t="s">
        <v>3841</v>
      </c>
      <c r="L66" s="38">
        <v>46246</v>
      </c>
      <c r="M66" s="39" t="s">
        <v>3735</v>
      </c>
      <c r="N66" s="46">
        <v>185</v>
      </c>
      <c r="O66" s="47"/>
      <c r="P66" s="46">
        <v>2136973</v>
      </c>
      <c r="Q66" s="39" t="s">
        <v>1130</v>
      </c>
    </row>
    <row r="67" spans="1:17" ht="16.5" customHeight="1" thickBot="1">
      <c r="A67" s="7" t="s">
        <v>162</v>
      </c>
      <c r="B67" s="3">
        <f t="shared" si="0"/>
        <v>46246</v>
      </c>
      <c r="C67" s="4" t="str">
        <f t="shared" si="1"/>
        <v>デビット ４１２５８９</v>
      </c>
      <c r="E67" s="7" t="s">
        <v>478</v>
      </c>
      <c r="F67" s="7" t="s">
        <v>1129</v>
      </c>
      <c r="G67" s="7" t="s">
        <v>360</v>
      </c>
      <c r="H67" s="6">
        <f t="shared" si="2"/>
        <v>0</v>
      </c>
      <c r="I67" s="5">
        <f t="shared" si="3"/>
        <v>185</v>
      </c>
      <c r="J67" s="7" t="s">
        <v>3841</v>
      </c>
      <c r="L67" s="41">
        <v>46246</v>
      </c>
      <c r="M67" s="42" t="s">
        <v>3736</v>
      </c>
      <c r="N67" s="48">
        <v>185</v>
      </c>
      <c r="O67" s="49"/>
      <c r="P67" s="48">
        <v>2137158</v>
      </c>
      <c r="Q67" s="42" t="s">
        <v>1130</v>
      </c>
    </row>
    <row r="68" spans="1:17" ht="16.5" customHeight="1" thickBot="1">
      <c r="A68" s="7" t="s">
        <v>162</v>
      </c>
      <c r="B68" s="3">
        <f t="shared" ref="B68:B131" si="4">L68</f>
        <v>46246</v>
      </c>
      <c r="C68" s="4" t="str">
        <f t="shared" ref="C68:C131" si="5">M68</f>
        <v>デビット ３９６６５２</v>
      </c>
      <c r="E68" s="7" t="s">
        <v>478</v>
      </c>
      <c r="F68" s="7" t="s">
        <v>1129</v>
      </c>
      <c r="G68" s="7" t="s">
        <v>360</v>
      </c>
      <c r="H68" s="6">
        <f t="shared" ref="H68:H131" si="6">O68</f>
        <v>0</v>
      </c>
      <c r="I68" s="5">
        <f t="shared" ref="I68:I131" si="7">N68</f>
        <v>185</v>
      </c>
      <c r="J68" s="7" t="s">
        <v>3841</v>
      </c>
      <c r="L68" s="38">
        <v>46246</v>
      </c>
      <c r="M68" s="39" t="s">
        <v>3737</v>
      </c>
      <c r="N68" s="46">
        <v>185</v>
      </c>
      <c r="O68" s="47"/>
      <c r="P68" s="46">
        <v>2137343</v>
      </c>
      <c r="Q68" s="39" t="s">
        <v>1130</v>
      </c>
    </row>
    <row r="69" spans="1:17" ht="16.5" customHeight="1" thickBot="1">
      <c r="A69" s="7" t="s">
        <v>162</v>
      </c>
      <c r="B69" s="3">
        <f t="shared" si="4"/>
        <v>46246</v>
      </c>
      <c r="C69" s="4" t="str">
        <f t="shared" si="5"/>
        <v>デビット ３８２５５９</v>
      </c>
      <c r="E69" s="7" t="s">
        <v>478</v>
      </c>
      <c r="F69" s="7" t="s">
        <v>1129</v>
      </c>
      <c r="G69" s="7" t="s">
        <v>360</v>
      </c>
      <c r="H69" s="6">
        <f t="shared" si="6"/>
        <v>0</v>
      </c>
      <c r="I69" s="5">
        <f t="shared" si="7"/>
        <v>185</v>
      </c>
      <c r="J69" s="7" t="s">
        <v>3841</v>
      </c>
      <c r="L69" s="41">
        <v>46246</v>
      </c>
      <c r="M69" s="42" t="s">
        <v>3738</v>
      </c>
      <c r="N69" s="48">
        <v>185</v>
      </c>
      <c r="O69" s="49"/>
      <c r="P69" s="48">
        <v>2137528</v>
      </c>
      <c r="Q69" s="42" t="s">
        <v>1130</v>
      </c>
    </row>
    <row r="70" spans="1:17" ht="16.5" customHeight="1" thickBot="1">
      <c r="A70" s="7" t="s">
        <v>162</v>
      </c>
      <c r="B70" s="3">
        <f t="shared" si="4"/>
        <v>46246</v>
      </c>
      <c r="C70" s="4" t="str">
        <f t="shared" si="5"/>
        <v>デビット ３６１９５５</v>
      </c>
      <c r="E70" s="7" t="s">
        <v>478</v>
      </c>
      <c r="F70" s="7" t="s">
        <v>1129</v>
      </c>
      <c r="G70" s="7" t="s">
        <v>360</v>
      </c>
      <c r="H70" s="6">
        <f t="shared" si="6"/>
        <v>0</v>
      </c>
      <c r="I70" s="5">
        <f t="shared" si="7"/>
        <v>185</v>
      </c>
      <c r="J70" s="7" t="s">
        <v>3841</v>
      </c>
      <c r="L70" s="38">
        <v>46246</v>
      </c>
      <c r="M70" s="39" t="s">
        <v>3739</v>
      </c>
      <c r="N70" s="46">
        <v>185</v>
      </c>
      <c r="O70" s="47"/>
      <c r="P70" s="46">
        <v>2137713</v>
      </c>
      <c r="Q70" s="39" t="s">
        <v>1130</v>
      </c>
    </row>
    <row r="71" spans="1:17" ht="16.5" customHeight="1" thickBot="1">
      <c r="A71" s="7" t="s">
        <v>162</v>
      </c>
      <c r="B71" s="3">
        <f t="shared" si="4"/>
        <v>46246</v>
      </c>
      <c r="C71" s="4" t="str">
        <f t="shared" si="5"/>
        <v>デビット ３５９９１４</v>
      </c>
      <c r="E71" s="7" t="s">
        <v>478</v>
      </c>
      <c r="F71" s="7" t="s">
        <v>1129</v>
      </c>
      <c r="G71" s="7" t="s">
        <v>360</v>
      </c>
      <c r="H71" s="6">
        <f t="shared" si="6"/>
        <v>0</v>
      </c>
      <c r="I71" s="5">
        <f t="shared" si="7"/>
        <v>185</v>
      </c>
      <c r="J71" s="7" t="s">
        <v>3841</v>
      </c>
      <c r="L71" s="41">
        <v>46246</v>
      </c>
      <c r="M71" s="42" t="s">
        <v>3740</v>
      </c>
      <c r="N71" s="48">
        <v>185</v>
      </c>
      <c r="O71" s="49"/>
      <c r="P71" s="48">
        <v>2137898</v>
      </c>
      <c r="Q71" s="42" t="s">
        <v>1130</v>
      </c>
    </row>
    <row r="72" spans="1:17" ht="16.5" customHeight="1" thickBot="1">
      <c r="A72" s="7" t="s">
        <v>162</v>
      </c>
      <c r="B72" s="3">
        <f t="shared" si="4"/>
        <v>46246</v>
      </c>
      <c r="C72" s="4" t="str">
        <f t="shared" si="5"/>
        <v>デビット ３５４４２９</v>
      </c>
      <c r="E72" s="7" t="s">
        <v>478</v>
      </c>
      <c r="F72" s="7" t="s">
        <v>1129</v>
      </c>
      <c r="G72" s="7" t="s">
        <v>360</v>
      </c>
      <c r="H72" s="6">
        <f t="shared" si="6"/>
        <v>0</v>
      </c>
      <c r="I72" s="5">
        <f t="shared" si="7"/>
        <v>185</v>
      </c>
      <c r="J72" s="7" t="s">
        <v>3841</v>
      </c>
      <c r="L72" s="38">
        <v>46246</v>
      </c>
      <c r="M72" s="39" t="s">
        <v>3741</v>
      </c>
      <c r="N72" s="46">
        <v>185</v>
      </c>
      <c r="O72" s="47"/>
      <c r="P72" s="46">
        <v>2138083</v>
      </c>
      <c r="Q72" s="39" t="s">
        <v>1130</v>
      </c>
    </row>
    <row r="73" spans="1:17" ht="32.25" customHeight="1" thickBot="1">
      <c r="A73" s="7" t="s">
        <v>162</v>
      </c>
      <c r="B73" s="3">
        <f t="shared" si="4"/>
        <v>46247</v>
      </c>
      <c r="C73" s="4" t="str">
        <f t="shared" si="5"/>
        <v>デビット ６６６５３６</v>
      </c>
      <c r="E73" s="7" t="s">
        <v>478</v>
      </c>
      <c r="F73" s="7" t="s">
        <v>1129</v>
      </c>
      <c r="G73" s="7" t="s">
        <v>360</v>
      </c>
      <c r="H73" s="6">
        <f t="shared" si="6"/>
        <v>0</v>
      </c>
      <c r="I73" s="5">
        <f t="shared" si="7"/>
        <v>185</v>
      </c>
      <c r="J73" s="7" t="s">
        <v>3841</v>
      </c>
      <c r="L73" s="41">
        <v>46247</v>
      </c>
      <c r="M73" s="42" t="s">
        <v>3742</v>
      </c>
      <c r="N73" s="49">
        <v>185</v>
      </c>
      <c r="O73" s="48"/>
      <c r="P73" s="48">
        <v>2136233</v>
      </c>
      <c r="Q73" s="42" t="s">
        <v>1130</v>
      </c>
    </row>
    <row r="74" spans="1:17" ht="16.5" customHeight="1" thickBot="1">
      <c r="A74" s="7" t="s">
        <v>162</v>
      </c>
      <c r="B74" s="3">
        <f t="shared" si="4"/>
        <v>46247</v>
      </c>
      <c r="C74" s="4" t="str">
        <f t="shared" si="5"/>
        <v>デビット ６６５８６９</v>
      </c>
      <c r="E74" s="7" t="s">
        <v>478</v>
      </c>
      <c r="F74" s="7" t="s">
        <v>1129</v>
      </c>
      <c r="G74" s="7" t="s">
        <v>360</v>
      </c>
      <c r="H74" s="6">
        <f t="shared" si="6"/>
        <v>0</v>
      </c>
      <c r="I74" s="5">
        <f t="shared" si="7"/>
        <v>185</v>
      </c>
      <c r="J74" s="7" t="s">
        <v>3841</v>
      </c>
      <c r="L74" s="38">
        <v>46247</v>
      </c>
      <c r="M74" s="39" t="s">
        <v>3743</v>
      </c>
      <c r="N74" s="47">
        <v>185</v>
      </c>
      <c r="O74" s="46"/>
      <c r="P74" s="46">
        <v>2136418</v>
      </c>
      <c r="Q74" s="39" t="s">
        <v>1130</v>
      </c>
    </row>
    <row r="75" spans="1:17" ht="16.5" customHeight="1" thickBot="1">
      <c r="A75" s="7" t="s">
        <v>162</v>
      </c>
      <c r="B75" s="3">
        <f t="shared" si="4"/>
        <v>46247</v>
      </c>
      <c r="C75" s="4" t="str">
        <f t="shared" si="5"/>
        <v>デビット ６５５３３７</v>
      </c>
      <c r="E75" s="7" t="s">
        <v>478</v>
      </c>
      <c r="F75" s="7" t="s">
        <v>1129</v>
      </c>
      <c r="G75" s="7" t="s">
        <v>360</v>
      </c>
      <c r="H75" s="6">
        <f t="shared" si="6"/>
        <v>0</v>
      </c>
      <c r="I75" s="5">
        <f t="shared" si="7"/>
        <v>185</v>
      </c>
      <c r="J75" s="7" t="s">
        <v>3841</v>
      </c>
      <c r="L75" s="41">
        <v>46247</v>
      </c>
      <c r="M75" s="42" t="s">
        <v>3744</v>
      </c>
      <c r="N75" s="48">
        <v>185</v>
      </c>
      <c r="O75" s="49"/>
      <c r="P75" s="48">
        <v>2136603</v>
      </c>
      <c r="Q75" s="42" t="s">
        <v>1130</v>
      </c>
    </row>
    <row r="76" spans="1:17" ht="16.5" customHeight="1" thickBot="1">
      <c r="A76" s="7" t="s">
        <v>162</v>
      </c>
      <c r="B76" s="3">
        <f t="shared" si="4"/>
        <v>46247</v>
      </c>
      <c r="C76" s="4" t="str">
        <f t="shared" si="5"/>
        <v>デビット ６４８８８２</v>
      </c>
      <c r="E76" s="7" t="s">
        <v>478</v>
      </c>
      <c r="F76" s="7" t="s">
        <v>1129</v>
      </c>
      <c r="G76" s="7" t="s">
        <v>360</v>
      </c>
      <c r="H76" s="6">
        <f t="shared" si="6"/>
        <v>0</v>
      </c>
      <c r="I76" s="5">
        <f t="shared" si="7"/>
        <v>185</v>
      </c>
      <c r="J76" s="7" t="s">
        <v>3841</v>
      </c>
      <c r="L76" s="38">
        <v>46247</v>
      </c>
      <c r="M76" s="39" t="s">
        <v>3745</v>
      </c>
      <c r="N76" s="46">
        <v>185</v>
      </c>
      <c r="O76" s="47"/>
      <c r="P76" s="46">
        <v>2136788</v>
      </c>
      <c r="Q76" s="39" t="s">
        <v>1130</v>
      </c>
    </row>
    <row r="77" spans="1:17" ht="16.5" customHeight="1" thickBot="1">
      <c r="A77" s="7" t="s">
        <v>162</v>
      </c>
      <c r="B77" s="3">
        <f t="shared" si="4"/>
        <v>46247</v>
      </c>
      <c r="C77" s="4" t="str">
        <f t="shared" si="5"/>
        <v>デビット ６４８１８９</v>
      </c>
      <c r="E77" s="7" t="s">
        <v>478</v>
      </c>
      <c r="F77" s="7" t="s">
        <v>1129</v>
      </c>
      <c r="G77" s="7" t="s">
        <v>360</v>
      </c>
      <c r="H77" s="6">
        <f t="shared" si="6"/>
        <v>0</v>
      </c>
      <c r="I77" s="5">
        <f t="shared" si="7"/>
        <v>185</v>
      </c>
      <c r="J77" s="7" t="s">
        <v>3841</v>
      </c>
      <c r="L77" s="41">
        <v>46247</v>
      </c>
      <c r="M77" s="42" t="s">
        <v>3746</v>
      </c>
      <c r="N77" s="48">
        <v>185</v>
      </c>
      <c r="O77" s="49"/>
      <c r="P77" s="48">
        <v>2136973</v>
      </c>
      <c r="Q77" s="42" t="s">
        <v>1130</v>
      </c>
    </row>
    <row r="78" spans="1:17" ht="16.5" customHeight="1" thickBot="1">
      <c r="A78" s="7" t="s">
        <v>162</v>
      </c>
      <c r="B78" s="3">
        <f t="shared" si="4"/>
        <v>46248</v>
      </c>
      <c r="C78" s="4" t="str">
        <f t="shared" si="5"/>
        <v>デビット ９５３８６８</v>
      </c>
      <c r="E78" s="7" t="s">
        <v>478</v>
      </c>
      <c r="F78" s="7" t="s">
        <v>1129</v>
      </c>
      <c r="G78" s="7" t="s">
        <v>360</v>
      </c>
      <c r="H78" s="6">
        <f t="shared" si="6"/>
        <v>0</v>
      </c>
      <c r="I78" s="5">
        <f t="shared" si="7"/>
        <v>185</v>
      </c>
      <c r="J78" s="7" t="s">
        <v>3841</v>
      </c>
      <c r="L78" s="38">
        <v>46248</v>
      </c>
      <c r="M78" s="39" t="s">
        <v>3747</v>
      </c>
      <c r="N78" s="46">
        <v>185</v>
      </c>
      <c r="O78" s="47"/>
      <c r="P78" s="46">
        <v>2135308</v>
      </c>
      <c r="Q78" s="39" t="s">
        <v>1130</v>
      </c>
    </row>
    <row r="79" spans="1:17" ht="16.5" customHeight="1" thickBot="1">
      <c r="A79" s="7" t="s">
        <v>162</v>
      </c>
      <c r="B79" s="3">
        <f t="shared" si="4"/>
        <v>46248</v>
      </c>
      <c r="C79" s="4" t="str">
        <f t="shared" si="5"/>
        <v>デビット ９５３３３０</v>
      </c>
      <c r="E79" s="7" t="s">
        <v>478</v>
      </c>
      <c r="F79" s="7" t="s">
        <v>1129</v>
      </c>
      <c r="G79" s="7" t="s">
        <v>360</v>
      </c>
      <c r="H79" s="6">
        <f t="shared" si="6"/>
        <v>0</v>
      </c>
      <c r="I79" s="5">
        <f t="shared" si="7"/>
        <v>185</v>
      </c>
      <c r="J79" s="7" t="s">
        <v>3841</v>
      </c>
      <c r="L79" s="41">
        <v>46248</v>
      </c>
      <c r="M79" s="42" t="s">
        <v>3748</v>
      </c>
      <c r="N79" s="48">
        <v>185</v>
      </c>
      <c r="O79" s="49"/>
      <c r="P79" s="48">
        <v>2135493</v>
      </c>
      <c r="Q79" s="42" t="s">
        <v>1130</v>
      </c>
    </row>
    <row r="80" spans="1:17" ht="16.5" customHeight="1" thickBot="1">
      <c r="A80" s="7" t="s">
        <v>162</v>
      </c>
      <c r="B80" s="3">
        <f t="shared" si="4"/>
        <v>46248</v>
      </c>
      <c r="C80" s="4" t="str">
        <f t="shared" si="5"/>
        <v>デビット ９５１９０５</v>
      </c>
      <c r="E80" s="7" t="s">
        <v>478</v>
      </c>
      <c r="F80" s="7" t="s">
        <v>1129</v>
      </c>
      <c r="G80" s="7" t="s">
        <v>360</v>
      </c>
      <c r="H80" s="6">
        <f t="shared" si="6"/>
        <v>0</v>
      </c>
      <c r="I80" s="5">
        <f t="shared" si="7"/>
        <v>185</v>
      </c>
      <c r="J80" s="7" t="s">
        <v>3841</v>
      </c>
      <c r="L80" s="38">
        <v>46248</v>
      </c>
      <c r="M80" s="39" t="s">
        <v>3749</v>
      </c>
      <c r="N80" s="46">
        <v>185</v>
      </c>
      <c r="O80" s="47"/>
      <c r="P80" s="46">
        <v>2135678</v>
      </c>
      <c r="Q80" s="39" t="s">
        <v>1130</v>
      </c>
    </row>
    <row r="81" spans="1:17" ht="16.5" customHeight="1" thickBot="1">
      <c r="A81" s="7" t="s">
        <v>162</v>
      </c>
      <c r="B81" s="3">
        <f t="shared" si="4"/>
        <v>46248</v>
      </c>
      <c r="C81" s="4" t="str">
        <f t="shared" si="5"/>
        <v>デビット ９２９５６４</v>
      </c>
      <c r="E81" s="7" t="s">
        <v>478</v>
      </c>
      <c r="F81" s="7" t="s">
        <v>1129</v>
      </c>
      <c r="G81" s="7" t="s">
        <v>360</v>
      </c>
      <c r="H81" s="6">
        <f t="shared" si="6"/>
        <v>0</v>
      </c>
      <c r="I81" s="5">
        <f t="shared" si="7"/>
        <v>185</v>
      </c>
      <c r="J81" s="7" t="s">
        <v>3841</v>
      </c>
      <c r="L81" s="41">
        <v>46248</v>
      </c>
      <c r="M81" s="42" t="s">
        <v>3750</v>
      </c>
      <c r="N81" s="48">
        <v>185</v>
      </c>
      <c r="O81" s="49"/>
      <c r="P81" s="48">
        <v>2135863</v>
      </c>
      <c r="Q81" s="42" t="s">
        <v>1130</v>
      </c>
    </row>
    <row r="82" spans="1:17" ht="16.5" customHeight="1" thickBot="1">
      <c r="A82" s="7" t="s">
        <v>162</v>
      </c>
      <c r="B82" s="3">
        <f t="shared" si="4"/>
        <v>46248</v>
      </c>
      <c r="C82" s="4" t="str">
        <f t="shared" si="5"/>
        <v>デビット ９２６２８７</v>
      </c>
      <c r="E82" s="7" t="s">
        <v>478</v>
      </c>
      <c r="F82" s="7" t="s">
        <v>1129</v>
      </c>
      <c r="G82" s="7" t="s">
        <v>360</v>
      </c>
      <c r="H82" s="6">
        <f t="shared" si="6"/>
        <v>0</v>
      </c>
      <c r="I82" s="5">
        <f t="shared" si="7"/>
        <v>185</v>
      </c>
      <c r="J82" s="7" t="s">
        <v>3841</v>
      </c>
      <c r="L82" s="38">
        <v>46248</v>
      </c>
      <c r="M82" s="39" t="s">
        <v>3751</v>
      </c>
      <c r="N82" s="46">
        <v>185</v>
      </c>
      <c r="O82" s="47"/>
      <c r="P82" s="46">
        <v>2136048</v>
      </c>
      <c r="Q82" s="39" t="s">
        <v>1130</v>
      </c>
    </row>
    <row r="83" spans="1:17" ht="16.5" customHeight="1" thickBot="1">
      <c r="A83" s="7" t="s">
        <v>162</v>
      </c>
      <c r="B83" s="3">
        <f t="shared" si="4"/>
        <v>46250</v>
      </c>
      <c r="C83" s="4" t="str">
        <f t="shared" si="5"/>
        <v>国税</v>
      </c>
      <c r="E83" s="7" t="s">
        <v>478</v>
      </c>
      <c r="F83" s="7" t="s">
        <v>1129</v>
      </c>
      <c r="G83" s="7" t="s">
        <v>360</v>
      </c>
      <c r="H83" s="6">
        <f t="shared" si="6"/>
        <v>0</v>
      </c>
      <c r="I83" s="5">
        <f t="shared" si="7"/>
        <v>107</v>
      </c>
      <c r="J83" s="7" t="s">
        <v>1137</v>
      </c>
      <c r="L83" s="41">
        <v>46250</v>
      </c>
      <c r="M83" s="42" t="s">
        <v>1153</v>
      </c>
      <c r="N83" s="48">
        <v>107</v>
      </c>
      <c r="O83" s="49"/>
      <c r="P83" s="48">
        <v>2135901</v>
      </c>
      <c r="Q83" s="42" t="s">
        <v>1130</v>
      </c>
    </row>
    <row r="84" spans="1:17" ht="16.5" customHeight="1" thickBot="1">
      <c r="A84" s="7" t="s">
        <v>162</v>
      </c>
      <c r="B84" s="3">
        <f t="shared" si="4"/>
        <v>46250</v>
      </c>
      <c r="C84" s="4" t="str">
        <f t="shared" si="5"/>
        <v>利息</v>
      </c>
      <c r="E84" s="7" t="s">
        <v>1150</v>
      </c>
      <c r="F84" s="7" t="s">
        <v>1151</v>
      </c>
      <c r="G84" s="7" t="s">
        <v>165</v>
      </c>
      <c r="H84" s="6">
        <f t="shared" si="6"/>
        <v>700</v>
      </c>
      <c r="I84" s="5">
        <f t="shared" si="7"/>
        <v>0</v>
      </c>
      <c r="J84" s="7" t="s">
        <v>1133</v>
      </c>
      <c r="L84" s="38">
        <v>46250</v>
      </c>
      <c r="M84" s="39" t="s">
        <v>1152</v>
      </c>
      <c r="N84" s="46"/>
      <c r="O84" s="47">
        <v>700</v>
      </c>
      <c r="P84" s="46">
        <v>2136008</v>
      </c>
      <c r="Q84" s="39" t="s">
        <v>1130</v>
      </c>
    </row>
    <row r="85" spans="1:17" ht="16.5" customHeight="1" thickBot="1">
      <c r="A85" s="7" t="s">
        <v>162</v>
      </c>
      <c r="B85" s="3">
        <f t="shared" si="4"/>
        <v>46251</v>
      </c>
      <c r="C85" s="4" t="str">
        <f t="shared" si="5"/>
        <v>取消＊デビット １２３３８６</v>
      </c>
      <c r="E85" s="7" t="s">
        <v>478</v>
      </c>
      <c r="F85" s="7" t="s">
        <v>1129</v>
      </c>
      <c r="G85" s="7" t="s">
        <v>360</v>
      </c>
      <c r="H85" s="6">
        <f t="shared" si="6"/>
        <v>185</v>
      </c>
      <c r="I85" s="5">
        <f t="shared" si="7"/>
        <v>0</v>
      </c>
      <c r="J85" s="7" t="s">
        <v>3841</v>
      </c>
      <c r="L85" s="41">
        <v>46251</v>
      </c>
      <c r="M85" s="42" t="s">
        <v>3752</v>
      </c>
      <c r="N85" s="48"/>
      <c r="O85" s="49">
        <v>185</v>
      </c>
      <c r="P85" s="48">
        <v>4286643</v>
      </c>
      <c r="Q85" s="42" t="s">
        <v>1130</v>
      </c>
    </row>
    <row r="86" spans="1:17" ht="32.25" customHeight="1" thickBot="1">
      <c r="A86" s="7" t="s">
        <v>162</v>
      </c>
      <c r="B86" s="3">
        <f t="shared" si="4"/>
        <v>46251</v>
      </c>
      <c r="C86" s="4" t="str">
        <f t="shared" si="5"/>
        <v>デビット ８１２０８０</v>
      </c>
      <c r="E86" s="7" t="s">
        <v>478</v>
      </c>
      <c r="F86" s="7" t="s">
        <v>1129</v>
      </c>
      <c r="G86" s="7" t="s">
        <v>360</v>
      </c>
      <c r="H86" s="6">
        <f t="shared" si="6"/>
        <v>0</v>
      </c>
      <c r="I86" s="5">
        <f t="shared" si="7"/>
        <v>185</v>
      </c>
      <c r="J86" s="7" t="s">
        <v>3841</v>
      </c>
      <c r="L86" s="38">
        <v>46251</v>
      </c>
      <c r="M86" s="39" t="s">
        <v>3753</v>
      </c>
      <c r="N86" s="46">
        <v>185</v>
      </c>
      <c r="O86" s="47"/>
      <c r="P86" s="46">
        <v>4286458</v>
      </c>
      <c r="Q86" s="39" t="s">
        <v>1130</v>
      </c>
    </row>
    <row r="87" spans="1:17" ht="16.5" customHeight="1" thickBot="1">
      <c r="A87" s="7" t="s">
        <v>162</v>
      </c>
      <c r="B87" s="3">
        <f t="shared" si="4"/>
        <v>46251</v>
      </c>
      <c r="C87" s="4" t="str">
        <f t="shared" si="5"/>
        <v>取消＊デビット １２４５５４</v>
      </c>
      <c r="E87" s="7" t="s">
        <v>478</v>
      </c>
      <c r="F87" s="7" t="s">
        <v>1129</v>
      </c>
      <c r="G87" s="7" t="s">
        <v>360</v>
      </c>
      <c r="H87" s="6">
        <f t="shared" si="6"/>
        <v>185</v>
      </c>
      <c r="I87" s="5">
        <f t="shared" si="7"/>
        <v>0</v>
      </c>
      <c r="J87" s="7" t="s">
        <v>3841</v>
      </c>
      <c r="L87" s="41">
        <v>46251</v>
      </c>
      <c r="M87" s="42" t="s">
        <v>3754</v>
      </c>
      <c r="N87" s="48"/>
      <c r="O87" s="49">
        <v>185</v>
      </c>
      <c r="P87" s="48">
        <v>4286643</v>
      </c>
      <c r="Q87" s="42" t="s">
        <v>1130</v>
      </c>
    </row>
    <row r="88" spans="1:17" ht="16.5" customHeight="1" thickBot="1">
      <c r="A88" s="7" t="s">
        <v>162</v>
      </c>
      <c r="B88" s="3">
        <f t="shared" si="4"/>
        <v>46251</v>
      </c>
      <c r="C88" s="4" t="str">
        <f t="shared" si="5"/>
        <v>デビット ８０５２０２</v>
      </c>
      <c r="E88" s="7" t="s">
        <v>478</v>
      </c>
      <c r="F88" s="7" t="s">
        <v>1129</v>
      </c>
      <c r="G88" s="7" t="s">
        <v>360</v>
      </c>
      <c r="H88" s="6">
        <f t="shared" si="6"/>
        <v>0</v>
      </c>
      <c r="I88" s="5">
        <f t="shared" si="7"/>
        <v>185</v>
      </c>
      <c r="J88" s="7" t="s">
        <v>3841</v>
      </c>
      <c r="L88" s="38">
        <v>46251</v>
      </c>
      <c r="M88" s="39" t="s">
        <v>3755</v>
      </c>
      <c r="N88" s="46">
        <v>185</v>
      </c>
      <c r="O88" s="47"/>
      <c r="P88" s="46">
        <v>4286458</v>
      </c>
      <c r="Q88" s="39" t="s">
        <v>1130</v>
      </c>
    </row>
    <row r="89" spans="1:17" ht="32.25" customHeight="1" thickBot="1">
      <c r="A89" s="7" t="s">
        <v>162</v>
      </c>
      <c r="B89" s="3">
        <f t="shared" si="4"/>
        <v>46251</v>
      </c>
      <c r="C89" s="4" t="str">
        <f t="shared" si="5"/>
        <v>デビット ８０４７３２</v>
      </c>
      <c r="E89" s="7" t="s">
        <v>478</v>
      </c>
      <c r="F89" s="7" t="s">
        <v>1129</v>
      </c>
      <c r="G89" s="7" t="s">
        <v>360</v>
      </c>
      <c r="H89" s="6">
        <f t="shared" si="6"/>
        <v>0</v>
      </c>
      <c r="I89" s="5">
        <f t="shared" si="7"/>
        <v>185</v>
      </c>
      <c r="J89" s="7" t="s">
        <v>3841</v>
      </c>
      <c r="L89" s="41">
        <v>46251</v>
      </c>
      <c r="M89" s="42" t="s">
        <v>3756</v>
      </c>
      <c r="N89" s="49">
        <v>185</v>
      </c>
      <c r="O89" s="48"/>
      <c r="P89" s="48">
        <v>4286643</v>
      </c>
      <c r="Q89" s="42" t="s">
        <v>1130</v>
      </c>
    </row>
    <row r="90" spans="1:17" ht="32.25" customHeight="1" thickBot="1">
      <c r="A90" s="7" t="s">
        <v>162</v>
      </c>
      <c r="B90" s="3">
        <f t="shared" si="4"/>
        <v>46251</v>
      </c>
      <c r="C90" s="4" t="str">
        <f t="shared" si="5"/>
        <v>デビット ８０３８４５</v>
      </c>
      <c r="E90" s="7" t="s">
        <v>478</v>
      </c>
      <c r="F90" s="7" t="s">
        <v>1129</v>
      </c>
      <c r="G90" s="7" t="s">
        <v>360</v>
      </c>
      <c r="H90" s="6">
        <f t="shared" si="6"/>
        <v>0</v>
      </c>
      <c r="I90" s="5">
        <f t="shared" si="7"/>
        <v>185</v>
      </c>
      <c r="J90" s="7" t="s">
        <v>3841</v>
      </c>
      <c r="L90" s="38">
        <v>46251</v>
      </c>
      <c r="M90" s="39" t="s">
        <v>3757</v>
      </c>
      <c r="N90" s="46">
        <v>185</v>
      </c>
      <c r="O90" s="47"/>
      <c r="P90" s="46">
        <v>4286828</v>
      </c>
      <c r="Q90" s="39" t="s">
        <v>1130</v>
      </c>
    </row>
    <row r="91" spans="1:17" ht="16.5" customHeight="1" thickBot="1">
      <c r="A91" s="7" t="s">
        <v>162</v>
      </c>
      <c r="B91" s="3">
        <f t="shared" si="4"/>
        <v>46251</v>
      </c>
      <c r="C91" s="4" t="str">
        <f t="shared" si="5"/>
        <v>デビット ８０３４２５</v>
      </c>
      <c r="E91" s="7" t="s">
        <v>478</v>
      </c>
      <c r="F91" s="7" t="s">
        <v>1129</v>
      </c>
      <c r="G91" s="7" t="s">
        <v>360</v>
      </c>
      <c r="H91" s="6">
        <f t="shared" si="6"/>
        <v>0</v>
      </c>
      <c r="I91" s="5">
        <f t="shared" si="7"/>
        <v>185</v>
      </c>
      <c r="J91" s="7" t="s">
        <v>3841</v>
      </c>
      <c r="L91" s="41">
        <v>46251</v>
      </c>
      <c r="M91" s="42" t="s">
        <v>3758</v>
      </c>
      <c r="N91" s="48">
        <v>185</v>
      </c>
      <c r="O91" s="49"/>
      <c r="P91" s="48">
        <v>4287013</v>
      </c>
      <c r="Q91" s="42" t="s">
        <v>1130</v>
      </c>
    </row>
    <row r="92" spans="1:17" ht="16.5" customHeight="1" thickBot="1">
      <c r="A92" s="7" t="s">
        <v>162</v>
      </c>
      <c r="B92" s="3">
        <f t="shared" si="4"/>
        <v>46251</v>
      </c>
      <c r="C92" s="4" t="str">
        <f t="shared" si="5"/>
        <v>デビット ８０２９９９</v>
      </c>
      <c r="E92" s="7" t="s">
        <v>478</v>
      </c>
      <c r="F92" s="7" t="s">
        <v>1129</v>
      </c>
      <c r="G92" s="7" t="s">
        <v>360</v>
      </c>
      <c r="H92" s="6">
        <f t="shared" si="6"/>
        <v>0</v>
      </c>
      <c r="I92" s="5">
        <f t="shared" si="7"/>
        <v>185</v>
      </c>
      <c r="J92" s="7" t="s">
        <v>3841</v>
      </c>
      <c r="L92" s="38">
        <v>46251</v>
      </c>
      <c r="M92" s="39" t="s">
        <v>3759</v>
      </c>
      <c r="N92" s="46">
        <v>185</v>
      </c>
      <c r="O92" s="47"/>
      <c r="P92" s="46">
        <v>4287198</v>
      </c>
      <c r="Q92" s="39" t="s">
        <v>1130</v>
      </c>
    </row>
    <row r="93" spans="1:17" ht="16.5" customHeight="1" thickBot="1">
      <c r="A93" s="7" t="s">
        <v>162</v>
      </c>
      <c r="B93" s="3">
        <f t="shared" si="4"/>
        <v>46251</v>
      </c>
      <c r="C93" s="4" t="str">
        <f t="shared" si="5"/>
        <v>デビット ７５０３４８</v>
      </c>
      <c r="E93" s="7" t="s">
        <v>478</v>
      </c>
      <c r="F93" s="7" t="s">
        <v>1129</v>
      </c>
      <c r="G93" s="7" t="s">
        <v>360</v>
      </c>
      <c r="H93" s="6">
        <f t="shared" si="6"/>
        <v>0</v>
      </c>
      <c r="I93" s="5">
        <f t="shared" si="7"/>
        <v>185</v>
      </c>
      <c r="J93" s="7" t="s">
        <v>3841</v>
      </c>
      <c r="L93" s="41">
        <v>46251</v>
      </c>
      <c r="M93" s="42" t="s">
        <v>3760</v>
      </c>
      <c r="N93" s="48">
        <v>185</v>
      </c>
      <c r="O93" s="49"/>
      <c r="P93" s="48">
        <v>4287383</v>
      </c>
      <c r="Q93" s="42" t="s">
        <v>1130</v>
      </c>
    </row>
    <row r="94" spans="1:17" ht="16.5" customHeight="1" thickBot="1">
      <c r="A94" s="7" t="s">
        <v>162</v>
      </c>
      <c r="B94" s="3">
        <f t="shared" si="4"/>
        <v>46251</v>
      </c>
      <c r="C94" s="4" t="str">
        <f t="shared" si="5"/>
        <v>デビット ７４９３２７</v>
      </c>
      <c r="E94" s="7" t="s">
        <v>478</v>
      </c>
      <c r="F94" s="7" t="s">
        <v>1129</v>
      </c>
      <c r="G94" s="7" t="s">
        <v>360</v>
      </c>
      <c r="H94" s="6">
        <f t="shared" si="6"/>
        <v>0</v>
      </c>
      <c r="I94" s="5">
        <f t="shared" si="7"/>
        <v>185</v>
      </c>
      <c r="J94" s="7" t="s">
        <v>3841</v>
      </c>
      <c r="L94" s="38">
        <v>46251</v>
      </c>
      <c r="M94" s="39" t="s">
        <v>3761</v>
      </c>
      <c r="N94" s="46">
        <v>185</v>
      </c>
      <c r="O94" s="47"/>
      <c r="P94" s="46">
        <v>4287568</v>
      </c>
      <c r="Q94" s="39" t="s">
        <v>1130</v>
      </c>
    </row>
    <row r="95" spans="1:17" ht="16.5" customHeight="1" thickBot="1">
      <c r="A95" s="7" t="s">
        <v>162</v>
      </c>
      <c r="B95" s="3">
        <f t="shared" si="4"/>
        <v>46251</v>
      </c>
      <c r="C95" s="4" t="str">
        <f t="shared" si="5"/>
        <v>デビット ７４８８３０</v>
      </c>
      <c r="E95" s="7" t="s">
        <v>478</v>
      </c>
      <c r="F95" s="7" t="s">
        <v>1129</v>
      </c>
      <c r="G95" s="7" t="s">
        <v>360</v>
      </c>
      <c r="H95" s="6">
        <f t="shared" si="6"/>
        <v>0</v>
      </c>
      <c r="I95" s="5">
        <f t="shared" si="7"/>
        <v>185</v>
      </c>
      <c r="J95" s="7" t="s">
        <v>3841</v>
      </c>
      <c r="L95" s="41">
        <v>46251</v>
      </c>
      <c r="M95" s="42" t="s">
        <v>3762</v>
      </c>
      <c r="N95" s="48">
        <v>185</v>
      </c>
      <c r="O95" s="49"/>
      <c r="P95" s="48">
        <v>4287753</v>
      </c>
      <c r="Q95" s="42" t="s">
        <v>1130</v>
      </c>
    </row>
    <row r="96" spans="1:17" ht="32.25" customHeight="1" thickBot="1">
      <c r="A96" s="7" t="s">
        <v>162</v>
      </c>
      <c r="B96" s="3">
        <f t="shared" si="4"/>
        <v>46251</v>
      </c>
      <c r="C96" s="4" t="str">
        <f t="shared" si="5"/>
        <v>デビット ７４８３４３</v>
      </c>
      <c r="E96" s="7" t="s">
        <v>478</v>
      </c>
      <c r="F96" s="7" t="s">
        <v>1129</v>
      </c>
      <c r="G96" s="7" t="s">
        <v>360</v>
      </c>
      <c r="H96" s="6">
        <f t="shared" si="6"/>
        <v>0</v>
      </c>
      <c r="I96" s="5">
        <f t="shared" si="7"/>
        <v>185</v>
      </c>
      <c r="J96" s="7" t="s">
        <v>3841</v>
      </c>
      <c r="L96" s="38">
        <v>46251</v>
      </c>
      <c r="M96" s="39" t="s">
        <v>3763</v>
      </c>
      <c r="N96" s="46">
        <v>185</v>
      </c>
      <c r="O96" s="47"/>
      <c r="P96" s="46">
        <v>4287938</v>
      </c>
      <c r="Q96" s="39" t="s">
        <v>1130</v>
      </c>
    </row>
    <row r="97" spans="1:17" ht="16.5" customHeight="1" thickBot="1">
      <c r="A97" s="7" t="s">
        <v>162</v>
      </c>
      <c r="B97" s="3">
        <f t="shared" si="4"/>
        <v>46251</v>
      </c>
      <c r="C97" s="4" t="str">
        <f t="shared" si="5"/>
        <v>デビット ７４８０１６</v>
      </c>
      <c r="E97" s="7" t="s">
        <v>478</v>
      </c>
      <c r="F97" s="7" t="s">
        <v>1129</v>
      </c>
      <c r="G97" s="7" t="s">
        <v>360</v>
      </c>
      <c r="H97" s="6">
        <f t="shared" si="6"/>
        <v>0</v>
      </c>
      <c r="I97" s="5">
        <f t="shared" si="7"/>
        <v>185</v>
      </c>
      <c r="J97" s="7" t="s">
        <v>3841</v>
      </c>
      <c r="L97" s="41">
        <v>46251</v>
      </c>
      <c r="M97" s="42" t="s">
        <v>3764</v>
      </c>
      <c r="N97" s="48">
        <v>185</v>
      </c>
      <c r="O97" s="49"/>
      <c r="P97" s="48">
        <v>4288123</v>
      </c>
      <c r="Q97" s="42" t="s">
        <v>1130</v>
      </c>
    </row>
    <row r="98" spans="1:17" ht="16.5" customHeight="1" thickBot="1">
      <c r="A98" s="7" t="s">
        <v>162</v>
      </c>
      <c r="B98" s="3">
        <f t="shared" si="4"/>
        <v>46251</v>
      </c>
      <c r="C98" s="4" t="str">
        <f t="shared" si="5"/>
        <v>総合振込手数料</v>
      </c>
      <c r="E98" s="7" t="s">
        <v>478</v>
      </c>
      <c r="F98" s="7" t="s">
        <v>1129</v>
      </c>
      <c r="G98" s="7" t="s">
        <v>360</v>
      </c>
      <c r="H98" s="6">
        <f t="shared" si="6"/>
        <v>0</v>
      </c>
      <c r="I98" s="5">
        <f t="shared" si="7"/>
        <v>2755</v>
      </c>
      <c r="J98" s="7" t="s">
        <v>3843</v>
      </c>
      <c r="L98" s="38">
        <v>46251</v>
      </c>
      <c r="M98" s="39" t="s">
        <v>1141</v>
      </c>
      <c r="N98" s="47">
        <v>2755</v>
      </c>
      <c r="O98" s="46"/>
      <c r="P98" s="46">
        <v>4288308</v>
      </c>
      <c r="Q98" s="39" t="s">
        <v>1130</v>
      </c>
    </row>
    <row r="99" spans="1:17" ht="32.25" customHeight="1" thickBot="1">
      <c r="A99" s="7" t="s">
        <v>162</v>
      </c>
      <c r="B99" s="3">
        <f t="shared" si="4"/>
        <v>46251</v>
      </c>
      <c r="C99" s="4" t="str">
        <f t="shared" si="5"/>
        <v>振込＊ジーエムオーペイメントゲートウエイ</v>
      </c>
      <c r="E99" s="7" t="s">
        <v>478</v>
      </c>
      <c r="F99" s="7" t="s">
        <v>1129</v>
      </c>
      <c r="G99" s="7" t="s">
        <v>360</v>
      </c>
      <c r="H99" s="6">
        <f t="shared" si="6"/>
        <v>2155162</v>
      </c>
      <c r="I99" s="5">
        <f t="shared" si="7"/>
        <v>0</v>
      </c>
      <c r="J99" s="7" t="s">
        <v>3844</v>
      </c>
      <c r="L99" s="41">
        <v>46251</v>
      </c>
      <c r="M99" s="42" t="s">
        <v>1138</v>
      </c>
      <c r="N99" s="48"/>
      <c r="O99" s="49">
        <v>2155162</v>
      </c>
      <c r="P99" s="48">
        <v>4291063</v>
      </c>
      <c r="Q99" s="42" t="s">
        <v>1130</v>
      </c>
    </row>
    <row r="100" spans="1:17" ht="16.5" customHeight="1" thickBot="1">
      <c r="A100" s="7" t="s">
        <v>162</v>
      </c>
      <c r="B100" s="3">
        <f t="shared" si="4"/>
        <v>46252</v>
      </c>
      <c r="C100" s="4" t="str">
        <f t="shared" si="5"/>
        <v>デビット ００４７６７</v>
      </c>
      <c r="E100" s="7" t="s">
        <v>478</v>
      </c>
      <c r="F100" s="7" t="s">
        <v>1129</v>
      </c>
      <c r="G100" s="7" t="s">
        <v>360</v>
      </c>
      <c r="H100" s="6">
        <f t="shared" si="6"/>
        <v>0</v>
      </c>
      <c r="I100" s="5">
        <f t="shared" si="7"/>
        <v>185</v>
      </c>
      <c r="J100" s="7" t="s">
        <v>3841</v>
      </c>
      <c r="L100" s="38">
        <v>46252</v>
      </c>
      <c r="M100" s="39" t="s">
        <v>3765</v>
      </c>
      <c r="N100" s="46">
        <v>185</v>
      </c>
      <c r="O100" s="47"/>
      <c r="P100" s="46">
        <v>5789753</v>
      </c>
      <c r="Q100" s="39" t="s">
        <v>1130</v>
      </c>
    </row>
    <row r="101" spans="1:17" ht="16.5" customHeight="1" thickBot="1">
      <c r="A101" s="7" t="s">
        <v>162</v>
      </c>
      <c r="B101" s="3">
        <f t="shared" si="4"/>
        <v>46252</v>
      </c>
      <c r="C101" s="4" t="str">
        <f t="shared" si="5"/>
        <v>デビット ００４１３５</v>
      </c>
      <c r="E101" s="7" t="s">
        <v>478</v>
      </c>
      <c r="F101" s="7" t="s">
        <v>1129</v>
      </c>
      <c r="G101" s="7" t="s">
        <v>360</v>
      </c>
      <c r="H101" s="6">
        <f t="shared" si="6"/>
        <v>0</v>
      </c>
      <c r="I101" s="5">
        <f t="shared" si="7"/>
        <v>185</v>
      </c>
      <c r="J101" s="7" t="s">
        <v>3841</v>
      </c>
      <c r="L101" s="41">
        <v>46252</v>
      </c>
      <c r="M101" s="42" t="s">
        <v>3766</v>
      </c>
      <c r="N101" s="48">
        <v>185</v>
      </c>
      <c r="O101" s="49"/>
      <c r="P101" s="48">
        <v>5789938</v>
      </c>
      <c r="Q101" s="42" t="s">
        <v>1130</v>
      </c>
    </row>
    <row r="102" spans="1:17" ht="16.5" customHeight="1" thickBot="1">
      <c r="A102" s="7" t="s">
        <v>162</v>
      </c>
      <c r="B102" s="3">
        <f t="shared" si="4"/>
        <v>46252</v>
      </c>
      <c r="C102" s="4" t="str">
        <f t="shared" si="5"/>
        <v>デビット ００２０５１</v>
      </c>
      <c r="E102" s="7" t="s">
        <v>478</v>
      </c>
      <c r="F102" s="7" t="s">
        <v>1129</v>
      </c>
      <c r="G102" s="7" t="s">
        <v>360</v>
      </c>
      <c r="H102" s="6">
        <f t="shared" si="6"/>
        <v>0</v>
      </c>
      <c r="I102" s="5">
        <f t="shared" si="7"/>
        <v>185</v>
      </c>
      <c r="J102" s="7" t="s">
        <v>3841</v>
      </c>
      <c r="L102" s="38">
        <v>46252</v>
      </c>
      <c r="M102" s="39" t="s">
        <v>3767</v>
      </c>
      <c r="N102" s="46">
        <v>185</v>
      </c>
      <c r="O102" s="47"/>
      <c r="P102" s="46">
        <v>5790123</v>
      </c>
      <c r="Q102" s="39" t="s">
        <v>1130</v>
      </c>
    </row>
    <row r="103" spans="1:17" ht="16.5" customHeight="1" thickBot="1">
      <c r="A103" s="7" t="s">
        <v>162</v>
      </c>
      <c r="B103" s="3">
        <f t="shared" si="4"/>
        <v>46252</v>
      </c>
      <c r="C103" s="4" t="str">
        <f t="shared" si="5"/>
        <v>デビット ００１５６８</v>
      </c>
      <c r="E103" s="7" t="s">
        <v>478</v>
      </c>
      <c r="F103" s="7" t="s">
        <v>1129</v>
      </c>
      <c r="G103" s="7" t="s">
        <v>360</v>
      </c>
      <c r="H103" s="6">
        <f t="shared" si="6"/>
        <v>0</v>
      </c>
      <c r="I103" s="5">
        <f t="shared" si="7"/>
        <v>185</v>
      </c>
      <c r="J103" s="7" t="s">
        <v>3841</v>
      </c>
      <c r="L103" s="41">
        <v>46252</v>
      </c>
      <c r="M103" s="42" t="s">
        <v>3768</v>
      </c>
      <c r="N103" s="48">
        <v>185</v>
      </c>
      <c r="O103" s="49"/>
      <c r="P103" s="48">
        <v>5790308</v>
      </c>
      <c r="Q103" s="42" t="s">
        <v>1130</v>
      </c>
    </row>
    <row r="104" spans="1:17" ht="16.5" customHeight="1" thickBot="1">
      <c r="A104" s="7" t="s">
        <v>162</v>
      </c>
      <c r="B104" s="3">
        <f t="shared" si="4"/>
        <v>46252</v>
      </c>
      <c r="C104" s="4" t="str">
        <f t="shared" si="5"/>
        <v>振込＊ド ドウツク フイ</v>
      </c>
      <c r="E104" s="7" t="s">
        <v>1150</v>
      </c>
      <c r="F104" s="7" t="s">
        <v>1151</v>
      </c>
      <c r="G104" s="7" t="s">
        <v>165</v>
      </c>
      <c r="H104" s="6">
        <f t="shared" si="6"/>
        <v>3850</v>
      </c>
      <c r="I104" s="5">
        <f t="shared" si="7"/>
        <v>0</v>
      </c>
      <c r="J104" s="7" t="s">
        <v>1133</v>
      </c>
      <c r="L104" s="38">
        <v>46252</v>
      </c>
      <c r="M104" s="39" t="s">
        <v>1149</v>
      </c>
      <c r="N104" s="46"/>
      <c r="O104" s="47">
        <v>3850</v>
      </c>
      <c r="P104" s="46">
        <v>5790493</v>
      </c>
      <c r="Q104" s="39" t="s">
        <v>1130</v>
      </c>
    </row>
    <row r="105" spans="1:17" ht="16.5" customHeight="1" thickBot="1">
      <c r="A105" s="7" t="s">
        <v>162</v>
      </c>
      <c r="B105" s="3">
        <f t="shared" si="4"/>
        <v>46252</v>
      </c>
      <c r="C105" s="4" t="str">
        <f t="shared" si="5"/>
        <v>振込＊アライ タカアキ</v>
      </c>
      <c r="E105" s="7" t="s">
        <v>478</v>
      </c>
      <c r="F105" s="7" t="s">
        <v>1129</v>
      </c>
      <c r="G105" s="7" t="s">
        <v>360</v>
      </c>
      <c r="H105" s="6">
        <f t="shared" si="6"/>
        <v>1500000</v>
      </c>
      <c r="I105" s="5">
        <f t="shared" si="7"/>
        <v>0</v>
      </c>
      <c r="J105" s="7" t="s">
        <v>3850</v>
      </c>
      <c r="L105" s="41">
        <v>46252</v>
      </c>
      <c r="M105" s="42" t="s">
        <v>1147</v>
      </c>
      <c r="N105" s="48"/>
      <c r="O105" s="49">
        <v>1500000</v>
      </c>
      <c r="P105" s="48">
        <v>5786643</v>
      </c>
      <c r="Q105" s="42" t="s">
        <v>1130</v>
      </c>
    </row>
    <row r="106" spans="1:17" ht="16.5" customHeight="1" thickBot="1">
      <c r="A106" s="7" t="s">
        <v>162</v>
      </c>
      <c r="B106" s="3">
        <f t="shared" si="4"/>
        <v>46253</v>
      </c>
      <c r="C106" s="4" t="str">
        <f t="shared" si="5"/>
        <v>振込手数料</v>
      </c>
      <c r="E106" s="7" t="s">
        <v>478</v>
      </c>
      <c r="F106" s="7" t="s">
        <v>1129</v>
      </c>
      <c r="G106" s="7" t="s">
        <v>360</v>
      </c>
      <c r="H106" s="6">
        <f t="shared" si="6"/>
        <v>0</v>
      </c>
      <c r="I106" s="5">
        <f t="shared" si="7"/>
        <v>140</v>
      </c>
      <c r="J106" s="7" t="s">
        <v>3840</v>
      </c>
      <c r="L106" s="38">
        <v>46253</v>
      </c>
      <c r="M106" s="39" t="s">
        <v>1136</v>
      </c>
      <c r="N106" s="46">
        <v>140</v>
      </c>
      <c r="O106" s="47"/>
      <c r="P106" s="46">
        <v>5043946</v>
      </c>
      <c r="Q106" s="39" t="s">
        <v>1130</v>
      </c>
    </row>
    <row r="107" spans="1:17" ht="32.25" customHeight="1" thickBot="1">
      <c r="A107" s="7" t="s">
        <v>162</v>
      </c>
      <c r="B107" s="3">
        <f t="shared" si="4"/>
        <v>46253</v>
      </c>
      <c r="C107" s="4" t="str">
        <f t="shared" si="5"/>
        <v>振込＊ド）アシスト</v>
      </c>
      <c r="E107" s="7" t="s">
        <v>3851</v>
      </c>
      <c r="G107" s="7" t="s">
        <v>360</v>
      </c>
      <c r="H107" s="6">
        <f t="shared" si="6"/>
        <v>0</v>
      </c>
      <c r="I107" s="5">
        <f t="shared" si="7"/>
        <v>745667</v>
      </c>
      <c r="J107" s="7" t="s">
        <v>3857</v>
      </c>
      <c r="L107" s="41">
        <v>46253</v>
      </c>
      <c r="M107" s="42" t="s">
        <v>1148</v>
      </c>
      <c r="N107" s="49">
        <v>745667</v>
      </c>
      <c r="O107" s="48"/>
      <c r="P107" s="48">
        <v>5044086</v>
      </c>
      <c r="Q107" s="42" t="s">
        <v>1130</v>
      </c>
    </row>
    <row r="108" spans="1:17" ht="32.25" customHeight="1" thickBot="1">
      <c r="A108" s="7" t="s">
        <v>162</v>
      </c>
      <c r="B108" s="3">
        <f t="shared" si="4"/>
        <v>46254</v>
      </c>
      <c r="C108" s="4" t="str">
        <f t="shared" si="5"/>
        <v>デビット ６３６８６６</v>
      </c>
      <c r="E108" s="7" t="s">
        <v>478</v>
      </c>
      <c r="F108" s="7" t="s">
        <v>1129</v>
      </c>
      <c r="G108" s="7" t="s">
        <v>360</v>
      </c>
      <c r="H108" s="6">
        <f t="shared" si="6"/>
        <v>0</v>
      </c>
      <c r="I108" s="5">
        <f t="shared" si="7"/>
        <v>600</v>
      </c>
      <c r="J108" s="7" t="s">
        <v>3841</v>
      </c>
      <c r="L108" s="38">
        <v>46254</v>
      </c>
      <c r="M108" s="39" t="s">
        <v>3769</v>
      </c>
      <c r="N108" s="47">
        <v>600</v>
      </c>
      <c r="O108" s="46"/>
      <c r="P108" s="46">
        <v>4996036</v>
      </c>
      <c r="Q108" s="39" t="s">
        <v>1130</v>
      </c>
    </row>
    <row r="109" spans="1:17" ht="16.5" customHeight="1" thickBot="1">
      <c r="A109" s="7" t="s">
        <v>162</v>
      </c>
      <c r="B109" s="3">
        <f t="shared" si="4"/>
        <v>46254</v>
      </c>
      <c r="C109" s="4" t="str">
        <f t="shared" si="5"/>
        <v>振込＊レー ヒユー デユイ</v>
      </c>
      <c r="E109" s="7" t="s">
        <v>1166</v>
      </c>
      <c r="F109" s="7" t="s">
        <v>1167</v>
      </c>
      <c r="G109" s="7" t="s">
        <v>165</v>
      </c>
      <c r="H109" s="6">
        <f t="shared" si="6"/>
        <v>3850</v>
      </c>
      <c r="I109" s="5">
        <f t="shared" si="7"/>
        <v>0</v>
      </c>
      <c r="J109" s="7" t="s">
        <v>1133</v>
      </c>
      <c r="L109" s="41">
        <v>46254</v>
      </c>
      <c r="M109" s="42" t="s">
        <v>1154</v>
      </c>
      <c r="N109" s="49"/>
      <c r="O109" s="48">
        <v>3850</v>
      </c>
      <c r="P109" s="48">
        <v>4996636</v>
      </c>
      <c r="Q109" s="42" t="s">
        <v>1130</v>
      </c>
    </row>
    <row r="110" spans="1:17" ht="16.5" customHeight="1" thickBot="1">
      <c r="A110" s="7" t="s">
        <v>162</v>
      </c>
      <c r="B110" s="3">
        <f t="shared" si="4"/>
        <v>46254</v>
      </c>
      <c r="C110" s="4" t="str">
        <f t="shared" si="5"/>
        <v>デビット ５２１９４７</v>
      </c>
      <c r="E110" s="7" t="s">
        <v>478</v>
      </c>
      <c r="F110" s="7" t="s">
        <v>1129</v>
      </c>
      <c r="G110" s="7" t="s">
        <v>360</v>
      </c>
      <c r="H110" s="6">
        <f t="shared" si="6"/>
        <v>0</v>
      </c>
      <c r="I110" s="5">
        <f t="shared" si="7"/>
        <v>53900</v>
      </c>
      <c r="J110" s="7" t="s">
        <v>3842</v>
      </c>
      <c r="L110" s="38">
        <v>46254</v>
      </c>
      <c r="M110" s="39" t="s">
        <v>3770</v>
      </c>
      <c r="N110" s="47">
        <v>53900</v>
      </c>
      <c r="O110" s="46"/>
      <c r="P110" s="46">
        <v>4992786</v>
      </c>
      <c r="Q110" s="39" t="s">
        <v>1130</v>
      </c>
    </row>
    <row r="111" spans="1:17" ht="16.5" customHeight="1" thickBot="1">
      <c r="A111" s="7" t="s">
        <v>162</v>
      </c>
      <c r="B111" s="3">
        <f t="shared" si="4"/>
        <v>46254</v>
      </c>
      <c r="C111" s="4" t="str">
        <f t="shared" si="5"/>
        <v>振込＊エスピラ アルフレド ヘーレラ</v>
      </c>
      <c r="E111" s="7" t="s">
        <v>1155</v>
      </c>
      <c r="F111" s="7" t="s">
        <v>1156</v>
      </c>
      <c r="G111" s="7" t="s">
        <v>165</v>
      </c>
      <c r="H111" s="6">
        <f t="shared" si="6"/>
        <v>3850</v>
      </c>
      <c r="I111" s="5">
        <f t="shared" si="7"/>
        <v>0</v>
      </c>
      <c r="J111" s="7" t="s">
        <v>1133</v>
      </c>
      <c r="L111" s="41">
        <v>46254</v>
      </c>
      <c r="M111" s="42" t="s">
        <v>1168</v>
      </c>
      <c r="N111" s="48"/>
      <c r="O111" s="49">
        <v>3850</v>
      </c>
      <c r="P111" s="48">
        <v>5046686</v>
      </c>
      <c r="Q111" s="42" t="s">
        <v>1130</v>
      </c>
    </row>
    <row r="112" spans="1:17" ht="16.5" customHeight="1" thickBot="1">
      <c r="A112" s="7" t="s">
        <v>162</v>
      </c>
      <c r="B112" s="3">
        <f t="shared" si="4"/>
        <v>46255</v>
      </c>
      <c r="C112" s="4" t="str">
        <f t="shared" si="5"/>
        <v>振込＊オカダ エジバルド</v>
      </c>
      <c r="E112" s="7" t="s">
        <v>1157</v>
      </c>
      <c r="F112" s="7" t="s">
        <v>1158</v>
      </c>
      <c r="G112" s="7" t="s">
        <v>165</v>
      </c>
      <c r="H112" s="6">
        <f t="shared" si="6"/>
        <v>3850</v>
      </c>
      <c r="I112" s="5">
        <f t="shared" si="7"/>
        <v>0</v>
      </c>
      <c r="J112" s="7" t="s">
        <v>1133</v>
      </c>
      <c r="L112" s="38">
        <v>46255</v>
      </c>
      <c r="M112" s="39" t="s">
        <v>1162</v>
      </c>
      <c r="N112" s="46"/>
      <c r="O112" s="47">
        <v>3850</v>
      </c>
      <c r="P112" s="46">
        <v>5002996</v>
      </c>
      <c r="Q112" s="39" t="s">
        <v>1130</v>
      </c>
    </row>
    <row r="113" spans="1:17" ht="16.5" customHeight="1" thickBot="1">
      <c r="A113" s="7" t="s">
        <v>162</v>
      </c>
      <c r="B113" s="3">
        <f t="shared" si="4"/>
        <v>46255</v>
      </c>
      <c r="C113" s="4" t="str">
        <f t="shared" si="5"/>
        <v>デビット ８８３６４９</v>
      </c>
      <c r="E113" s="7" t="s">
        <v>478</v>
      </c>
      <c r="F113" s="7" t="s">
        <v>1129</v>
      </c>
      <c r="G113" s="7" t="s">
        <v>360</v>
      </c>
      <c r="H113" s="6">
        <f t="shared" si="6"/>
        <v>0</v>
      </c>
      <c r="I113" s="5">
        <f t="shared" si="7"/>
        <v>185</v>
      </c>
      <c r="J113" s="7" t="s">
        <v>3841</v>
      </c>
      <c r="L113" s="41">
        <v>46255</v>
      </c>
      <c r="M113" s="42" t="s">
        <v>3771</v>
      </c>
      <c r="N113" s="49">
        <v>185</v>
      </c>
      <c r="O113" s="48"/>
      <c r="P113" s="48">
        <v>4999146</v>
      </c>
      <c r="Q113" s="42" t="s">
        <v>1130</v>
      </c>
    </row>
    <row r="114" spans="1:17" ht="16.5" customHeight="1" thickBot="1">
      <c r="A114" s="7" t="s">
        <v>162</v>
      </c>
      <c r="B114" s="3">
        <f t="shared" si="4"/>
        <v>46255</v>
      </c>
      <c r="C114" s="4" t="str">
        <f t="shared" si="5"/>
        <v>デビット ８８３１８７</v>
      </c>
      <c r="E114" s="7" t="s">
        <v>478</v>
      </c>
      <c r="F114" s="7" t="s">
        <v>1129</v>
      </c>
      <c r="G114" s="7" t="s">
        <v>360</v>
      </c>
      <c r="H114" s="6">
        <f t="shared" si="6"/>
        <v>0</v>
      </c>
      <c r="I114" s="5">
        <f t="shared" si="7"/>
        <v>185</v>
      </c>
      <c r="J114" s="7" t="s">
        <v>3841</v>
      </c>
      <c r="L114" s="38">
        <v>46255</v>
      </c>
      <c r="M114" s="39" t="s">
        <v>3772</v>
      </c>
      <c r="N114" s="46">
        <v>185</v>
      </c>
      <c r="O114" s="47"/>
      <c r="P114" s="46">
        <v>4999331</v>
      </c>
      <c r="Q114" s="39" t="s">
        <v>1130</v>
      </c>
    </row>
    <row r="115" spans="1:17" ht="16.5" customHeight="1" thickBot="1">
      <c r="A115" s="7" t="s">
        <v>162</v>
      </c>
      <c r="B115" s="3">
        <f t="shared" si="4"/>
        <v>46255</v>
      </c>
      <c r="C115" s="4" t="str">
        <f t="shared" si="5"/>
        <v>デビット ８８２５５２</v>
      </c>
      <c r="E115" s="7" t="s">
        <v>478</v>
      </c>
      <c r="F115" s="7" t="s">
        <v>1129</v>
      </c>
      <c r="G115" s="7" t="s">
        <v>360</v>
      </c>
      <c r="H115" s="6">
        <f t="shared" si="6"/>
        <v>0</v>
      </c>
      <c r="I115" s="5">
        <f t="shared" si="7"/>
        <v>185</v>
      </c>
      <c r="J115" s="7" t="s">
        <v>3841</v>
      </c>
      <c r="L115" s="41">
        <v>46255</v>
      </c>
      <c r="M115" s="42" t="s">
        <v>3773</v>
      </c>
      <c r="N115" s="48">
        <v>185</v>
      </c>
      <c r="O115" s="49"/>
      <c r="P115" s="48">
        <v>4999516</v>
      </c>
      <c r="Q115" s="42" t="s">
        <v>1130</v>
      </c>
    </row>
    <row r="116" spans="1:17" ht="16.5" customHeight="1" thickBot="1">
      <c r="A116" s="7" t="s">
        <v>162</v>
      </c>
      <c r="B116" s="3">
        <f t="shared" si="4"/>
        <v>46255</v>
      </c>
      <c r="C116" s="4" t="str">
        <f t="shared" si="5"/>
        <v>デビット ８８１４９２</v>
      </c>
      <c r="E116" s="7" t="s">
        <v>478</v>
      </c>
      <c r="F116" s="7" t="s">
        <v>1129</v>
      </c>
      <c r="G116" s="7" t="s">
        <v>360</v>
      </c>
      <c r="H116" s="6">
        <f t="shared" si="6"/>
        <v>0</v>
      </c>
      <c r="I116" s="5">
        <f t="shared" si="7"/>
        <v>185</v>
      </c>
      <c r="J116" s="7" t="s">
        <v>3841</v>
      </c>
      <c r="L116" s="38">
        <v>46255</v>
      </c>
      <c r="M116" s="39" t="s">
        <v>3774</v>
      </c>
      <c r="N116" s="46">
        <v>185</v>
      </c>
      <c r="O116" s="47"/>
      <c r="P116" s="46">
        <v>4999701</v>
      </c>
      <c r="Q116" s="39" t="s">
        <v>1130</v>
      </c>
    </row>
    <row r="117" spans="1:17" ht="16.5" customHeight="1" thickBot="1">
      <c r="A117" s="7" t="s">
        <v>162</v>
      </c>
      <c r="B117" s="3">
        <f t="shared" si="4"/>
        <v>46255</v>
      </c>
      <c r="C117" s="4" t="str">
        <f t="shared" si="5"/>
        <v>振込＊デイン ウ゛ タイン ガン</v>
      </c>
      <c r="E117" s="7" t="s">
        <v>1160</v>
      </c>
      <c r="F117" s="7" t="s">
        <v>1161</v>
      </c>
      <c r="G117" s="7" t="s">
        <v>165</v>
      </c>
      <c r="H117" s="6">
        <f t="shared" si="6"/>
        <v>3850</v>
      </c>
      <c r="I117" s="5">
        <f t="shared" si="7"/>
        <v>0</v>
      </c>
      <c r="J117" s="7" t="s">
        <v>1133</v>
      </c>
      <c r="L117" s="41">
        <v>46255</v>
      </c>
      <c r="M117" s="42" t="s">
        <v>1159</v>
      </c>
      <c r="N117" s="48"/>
      <c r="O117" s="49">
        <v>3850</v>
      </c>
      <c r="P117" s="48">
        <v>4999886</v>
      </c>
      <c r="Q117" s="42" t="s">
        <v>1130</v>
      </c>
    </row>
    <row r="118" spans="1:17" ht="16.5" customHeight="1" thickBot="1">
      <c r="A118" s="7" t="s">
        <v>162</v>
      </c>
      <c r="B118" s="3">
        <f t="shared" si="4"/>
        <v>46255</v>
      </c>
      <c r="C118" s="4" t="str">
        <f t="shared" si="5"/>
        <v>デビット ９２５７８９</v>
      </c>
      <c r="E118" s="7" t="e">
        <v>#N/A</v>
      </c>
      <c r="G118" s="7" t="s">
        <v>360</v>
      </c>
      <c r="H118" s="6">
        <f t="shared" si="6"/>
        <v>0</v>
      </c>
      <c r="I118" s="5">
        <f t="shared" si="7"/>
        <v>185</v>
      </c>
      <c r="J118" s="7" t="s">
        <v>3841</v>
      </c>
      <c r="L118" s="38">
        <v>46255</v>
      </c>
      <c r="M118" s="39" t="s">
        <v>3775</v>
      </c>
      <c r="N118" s="46">
        <v>185</v>
      </c>
      <c r="O118" s="47"/>
      <c r="P118" s="46">
        <v>5001331</v>
      </c>
      <c r="Q118" s="39" t="s">
        <v>1130</v>
      </c>
    </row>
    <row r="119" spans="1:17" ht="16.5" customHeight="1" thickBot="1">
      <c r="A119" s="7" t="s">
        <v>162</v>
      </c>
      <c r="B119" s="3">
        <f t="shared" si="4"/>
        <v>46255</v>
      </c>
      <c r="C119" s="4" t="str">
        <f t="shared" si="5"/>
        <v>デビット ９２５２２６</v>
      </c>
      <c r="E119" s="7" t="e">
        <v>#N/A</v>
      </c>
      <c r="G119" s="7" t="s">
        <v>360</v>
      </c>
      <c r="H119" s="6">
        <f t="shared" si="6"/>
        <v>0</v>
      </c>
      <c r="I119" s="5">
        <f t="shared" si="7"/>
        <v>185</v>
      </c>
      <c r="J119" s="7" t="s">
        <v>3841</v>
      </c>
      <c r="L119" s="41">
        <v>46255</v>
      </c>
      <c r="M119" s="42" t="s">
        <v>3776</v>
      </c>
      <c r="N119" s="48">
        <v>185</v>
      </c>
      <c r="O119" s="49"/>
      <c r="P119" s="48">
        <v>5001516</v>
      </c>
      <c r="Q119" s="42" t="s">
        <v>1130</v>
      </c>
    </row>
    <row r="120" spans="1:17" ht="16.5" customHeight="1" thickBot="1">
      <c r="A120" s="7" t="s">
        <v>162</v>
      </c>
      <c r="B120" s="3">
        <f t="shared" si="4"/>
        <v>46255</v>
      </c>
      <c r="C120" s="4" t="str">
        <f t="shared" si="5"/>
        <v>デビット ９１８７５６</v>
      </c>
      <c r="E120" s="7" t="e">
        <v>#N/A</v>
      </c>
      <c r="G120" s="7" t="s">
        <v>360</v>
      </c>
      <c r="H120" s="6">
        <f t="shared" si="6"/>
        <v>0</v>
      </c>
      <c r="I120" s="5">
        <f t="shared" si="7"/>
        <v>185</v>
      </c>
      <c r="J120" s="7" t="s">
        <v>3841</v>
      </c>
      <c r="L120" s="38">
        <v>46255</v>
      </c>
      <c r="M120" s="39" t="s">
        <v>3777</v>
      </c>
      <c r="N120" s="46">
        <v>185</v>
      </c>
      <c r="O120" s="47"/>
      <c r="P120" s="46">
        <v>5001701</v>
      </c>
      <c r="Q120" s="39" t="s">
        <v>1130</v>
      </c>
    </row>
    <row r="121" spans="1:17" ht="16.5" customHeight="1" thickBot="1">
      <c r="A121" s="7" t="s">
        <v>162</v>
      </c>
      <c r="B121" s="3">
        <f t="shared" si="4"/>
        <v>46255</v>
      </c>
      <c r="C121" s="4" t="str">
        <f t="shared" si="5"/>
        <v>デビット ９１８２３８</v>
      </c>
      <c r="E121" s="7" t="e">
        <v>#N/A</v>
      </c>
      <c r="G121" s="7" t="s">
        <v>360</v>
      </c>
      <c r="H121" s="6">
        <f t="shared" si="6"/>
        <v>0</v>
      </c>
      <c r="I121" s="5">
        <f t="shared" si="7"/>
        <v>185</v>
      </c>
      <c r="J121" s="7" t="s">
        <v>3841</v>
      </c>
      <c r="L121" s="41">
        <v>46255</v>
      </c>
      <c r="M121" s="42" t="s">
        <v>3778</v>
      </c>
      <c r="N121" s="48">
        <v>185</v>
      </c>
      <c r="O121" s="49"/>
      <c r="P121" s="48">
        <v>5001886</v>
      </c>
      <c r="Q121" s="42" t="s">
        <v>1130</v>
      </c>
    </row>
    <row r="122" spans="1:17" ht="16.5" customHeight="1" thickBot="1">
      <c r="A122" s="7" t="s">
        <v>162</v>
      </c>
      <c r="B122" s="3">
        <f t="shared" si="4"/>
        <v>46255</v>
      </c>
      <c r="C122" s="4" t="str">
        <f t="shared" si="5"/>
        <v>デビット ９１５７５５</v>
      </c>
      <c r="E122" s="7" t="e">
        <v>#N/A</v>
      </c>
      <c r="G122" s="7" t="s">
        <v>360</v>
      </c>
      <c r="H122" s="6">
        <f t="shared" si="6"/>
        <v>0</v>
      </c>
      <c r="I122" s="5">
        <f t="shared" si="7"/>
        <v>185</v>
      </c>
      <c r="J122" s="7" t="s">
        <v>3841</v>
      </c>
      <c r="L122" s="38">
        <v>46255</v>
      </c>
      <c r="M122" s="39" t="s">
        <v>3779</v>
      </c>
      <c r="N122" s="46">
        <v>185</v>
      </c>
      <c r="O122" s="47"/>
      <c r="P122" s="46">
        <v>5002071</v>
      </c>
      <c r="Q122" s="39" t="s">
        <v>1130</v>
      </c>
    </row>
    <row r="123" spans="1:17" ht="16.5" customHeight="1" thickBot="1">
      <c r="A123" s="7" t="s">
        <v>162</v>
      </c>
      <c r="B123" s="3">
        <f t="shared" si="4"/>
        <v>46255</v>
      </c>
      <c r="C123" s="4" t="str">
        <f t="shared" si="5"/>
        <v>デビット ９１４９９４</v>
      </c>
      <c r="E123" s="7" t="e">
        <v>#N/A</v>
      </c>
      <c r="G123" s="7" t="s">
        <v>360</v>
      </c>
      <c r="H123" s="6">
        <f t="shared" si="6"/>
        <v>0</v>
      </c>
      <c r="I123" s="5">
        <f t="shared" si="7"/>
        <v>185</v>
      </c>
      <c r="J123" s="7" t="s">
        <v>3841</v>
      </c>
      <c r="L123" s="41">
        <v>46255</v>
      </c>
      <c r="M123" s="42" t="s">
        <v>3780</v>
      </c>
      <c r="N123" s="48">
        <v>185</v>
      </c>
      <c r="O123" s="49"/>
      <c r="P123" s="48">
        <v>5002256</v>
      </c>
      <c r="Q123" s="42" t="s">
        <v>1130</v>
      </c>
    </row>
    <row r="124" spans="1:17" ht="16.5" customHeight="1" thickBot="1">
      <c r="A124" s="7" t="s">
        <v>162</v>
      </c>
      <c r="B124" s="3">
        <f t="shared" si="4"/>
        <v>46255</v>
      </c>
      <c r="C124" s="4" t="str">
        <f t="shared" si="5"/>
        <v>デビット ９１４４８９</v>
      </c>
      <c r="E124" s="7" t="e">
        <v>#N/A</v>
      </c>
      <c r="G124" s="7" t="s">
        <v>360</v>
      </c>
      <c r="H124" s="6">
        <f t="shared" si="6"/>
        <v>0</v>
      </c>
      <c r="I124" s="5">
        <f t="shared" si="7"/>
        <v>185</v>
      </c>
      <c r="J124" s="7" t="s">
        <v>3841</v>
      </c>
      <c r="L124" s="38">
        <v>46255</v>
      </c>
      <c r="M124" s="39" t="s">
        <v>3781</v>
      </c>
      <c r="N124" s="46">
        <v>185</v>
      </c>
      <c r="O124" s="47"/>
      <c r="P124" s="46">
        <v>5002441</v>
      </c>
      <c r="Q124" s="39" t="s">
        <v>1130</v>
      </c>
    </row>
    <row r="125" spans="1:17" ht="16.5" customHeight="1" thickBot="1">
      <c r="A125" s="7" t="s">
        <v>162</v>
      </c>
      <c r="B125" s="3">
        <f t="shared" si="4"/>
        <v>46255</v>
      </c>
      <c r="C125" s="4" t="str">
        <f t="shared" si="5"/>
        <v>デビット ９０６７１６</v>
      </c>
      <c r="E125" s="7" t="e">
        <v>#N/A</v>
      </c>
      <c r="G125" s="7" t="s">
        <v>360</v>
      </c>
      <c r="H125" s="6">
        <f t="shared" si="6"/>
        <v>0</v>
      </c>
      <c r="I125" s="5">
        <f t="shared" si="7"/>
        <v>185</v>
      </c>
      <c r="J125" s="7" t="s">
        <v>3841</v>
      </c>
      <c r="L125" s="41">
        <v>46255</v>
      </c>
      <c r="M125" s="42" t="s">
        <v>3782</v>
      </c>
      <c r="N125" s="49">
        <v>185</v>
      </c>
      <c r="O125" s="48"/>
      <c r="P125" s="48">
        <v>5002626</v>
      </c>
      <c r="Q125" s="42" t="s">
        <v>1130</v>
      </c>
    </row>
    <row r="126" spans="1:17" ht="16.5" customHeight="1" thickBot="1">
      <c r="A126" s="7" t="s">
        <v>162</v>
      </c>
      <c r="B126" s="3">
        <f t="shared" si="4"/>
        <v>46255</v>
      </c>
      <c r="C126" s="4" t="str">
        <f t="shared" si="5"/>
        <v>デビット ９０６１６１</v>
      </c>
      <c r="E126" s="7" t="e">
        <v>#N/A</v>
      </c>
      <c r="G126" s="7" t="s">
        <v>360</v>
      </c>
      <c r="H126" s="6">
        <f t="shared" si="6"/>
        <v>0</v>
      </c>
      <c r="I126" s="5">
        <f t="shared" si="7"/>
        <v>185</v>
      </c>
      <c r="J126" s="7" t="s">
        <v>3841</v>
      </c>
      <c r="L126" s="38">
        <v>46255</v>
      </c>
      <c r="M126" s="39" t="s">
        <v>3783</v>
      </c>
      <c r="N126" s="46">
        <v>185</v>
      </c>
      <c r="O126" s="47"/>
      <c r="P126" s="46">
        <v>5002811</v>
      </c>
      <c r="Q126" s="39" t="s">
        <v>1130</v>
      </c>
    </row>
    <row r="127" spans="1:17" ht="32.25" customHeight="1" thickBot="1">
      <c r="A127" s="7" t="s">
        <v>162</v>
      </c>
      <c r="B127" s="3">
        <f t="shared" si="4"/>
        <v>46256</v>
      </c>
      <c r="C127" s="4" t="str">
        <f t="shared" si="5"/>
        <v>取消＊デビット ４９８８８３</v>
      </c>
      <c r="E127" s="7" t="s">
        <v>478</v>
      </c>
      <c r="F127" s="7" t="s">
        <v>1129</v>
      </c>
      <c r="G127" s="7" t="s">
        <v>360</v>
      </c>
      <c r="H127" s="6">
        <f t="shared" si="6"/>
        <v>185</v>
      </c>
      <c r="I127" s="5">
        <f t="shared" si="7"/>
        <v>0</v>
      </c>
      <c r="J127" s="7" t="s">
        <v>3841</v>
      </c>
      <c r="L127" s="41">
        <v>46256</v>
      </c>
      <c r="M127" s="42" t="s">
        <v>3784</v>
      </c>
      <c r="N127" s="49"/>
      <c r="O127" s="48">
        <v>185</v>
      </c>
      <c r="P127" s="48">
        <v>4999653</v>
      </c>
      <c r="Q127" s="42" t="s">
        <v>1130</v>
      </c>
    </row>
    <row r="128" spans="1:17" ht="16.5" customHeight="1" thickBot="1">
      <c r="A128" s="7" t="s">
        <v>162</v>
      </c>
      <c r="B128" s="3">
        <f t="shared" si="4"/>
        <v>46256</v>
      </c>
      <c r="C128" s="4" t="str">
        <f t="shared" si="5"/>
        <v>デビット ０４４９１５</v>
      </c>
      <c r="E128" s="7" t="s">
        <v>478</v>
      </c>
      <c r="F128" s="7" t="s">
        <v>1129</v>
      </c>
      <c r="G128" s="7" t="s">
        <v>360</v>
      </c>
      <c r="H128" s="6">
        <f t="shared" si="6"/>
        <v>0</v>
      </c>
      <c r="I128" s="5">
        <f t="shared" si="7"/>
        <v>1863</v>
      </c>
      <c r="J128" s="7" t="s">
        <v>3841</v>
      </c>
      <c r="L128" s="38">
        <v>46256</v>
      </c>
      <c r="M128" s="39" t="s">
        <v>3785</v>
      </c>
      <c r="N128" s="46">
        <v>1863</v>
      </c>
      <c r="O128" s="47"/>
      <c r="P128" s="46">
        <v>4999468</v>
      </c>
      <c r="Q128" s="39" t="s">
        <v>1130</v>
      </c>
    </row>
    <row r="129" spans="1:17" ht="16.5" customHeight="1" thickBot="1">
      <c r="A129" s="7" t="s">
        <v>162</v>
      </c>
      <c r="B129" s="3">
        <f t="shared" si="4"/>
        <v>46257</v>
      </c>
      <c r="C129" s="4" t="str">
        <f t="shared" si="5"/>
        <v>取消＊デビット ８５８４３８</v>
      </c>
      <c r="E129" s="7" t="s">
        <v>478</v>
      </c>
      <c r="F129" s="7" t="s">
        <v>1129</v>
      </c>
      <c r="G129" s="7" t="s">
        <v>360</v>
      </c>
      <c r="H129" s="6">
        <f t="shared" si="6"/>
        <v>185</v>
      </c>
      <c r="I129" s="5">
        <f t="shared" si="7"/>
        <v>0</v>
      </c>
      <c r="J129" s="7" t="s">
        <v>3841</v>
      </c>
      <c r="L129" s="41">
        <v>46257</v>
      </c>
      <c r="M129" s="42" t="s">
        <v>3786</v>
      </c>
      <c r="N129" s="48"/>
      <c r="O129" s="49">
        <v>185</v>
      </c>
      <c r="P129" s="48">
        <v>4999838</v>
      </c>
      <c r="Q129" s="42" t="s">
        <v>1130</v>
      </c>
    </row>
    <row r="130" spans="1:17" ht="16.5" customHeight="1" thickBot="1">
      <c r="A130" s="7" t="s">
        <v>162</v>
      </c>
      <c r="B130" s="3">
        <f t="shared" si="4"/>
        <v>46258</v>
      </c>
      <c r="C130" s="4" t="str">
        <f t="shared" si="5"/>
        <v>デビット ７８２４１５</v>
      </c>
      <c r="E130" s="7" t="e">
        <v>#N/A</v>
      </c>
      <c r="G130" s="7" t="s">
        <v>360</v>
      </c>
      <c r="H130" s="6">
        <f t="shared" si="6"/>
        <v>0</v>
      </c>
      <c r="I130" s="5">
        <f t="shared" si="7"/>
        <v>185</v>
      </c>
      <c r="J130" s="7" t="s">
        <v>3841</v>
      </c>
      <c r="L130" s="38">
        <v>46258</v>
      </c>
      <c r="M130" s="39" t="s">
        <v>3787</v>
      </c>
      <c r="N130" s="46">
        <v>185</v>
      </c>
      <c r="O130" s="47"/>
      <c r="P130" s="46">
        <v>5006613</v>
      </c>
      <c r="Q130" s="39" t="s">
        <v>1130</v>
      </c>
    </row>
    <row r="131" spans="1:17" ht="16.5" customHeight="1" thickBot="1">
      <c r="A131" s="7" t="s">
        <v>162</v>
      </c>
      <c r="B131" s="3">
        <f t="shared" si="4"/>
        <v>46258</v>
      </c>
      <c r="C131" s="4" t="str">
        <f t="shared" si="5"/>
        <v>デビット ７８１９２３</v>
      </c>
      <c r="E131" s="7" t="e">
        <v>#N/A</v>
      </c>
      <c r="G131" s="7" t="s">
        <v>360</v>
      </c>
      <c r="H131" s="6">
        <f t="shared" si="6"/>
        <v>0</v>
      </c>
      <c r="I131" s="5">
        <f t="shared" si="7"/>
        <v>185</v>
      </c>
      <c r="J131" s="7" t="s">
        <v>3841</v>
      </c>
      <c r="L131" s="41">
        <v>46258</v>
      </c>
      <c r="M131" s="42" t="s">
        <v>3788</v>
      </c>
      <c r="N131" s="48">
        <v>185</v>
      </c>
      <c r="O131" s="49"/>
      <c r="P131" s="48">
        <v>5006798</v>
      </c>
      <c r="Q131" s="42" t="s">
        <v>1130</v>
      </c>
    </row>
    <row r="132" spans="1:17" ht="16.5" customHeight="1" thickBot="1">
      <c r="A132" s="7" t="s">
        <v>162</v>
      </c>
      <c r="B132" s="3">
        <f t="shared" ref="B132:B195" si="8">L132</f>
        <v>46258</v>
      </c>
      <c r="C132" s="4" t="str">
        <f t="shared" ref="C132:C195" si="9">M132</f>
        <v>デビット ７８０７０６</v>
      </c>
      <c r="E132" s="7" t="e">
        <v>#N/A</v>
      </c>
      <c r="G132" s="7" t="s">
        <v>360</v>
      </c>
      <c r="H132" s="6">
        <f t="shared" ref="H132:H195" si="10">O132</f>
        <v>0</v>
      </c>
      <c r="I132" s="5">
        <f t="shared" ref="I132:I195" si="11">N132</f>
        <v>185</v>
      </c>
      <c r="J132" s="7" t="s">
        <v>3841</v>
      </c>
      <c r="L132" s="38">
        <v>46258</v>
      </c>
      <c r="M132" s="39" t="s">
        <v>3789</v>
      </c>
      <c r="N132" s="46">
        <v>185</v>
      </c>
      <c r="O132" s="47"/>
      <c r="P132" s="46">
        <v>5006983</v>
      </c>
      <c r="Q132" s="39" t="s">
        <v>1130</v>
      </c>
    </row>
    <row r="133" spans="1:17" ht="16.5" customHeight="1" thickBot="1">
      <c r="A133" s="7" t="s">
        <v>162</v>
      </c>
      <c r="B133" s="3">
        <f t="shared" si="8"/>
        <v>46258</v>
      </c>
      <c r="C133" s="4" t="str">
        <f t="shared" si="9"/>
        <v>デビット ７７９９９３</v>
      </c>
      <c r="E133" s="7" t="e">
        <v>#N/A</v>
      </c>
      <c r="G133" s="7" t="s">
        <v>360</v>
      </c>
      <c r="H133" s="6">
        <f t="shared" si="10"/>
        <v>0</v>
      </c>
      <c r="I133" s="5">
        <f t="shared" si="11"/>
        <v>185</v>
      </c>
      <c r="J133" s="7" t="s">
        <v>3841</v>
      </c>
      <c r="L133" s="41">
        <v>46258</v>
      </c>
      <c r="M133" s="42" t="s">
        <v>3790</v>
      </c>
      <c r="N133" s="49">
        <v>185</v>
      </c>
      <c r="O133" s="48"/>
      <c r="P133" s="48">
        <v>5007168</v>
      </c>
      <c r="Q133" s="42" t="s">
        <v>1130</v>
      </c>
    </row>
    <row r="134" spans="1:17" ht="16.5" customHeight="1" thickBot="1">
      <c r="A134" s="7" t="s">
        <v>162</v>
      </c>
      <c r="B134" s="3">
        <f t="shared" si="8"/>
        <v>46258</v>
      </c>
      <c r="C134" s="4" t="str">
        <f t="shared" si="9"/>
        <v>デビット ７７８９９９</v>
      </c>
      <c r="E134" s="7" t="e">
        <v>#N/A</v>
      </c>
      <c r="G134" s="7" t="s">
        <v>360</v>
      </c>
      <c r="H134" s="6">
        <f t="shared" si="10"/>
        <v>0</v>
      </c>
      <c r="I134" s="5">
        <f t="shared" si="11"/>
        <v>185</v>
      </c>
      <c r="J134" s="7" t="s">
        <v>3841</v>
      </c>
      <c r="L134" s="38">
        <v>46258</v>
      </c>
      <c r="M134" s="39" t="s">
        <v>3791</v>
      </c>
      <c r="N134" s="46">
        <v>185</v>
      </c>
      <c r="O134" s="47"/>
      <c r="P134" s="46">
        <v>5007353</v>
      </c>
      <c r="Q134" s="39" t="s">
        <v>1130</v>
      </c>
    </row>
    <row r="135" spans="1:17" ht="32.25" customHeight="1" thickBot="1">
      <c r="A135" s="7" t="s">
        <v>162</v>
      </c>
      <c r="B135" s="3">
        <f t="shared" si="8"/>
        <v>46258</v>
      </c>
      <c r="C135" s="4" t="str">
        <f t="shared" si="9"/>
        <v>デビット ７７８３４１</v>
      </c>
      <c r="E135" s="7" t="e">
        <v>#N/A</v>
      </c>
      <c r="G135" s="7" t="s">
        <v>360</v>
      </c>
      <c r="H135" s="6">
        <f t="shared" si="10"/>
        <v>0</v>
      </c>
      <c r="I135" s="5">
        <f t="shared" si="11"/>
        <v>185</v>
      </c>
      <c r="J135" s="7" t="s">
        <v>3841</v>
      </c>
      <c r="L135" s="41">
        <v>46258</v>
      </c>
      <c r="M135" s="42" t="s">
        <v>3792</v>
      </c>
      <c r="N135" s="49">
        <v>185</v>
      </c>
      <c r="O135" s="48"/>
      <c r="P135" s="48">
        <v>5007538</v>
      </c>
      <c r="Q135" s="42" t="s">
        <v>1130</v>
      </c>
    </row>
    <row r="136" spans="1:17" ht="32.25" customHeight="1" thickBot="1">
      <c r="A136" s="7" t="s">
        <v>162</v>
      </c>
      <c r="B136" s="3">
        <f t="shared" si="8"/>
        <v>46258</v>
      </c>
      <c r="C136" s="4" t="str">
        <f t="shared" si="9"/>
        <v>振込＊ＴＢ１１７９４</v>
      </c>
      <c r="E136" s="7" t="s">
        <v>1163</v>
      </c>
      <c r="F136" s="7" t="s">
        <v>1164</v>
      </c>
      <c r="G136" s="7" t="s">
        <v>165</v>
      </c>
      <c r="H136" s="6">
        <f t="shared" si="10"/>
        <v>3850</v>
      </c>
      <c r="I136" s="5">
        <f t="shared" si="11"/>
        <v>0</v>
      </c>
      <c r="J136" s="7" t="s">
        <v>1133</v>
      </c>
      <c r="L136" s="38">
        <v>46258</v>
      </c>
      <c r="M136" s="39" t="s">
        <v>3793</v>
      </c>
      <c r="N136" s="47"/>
      <c r="O136" s="46">
        <v>3850</v>
      </c>
      <c r="P136" s="46">
        <v>5007723</v>
      </c>
      <c r="Q136" s="39" t="s">
        <v>1130</v>
      </c>
    </row>
    <row r="137" spans="1:17" ht="16.5" customHeight="1" thickBot="1">
      <c r="A137" s="7" t="s">
        <v>162</v>
      </c>
      <c r="B137" s="3">
        <f t="shared" si="8"/>
        <v>46258</v>
      </c>
      <c r="C137" s="4" t="str">
        <f t="shared" si="9"/>
        <v>振込＊レー テイ ゴツク</v>
      </c>
      <c r="E137" s="7" t="s">
        <v>1171</v>
      </c>
      <c r="F137" s="7" t="s">
        <v>1172</v>
      </c>
      <c r="G137" s="7" t="s">
        <v>165</v>
      </c>
      <c r="H137" s="6">
        <f t="shared" si="10"/>
        <v>3850</v>
      </c>
      <c r="I137" s="5">
        <f t="shared" si="11"/>
        <v>0</v>
      </c>
      <c r="J137" s="7" t="s">
        <v>1133</v>
      </c>
      <c r="L137" s="41">
        <v>46258</v>
      </c>
      <c r="M137" s="42" t="s">
        <v>3794</v>
      </c>
      <c r="N137" s="48"/>
      <c r="O137" s="49">
        <v>3850</v>
      </c>
      <c r="P137" s="48">
        <v>5003873</v>
      </c>
      <c r="Q137" s="42" t="s">
        <v>1130</v>
      </c>
    </row>
    <row r="138" spans="1:17" ht="16.5" customHeight="1" thickBot="1">
      <c r="A138" s="7" t="s">
        <v>162</v>
      </c>
      <c r="B138" s="3">
        <f t="shared" si="8"/>
        <v>46258</v>
      </c>
      <c r="C138" s="4" t="str">
        <f t="shared" si="9"/>
        <v>取消＊デビット ８７０６０８</v>
      </c>
      <c r="E138" s="7" t="s">
        <v>478</v>
      </c>
      <c r="F138" s="7" t="s">
        <v>1129</v>
      </c>
      <c r="G138" s="7" t="s">
        <v>360</v>
      </c>
      <c r="H138" s="6">
        <f t="shared" si="10"/>
        <v>185</v>
      </c>
      <c r="I138" s="5">
        <f t="shared" si="11"/>
        <v>0</v>
      </c>
      <c r="J138" s="7" t="s">
        <v>3841</v>
      </c>
      <c r="L138" s="38">
        <v>46258</v>
      </c>
      <c r="M138" s="39" t="s">
        <v>3795</v>
      </c>
      <c r="N138" s="46"/>
      <c r="O138" s="47">
        <v>185</v>
      </c>
      <c r="P138" s="46">
        <v>5000023</v>
      </c>
      <c r="Q138" s="39" t="s">
        <v>1130</v>
      </c>
    </row>
    <row r="139" spans="1:17" ht="16.5" customHeight="1" thickBot="1">
      <c r="A139" s="7" t="s">
        <v>162</v>
      </c>
      <c r="B139" s="3">
        <f t="shared" si="8"/>
        <v>46259</v>
      </c>
      <c r="C139" s="4" t="str">
        <f t="shared" si="9"/>
        <v>振込＊グエン テイ ベ ハイ</v>
      </c>
      <c r="E139" s="7" t="s">
        <v>1169</v>
      </c>
      <c r="F139" s="7" t="s">
        <v>1170</v>
      </c>
      <c r="G139" s="7" t="s">
        <v>165</v>
      </c>
      <c r="H139" s="6">
        <f t="shared" si="10"/>
        <v>3850</v>
      </c>
      <c r="I139" s="5">
        <f t="shared" si="11"/>
        <v>0</v>
      </c>
      <c r="J139" s="7" t="s">
        <v>1133</v>
      </c>
      <c r="L139" s="41">
        <v>46259</v>
      </c>
      <c r="M139" s="42" t="s">
        <v>1165</v>
      </c>
      <c r="N139" s="48"/>
      <c r="O139" s="49">
        <v>3850</v>
      </c>
      <c r="P139" s="48">
        <v>4541323</v>
      </c>
      <c r="Q139" s="42" t="s">
        <v>1130</v>
      </c>
    </row>
    <row r="140" spans="1:17" ht="16.5" customHeight="1" thickBot="1">
      <c r="A140" s="7" t="s">
        <v>162</v>
      </c>
      <c r="B140" s="3">
        <f t="shared" si="8"/>
        <v>46259</v>
      </c>
      <c r="C140" s="4" t="str">
        <f t="shared" si="9"/>
        <v>振込手数料</v>
      </c>
      <c r="E140" s="7" t="s">
        <v>478</v>
      </c>
      <c r="F140" s="7" t="s">
        <v>1129</v>
      </c>
      <c r="G140" s="7" t="s">
        <v>360</v>
      </c>
      <c r="H140" s="6">
        <f t="shared" si="10"/>
        <v>0</v>
      </c>
      <c r="I140" s="5">
        <f t="shared" si="11"/>
        <v>140</v>
      </c>
      <c r="J140" s="7" t="s">
        <v>3840</v>
      </c>
      <c r="L140" s="38">
        <v>46259</v>
      </c>
      <c r="M140" s="39" t="s">
        <v>1136</v>
      </c>
      <c r="N140" s="46">
        <v>140</v>
      </c>
      <c r="O140" s="47"/>
      <c r="P140" s="46">
        <v>4537473</v>
      </c>
      <c r="Q140" s="39" t="s">
        <v>1130</v>
      </c>
    </row>
    <row r="141" spans="1:17" ht="16.5" customHeight="1" thickBot="1">
      <c r="A141" s="7" t="s">
        <v>162</v>
      </c>
      <c r="B141" s="3">
        <f t="shared" si="8"/>
        <v>46259</v>
      </c>
      <c r="C141" s="4" t="str">
        <f t="shared" si="9"/>
        <v>振込＊アキレス（カ）ケイヒ</v>
      </c>
      <c r="E141" s="7" t="s">
        <v>3852</v>
      </c>
      <c r="G141" s="7" t="s">
        <v>360</v>
      </c>
      <c r="H141" s="6">
        <f t="shared" si="10"/>
        <v>0</v>
      </c>
      <c r="I141" s="5">
        <f t="shared" si="11"/>
        <v>469000</v>
      </c>
      <c r="J141" s="7" t="s">
        <v>1183</v>
      </c>
      <c r="L141" s="41">
        <v>46259</v>
      </c>
      <c r="M141" s="42" t="s">
        <v>1144</v>
      </c>
      <c r="N141" s="48">
        <v>469000</v>
      </c>
      <c r="O141" s="49"/>
      <c r="P141" s="48">
        <v>4537613</v>
      </c>
      <c r="Q141" s="42" t="s">
        <v>1130</v>
      </c>
    </row>
    <row r="142" spans="1:17" ht="16.5" customHeight="1" thickBot="1">
      <c r="A142" s="7" t="s">
        <v>162</v>
      </c>
      <c r="B142" s="3">
        <f t="shared" si="8"/>
        <v>46260</v>
      </c>
      <c r="C142" s="4" t="str">
        <f t="shared" si="9"/>
        <v>デビット ３６２６５８</v>
      </c>
      <c r="E142" s="7" t="e">
        <v>#N/A</v>
      </c>
      <c r="G142" s="7" t="s">
        <v>360</v>
      </c>
      <c r="H142" s="6">
        <f t="shared" si="10"/>
        <v>0</v>
      </c>
      <c r="I142" s="5">
        <f t="shared" si="11"/>
        <v>185</v>
      </c>
      <c r="J142" s="7" t="s">
        <v>3841</v>
      </c>
      <c r="L142" s="38">
        <v>46260</v>
      </c>
      <c r="M142" s="39" t="s">
        <v>3796</v>
      </c>
      <c r="N142" s="46">
        <v>185</v>
      </c>
      <c r="O142" s="47"/>
      <c r="P142" s="46">
        <v>4546762</v>
      </c>
      <c r="Q142" s="39" t="s">
        <v>1130</v>
      </c>
    </row>
    <row r="143" spans="1:17" ht="16.5" customHeight="1" thickBot="1">
      <c r="A143" s="7" t="s">
        <v>162</v>
      </c>
      <c r="B143" s="3">
        <f t="shared" si="8"/>
        <v>46260</v>
      </c>
      <c r="C143" s="4" t="str">
        <f t="shared" si="9"/>
        <v>デビット ３６２１０５</v>
      </c>
      <c r="E143" s="7" t="e">
        <v>#N/A</v>
      </c>
      <c r="G143" s="7" t="s">
        <v>360</v>
      </c>
      <c r="H143" s="6">
        <f t="shared" si="10"/>
        <v>0</v>
      </c>
      <c r="I143" s="5">
        <f t="shared" si="11"/>
        <v>185</v>
      </c>
      <c r="J143" s="7" t="s">
        <v>3841</v>
      </c>
      <c r="L143" s="41">
        <v>46260</v>
      </c>
      <c r="M143" s="42" t="s">
        <v>3797</v>
      </c>
      <c r="N143" s="48">
        <v>185</v>
      </c>
      <c r="O143" s="49"/>
      <c r="P143" s="48">
        <v>4546947</v>
      </c>
      <c r="Q143" s="42" t="s">
        <v>1130</v>
      </c>
    </row>
    <row r="144" spans="1:17" ht="16.5" customHeight="1" thickBot="1">
      <c r="A144" s="7" t="s">
        <v>162</v>
      </c>
      <c r="B144" s="3">
        <f t="shared" si="8"/>
        <v>46260</v>
      </c>
      <c r="C144" s="4" t="str">
        <f t="shared" si="9"/>
        <v>デビット ３５３２２７</v>
      </c>
      <c r="E144" s="7" t="e">
        <v>#N/A</v>
      </c>
      <c r="G144" s="7" t="s">
        <v>360</v>
      </c>
      <c r="H144" s="6">
        <f t="shared" si="10"/>
        <v>0</v>
      </c>
      <c r="I144" s="5">
        <f t="shared" si="11"/>
        <v>185</v>
      </c>
      <c r="J144" s="7" t="s">
        <v>3841</v>
      </c>
      <c r="L144" s="38">
        <v>46260</v>
      </c>
      <c r="M144" s="39" t="s">
        <v>3798</v>
      </c>
      <c r="N144" s="47">
        <v>185</v>
      </c>
      <c r="O144" s="46"/>
      <c r="P144" s="46">
        <v>4547132</v>
      </c>
      <c r="Q144" s="39" t="s">
        <v>1130</v>
      </c>
    </row>
    <row r="145" spans="1:17" ht="16.5" customHeight="1" thickBot="1">
      <c r="A145" s="7" t="s">
        <v>162</v>
      </c>
      <c r="B145" s="3">
        <f t="shared" si="8"/>
        <v>46260</v>
      </c>
      <c r="C145" s="4" t="str">
        <f t="shared" si="9"/>
        <v>デビット ３５２００９</v>
      </c>
      <c r="E145" s="7" t="e">
        <v>#N/A</v>
      </c>
      <c r="G145" s="7" t="s">
        <v>360</v>
      </c>
      <c r="H145" s="6">
        <f t="shared" si="10"/>
        <v>0</v>
      </c>
      <c r="I145" s="5">
        <f t="shared" si="11"/>
        <v>185</v>
      </c>
      <c r="J145" s="7" t="s">
        <v>3841</v>
      </c>
      <c r="L145" s="41">
        <v>46260</v>
      </c>
      <c r="M145" s="42" t="s">
        <v>3799</v>
      </c>
      <c r="N145" s="48">
        <v>185</v>
      </c>
      <c r="O145" s="49"/>
      <c r="P145" s="48">
        <v>4547317</v>
      </c>
      <c r="Q145" s="42" t="s">
        <v>1130</v>
      </c>
    </row>
    <row r="146" spans="1:17" ht="16.5" customHeight="1" thickBot="1">
      <c r="A146" s="7" t="s">
        <v>162</v>
      </c>
      <c r="B146" s="3">
        <f t="shared" si="8"/>
        <v>46260</v>
      </c>
      <c r="C146" s="4" t="str">
        <f t="shared" si="9"/>
        <v>デビット ３５１１１１</v>
      </c>
      <c r="E146" s="7" t="e">
        <v>#N/A</v>
      </c>
      <c r="G146" s="7" t="s">
        <v>360</v>
      </c>
      <c r="H146" s="6">
        <f t="shared" si="10"/>
        <v>0</v>
      </c>
      <c r="I146" s="5">
        <f t="shared" si="11"/>
        <v>185</v>
      </c>
      <c r="J146" s="7" t="s">
        <v>3841</v>
      </c>
      <c r="L146" s="38">
        <v>46260</v>
      </c>
      <c r="M146" s="39" t="s">
        <v>3800</v>
      </c>
      <c r="N146" s="46">
        <v>185</v>
      </c>
      <c r="O146" s="47"/>
      <c r="P146" s="46">
        <v>4547502</v>
      </c>
      <c r="Q146" s="39" t="s">
        <v>1130</v>
      </c>
    </row>
    <row r="147" spans="1:17" ht="16.5" customHeight="1" thickBot="1">
      <c r="A147" s="7" t="s">
        <v>162</v>
      </c>
      <c r="B147" s="3">
        <f t="shared" si="8"/>
        <v>46260</v>
      </c>
      <c r="C147" s="4" t="str">
        <f t="shared" si="9"/>
        <v>デビット ３５０３０９</v>
      </c>
      <c r="E147" s="7" t="e">
        <v>#N/A</v>
      </c>
      <c r="G147" s="7" t="s">
        <v>360</v>
      </c>
      <c r="H147" s="6">
        <f t="shared" si="10"/>
        <v>0</v>
      </c>
      <c r="I147" s="5">
        <f t="shared" si="11"/>
        <v>185</v>
      </c>
      <c r="J147" s="7" t="s">
        <v>3841</v>
      </c>
      <c r="L147" s="41">
        <v>46260</v>
      </c>
      <c r="M147" s="42" t="s">
        <v>3801</v>
      </c>
      <c r="N147" s="48">
        <v>185</v>
      </c>
      <c r="O147" s="49"/>
      <c r="P147" s="48">
        <v>4547687</v>
      </c>
      <c r="Q147" s="42" t="s">
        <v>1130</v>
      </c>
    </row>
    <row r="148" spans="1:17" ht="16.5" customHeight="1" thickBot="1">
      <c r="A148" s="7" t="s">
        <v>162</v>
      </c>
      <c r="B148" s="3">
        <f t="shared" si="8"/>
        <v>46260</v>
      </c>
      <c r="C148" s="4" t="str">
        <f t="shared" si="9"/>
        <v>デビット ３４８８８８</v>
      </c>
      <c r="E148" s="7" t="e">
        <v>#N/A</v>
      </c>
      <c r="G148" s="7" t="s">
        <v>360</v>
      </c>
      <c r="H148" s="6">
        <f t="shared" si="10"/>
        <v>0</v>
      </c>
      <c r="I148" s="5">
        <f t="shared" si="11"/>
        <v>185</v>
      </c>
      <c r="J148" s="7" t="s">
        <v>3841</v>
      </c>
      <c r="L148" s="38">
        <v>46260</v>
      </c>
      <c r="M148" s="39" t="s">
        <v>3802</v>
      </c>
      <c r="N148" s="46">
        <v>185</v>
      </c>
      <c r="O148" s="47"/>
      <c r="P148" s="46">
        <v>4547872</v>
      </c>
      <c r="Q148" s="39" t="s">
        <v>1130</v>
      </c>
    </row>
    <row r="149" spans="1:17" ht="32.25" customHeight="1" thickBot="1">
      <c r="A149" s="7" t="s">
        <v>162</v>
      </c>
      <c r="B149" s="3">
        <f t="shared" si="8"/>
        <v>46260</v>
      </c>
      <c r="C149" s="4" t="str">
        <f t="shared" si="9"/>
        <v>デビット ３４２７２７</v>
      </c>
      <c r="E149" s="7" t="e">
        <v>#N/A</v>
      </c>
      <c r="G149" s="7" t="s">
        <v>360</v>
      </c>
      <c r="H149" s="6">
        <f t="shared" si="10"/>
        <v>0</v>
      </c>
      <c r="I149" s="5">
        <f t="shared" si="11"/>
        <v>185</v>
      </c>
      <c r="J149" s="7" t="s">
        <v>3841</v>
      </c>
      <c r="L149" s="41">
        <v>46260</v>
      </c>
      <c r="M149" s="42" t="s">
        <v>3803</v>
      </c>
      <c r="N149" s="49">
        <v>185</v>
      </c>
      <c r="O149" s="48"/>
      <c r="P149" s="48">
        <v>4548057</v>
      </c>
      <c r="Q149" s="42" t="s">
        <v>1130</v>
      </c>
    </row>
    <row r="150" spans="1:17" ht="32.25" customHeight="1" thickBot="1">
      <c r="A150" s="7" t="s">
        <v>162</v>
      </c>
      <c r="B150" s="3">
        <f t="shared" si="8"/>
        <v>46260</v>
      </c>
      <c r="C150" s="4" t="str">
        <f t="shared" si="9"/>
        <v>デビット ３２６７６２</v>
      </c>
      <c r="E150" s="7" t="e">
        <v>#N/A</v>
      </c>
      <c r="G150" s="7" t="s">
        <v>360</v>
      </c>
      <c r="H150" s="6">
        <f t="shared" si="10"/>
        <v>0</v>
      </c>
      <c r="I150" s="5">
        <f t="shared" si="11"/>
        <v>185</v>
      </c>
      <c r="J150" s="7" t="s">
        <v>3841</v>
      </c>
      <c r="L150" s="38">
        <v>46260</v>
      </c>
      <c r="M150" s="39" t="s">
        <v>3804</v>
      </c>
      <c r="N150" s="47">
        <v>185</v>
      </c>
      <c r="O150" s="46"/>
      <c r="P150" s="46">
        <v>4548242</v>
      </c>
      <c r="Q150" s="39" t="s">
        <v>1130</v>
      </c>
    </row>
    <row r="151" spans="1:17" ht="16.5" customHeight="1" thickBot="1">
      <c r="A151" s="7" t="s">
        <v>162</v>
      </c>
      <c r="B151" s="3">
        <f t="shared" si="8"/>
        <v>46260</v>
      </c>
      <c r="C151" s="4" t="str">
        <f t="shared" si="9"/>
        <v>デビット ３２５１１１</v>
      </c>
      <c r="E151" s="7" t="e">
        <v>#N/A</v>
      </c>
      <c r="G151" s="7" t="s">
        <v>360</v>
      </c>
      <c r="H151" s="6">
        <f t="shared" si="10"/>
        <v>0</v>
      </c>
      <c r="I151" s="5">
        <f t="shared" si="11"/>
        <v>185</v>
      </c>
      <c r="J151" s="7" t="s">
        <v>3841</v>
      </c>
      <c r="L151" s="41">
        <v>46260</v>
      </c>
      <c r="M151" s="42" t="s">
        <v>3805</v>
      </c>
      <c r="N151" s="49">
        <v>185</v>
      </c>
      <c r="O151" s="48"/>
      <c r="P151" s="48">
        <v>4548427</v>
      </c>
      <c r="Q151" s="42" t="s">
        <v>1130</v>
      </c>
    </row>
    <row r="152" spans="1:17" ht="16.5" customHeight="1" thickBot="1">
      <c r="A152" s="7" t="s">
        <v>162</v>
      </c>
      <c r="B152" s="3">
        <f t="shared" si="8"/>
        <v>46260</v>
      </c>
      <c r="C152" s="4" t="str">
        <f t="shared" si="9"/>
        <v>デビット ３２４６５８</v>
      </c>
      <c r="E152" s="7" t="e">
        <v>#N/A</v>
      </c>
      <c r="G152" s="7" t="s">
        <v>360</v>
      </c>
      <c r="H152" s="6">
        <f t="shared" si="10"/>
        <v>0</v>
      </c>
      <c r="I152" s="5">
        <f t="shared" si="11"/>
        <v>185</v>
      </c>
      <c r="J152" s="7" t="s">
        <v>3841</v>
      </c>
      <c r="L152" s="38">
        <v>46260</v>
      </c>
      <c r="M152" s="39" t="s">
        <v>3806</v>
      </c>
      <c r="N152" s="46">
        <v>185</v>
      </c>
      <c r="O152" s="47"/>
      <c r="P152" s="46">
        <v>4548612</v>
      </c>
      <c r="Q152" s="39" t="s">
        <v>1130</v>
      </c>
    </row>
    <row r="153" spans="1:17" ht="16.5" customHeight="1" thickBot="1">
      <c r="A153" s="7" t="s">
        <v>162</v>
      </c>
      <c r="B153" s="3">
        <f t="shared" si="8"/>
        <v>46260</v>
      </c>
      <c r="C153" s="4" t="str">
        <f t="shared" si="9"/>
        <v>デビット ３１８０９０</v>
      </c>
      <c r="E153" s="7" t="e">
        <v>#N/A</v>
      </c>
      <c r="G153" s="7" t="s">
        <v>360</v>
      </c>
      <c r="H153" s="6">
        <f t="shared" si="10"/>
        <v>0</v>
      </c>
      <c r="I153" s="5">
        <f t="shared" si="11"/>
        <v>185</v>
      </c>
      <c r="J153" s="7" t="s">
        <v>3841</v>
      </c>
      <c r="L153" s="41">
        <v>46260</v>
      </c>
      <c r="M153" s="42" t="s">
        <v>3807</v>
      </c>
      <c r="N153" s="49">
        <v>185</v>
      </c>
      <c r="O153" s="48"/>
      <c r="P153" s="48">
        <v>4548797</v>
      </c>
      <c r="Q153" s="42" t="s">
        <v>1130</v>
      </c>
    </row>
    <row r="154" spans="1:17" ht="32.25" customHeight="1" thickBot="1">
      <c r="A154" s="7" t="s">
        <v>162</v>
      </c>
      <c r="B154" s="3">
        <f t="shared" si="8"/>
        <v>46261</v>
      </c>
      <c r="C154" s="4" t="str">
        <f t="shared" si="9"/>
        <v>取消＊デビット ９６３７３９</v>
      </c>
      <c r="E154" s="7" t="s">
        <v>478</v>
      </c>
      <c r="F154" s="7" t="s">
        <v>1129</v>
      </c>
      <c r="G154" s="7" t="s">
        <v>360</v>
      </c>
      <c r="H154" s="6">
        <f t="shared" si="10"/>
        <v>185</v>
      </c>
      <c r="I154" s="5">
        <f t="shared" si="11"/>
        <v>0</v>
      </c>
      <c r="J154" s="7" t="s">
        <v>3841</v>
      </c>
      <c r="L154" s="38">
        <v>46261</v>
      </c>
      <c r="M154" s="39" t="s">
        <v>3808</v>
      </c>
      <c r="N154" s="47"/>
      <c r="O154" s="46">
        <v>185</v>
      </c>
      <c r="P154" s="46">
        <v>4536707</v>
      </c>
      <c r="Q154" s="39" t="s">
        <v>1130</v>
      </c>
    </row>
    <row r="155" spans="1:17" ht="16.5" customHeight="1" thickBot="1">
      <c r="A155" s="7" t="s">
        <v>162</v>
      </c>
      <c r="B155" s="3">
        <f t="shared" si="8"/>
        <v>46261</v>
      </c>
      <c r="C155" s="4" t="str">
        <f t="shared" si="9"/>
        <v>デビット ６２８１７７</v>
      </c>
      <c r="E155" s="7" t="e">
        <v>#N/A</v>
      </c>
      <c r="G155" s="7" t="s">
        <v>360</v>
      </c>
      <c r="H155" s="6">
        <f t="shared" si="10"/>
        <v>0</v>
      </c>
      <c r="I155" s="5">
        <f t="shared" si="11"/>
        <v>185</v>
      </c>
      <c r="J155" s="7" t="s">
        <v>3841</v>
      </c>
      <c r="L155" s="41">
        <v>46261</v>
      </c>
      <c r="M155" s="42" t="s">
        <v>3809</v>
      </c>
      <c r="N155" s="49">
        <v>185</v>
      </c>
      <c r="O155" s="48"/>
      <c r="P155" s="48">
        <v>4536522</v>
      </c>
      <c r="Q155" s="42" t="s">
        <v>1130</v>
      </c>
    </row>
    <row r="156" spans="1:17" ht="32.25" customHeight="1" thickBot="1">
      <c r="A156" s="7" t="s">
        <v>162</v>
      </c>
      <c r="B156" s="3">
        <f t="shared" si="8"/>
        <v>46261</v>
      </c>
      <c r="C156" s="4" t="str">
        <f t="shared" si="9"/>
        <v>取消＊デビット ９６６２６６</v>
      </c>
      <c r="E156" s="7" t="s">
        <v>478</v>
      </c>
      <c r="F156" s="7" t="s">
        <v>1129</v>
      </c>
      <c r="G156" s="7" t="s">
        <v>360</v>
      </c>
      <c r="H156" s="6">
        <f t="shared" si="10"/>
        <v>185</v>
      </c>
      <c r="I156" s="5">
        <f t="shared" si="11"/>
        <v>0</v>
      </c>
      <c r="J156" s="7" t="s">
        <v>3841</v>
      </c>
      <c r="L156" s="38">
        <v>46261</v>
      </c>
      <c r="M156" s="39" t="s">
        <v>3810</v>
      </c>
      <c r="N156" s="47"/>
      <c r="O156" s="46">
        <v>185</v>
      </c>
      <c r="P156" s="46">
        <v>4536707</v>
      </c>
      <c r="Q156" s="39" t="s">
        <v>1130</v>
      </c>
    </row>
    <row r="157" spans="1:17" ht="16.5" customHeight="1" thickBot="1">
      <c r="A157" s="7" t="s">
        <v>162</v>
      </c>
      <c r="B157" s="3">
        <f t="shared" si="8"/>
        <v>46261</v>
      </c>
      <c r="C157" s="4" t="str">
        <f t="shared" si="9"/>
        <v>振込手数料</v>
      </c>
      <c r="E157" s="7" t="s">
        <v>478</v>
      </c>
      <c r="F157" s="7" t="s">
        <v>1129</v>
      </c>
      <c r="G157" s="7" t="s">
        <v>360</v>
      </c>
      <c r="H157" s="6">
        <f t="shared" si="10"/>
        <v>0</v>
      </c>
      <c r="I157" s="5">
        <f t="shared" si="11"/>
        <v>140</v>
      </c>
      <c r="J157" s="7" t="s">
        <v>3840</v>
      </c>
      <c r="L157" s="41">
        <v>46261</v>
      </c>
      <c r="M157" s="42" t="s">
        <v>1136</v>
      </c>
      <c r="N157" s="49">
        <v>140</v>
      </c>
      <c r="O157" s="48"/>
      <c r="P157" s="48">
        <v>4536522</v>
      </c>
      <c r="Q157" s="42" t="s">
        <v>1130</v>
      </c>
    </row>
    <row r="158" spans="1:17" ht="16.5" customHeight="1" thickBot="1">
      <c r="A158" s="7" t="s">
        <v>162</v>
      </c>
      <c r="B158" s="3">
        <f t="shared" si="8"/>
        <v>46261</v>
      </c>
      <c r="C158" s="4" t="str">
        <f t="shared" si="9"/>
        <v>振込＊ウ゛オー バン タイ</v>
      </c>
      <c r="E158" s="7" t="e">
        <v>#N/A</v>
      </c>
      <c r="F158" s="7" t="s">
        <v>3854</v>
      </c>
      <c r="G158" s="7" t="s">
        <v>360</v>
      </c>
      <c r="H158" s="6">
        <f t="shared" si="10"/>
        <v>0</v>
      </c>
      <c r="I158" s="5">
        <f t="shared" si="11"/>
        <v>6800</v>
      </c>
      <c r="J158" s="7" t="s">
        <v>3853</v>
      </c>
      <c r="L158" s="38">
        <v>46261</v>
      </c>
      <c r="M158" s="39" t="s">
        <v>3811</v>
      </c>
      <c r="N158" s="46">
        <v>6800</v>
      </c>
      <c r="O158" s="47"/>
      <c r="P158" s="46">
        <v>4536662</v>
      </c>
      <c r="Q158" s="39" t="s">
        <v>1130</v>
      </c>
    </row>
    <row r="159" spans="1:17" ht="16.5" customHeight="1" thickBot="1">
      <c r="A159" s="7" t="s">
        <v>162</v>
      </c>
      <c r="B159" s="3">
        <f t="shared" si="8"/>
        <v>46261</v>
      </c>
      <c r="C159" s="4" t="str">
        <f t="shared" si="9"/>
        <v>口座振替 ＤＦ テイコクデータ</v>
      </c>
      <c r="E159" s="7" t="s">
        <v>478</v>
      </c>
      <c r="F159" s="7" t="s">
        <v>1129</v>
      </c>
      <c r="G159" s="7" t="s">
        <v>360</v>
      </c>
      <c r="H159" s="6">
        <f t="shared" si="10"/>
        <v>0</v>
      </c>
      <c r="I159" s="5">
        <f t="shared" si="11"/>
        <v>3300</v>
      </c>
      <c r="J159" s="7" t="s">
        <v>1137</v>
      </c>
      <c r="L159" s="41">
        <v>46261</v>
      </c>
      <c r="M159" s="42" t="s">
        <v>1173</v>
      </c>
      <c r="N159" s="48">
        <v>3300</v>
      </c>
      <c r="O159" s="49"/>
      <c r="P159" s="48">
        <v>4543462</v>
      </c>
      <c r="Q159" s="42" t="s">
        <v>1130</v>
      </c>
    </row>
    <row r="160" spans="1:17" ht="16.5" customHeight="1" thickBot="1">
      <c r="A160" s="7" t="s">
        <v>162</v>
      </c>
      <c r="B160" s="3">
        <f t="shared" si="8"/>
        <v>46262</v>
      </c>
      <c r="C160" s="4" t="str">
        <f t="shared" si="9"/>
        <v>デビット ９７２３７１</v>
      </c>
      <c r="E160" s="7" t="e">
        <v>#N/A</v>
      </c>
      <c r="G160" s="7" t="s">
        <v>360</v>
      </c>
      <c r="H160" s="6">
        <f t="shared" si="10"/>
        <v>0</v>
      </c>
      <c r="I160" s="5">
        <f t="shared" si="11"/>
        <v>185</v>
      </c>
      <c r="J160" s="7" t="s">
        <v>3841</v>
      </c>
      <c r="L160" s="38">
        <v>46262</v>
      </c>
      <c r="M160" s="39" t="s">
        <v>3812</v>
      </c>
      <c r="N160" s="46">
        <v>185</v>
      </c>
      <c r="O160" s="47"/>
      <c r="P160" s="46">
        <v>5973688</v>
      </c>
      <c r="Q160" s="39" t="s">
        <v>1130</v>
      </c>
    </row>
    <row r="161" spans="1:17" ht="16.5" customHeight="1" thickBot="1">
      <c r="A161" s="7" t="s">
        <v>162</v>
      </c>
      <c r="B161" s="3">
        <f t="shared" si="8"/>
        <v>46262</v>
      </c>
      <c r="C161" s="4" t="str">
        <f t="shared" si="9"/>
        <v>デビット ９６５９６７</v>
      </c>
      <c r="E161" s="7" t="e">
        <v>#N/A</v>
      </c>
      <c r="G161" s="7" t="s">
        <v>360</v>
      </c>
      <c r="H161" s="6">
        <f t="shared" si="10"/>
        <v>0</v>
      </c>
      <c r="I161" s="5">
        <f t="shared" si="11"/>
        <v>185</v>
      </c>
      <c r="J161" s="7" t="s">
        <v>3841</v>
      </c>
      <c r="L161" s="41">
        <v>46262</v>
      </c>
      <c r="M161" s="42" t="s">
        <v>3813</v>
      </c>
      <c r="N161" s="48">
        <v>185</v>
      </c>
      <c r="O161" s="49"/>
      <c r="P161" s="48">
        <v>5973873</v>
      </c>
      <c r="Q161" s="42" t="s">
        <v>1130</v>
      </c>
    </row>
    <row r="162" spans="1:17" ht="32.25" customHeight="1" thickBot="1">
      <c r="A162" s="7" t="s">
        <v>162</v>
      </c>
      <c r="B162" s="3">
        <f t="shared" si="8"/>
        <v>46262</v>
      </c>
      <c r="C162" s="4" t="str">
        <f t="shared" si="9"/>
        <v>デビット ９６５４７１</v>
      </c>
      <c r="E162" s="7" t="e">
        <v>#N/A</v>
      </c>
      <c r="G162" s="7" t="s">
        <v>360</v>
      </c>
      <c r="H162" s="6">
        <f t="shared" si="10"/>
        <v>0</v>
      </c>
      <c r="I162" s="5">
        <f t="shared" si="11"/>
        <v>185</v>
      </c>
      <c r="J162" s="7" t="s">
        <v>3841</v>
      </c>
      <c r="L162" s="38">
        <v>46262</v>
      </c>
      <c r="M162" s="39" t="s">
        <v>3814</v>
      </c>
      <c r="N162" s="46">
        <v>185</v>
      </c>
      <c r="O162" s="47"/>
      <c r="P162" s="46">
        <v>5974058</v>
      </c>
      <c r="Q162" s="39" t="s">
        <v>1130</v>
      </c>
    </row>
    <row r="163" spans="1:17" ht="16.5" customHeight="1" thickBot="1">
      <c r="A163" s="7" t="s">
        <v>162</v>
      </c>
      <c r="B163" s="3">
        <f t="shared" si="8"/>
        <v>46262</v>
      </c>
      <c r="C163" s="4" t="str">
        <f t="shared" si="9"/>
        <v>デビット ９６４３０４</v>
      </c>
      <c r="E163" s="7" t="e">
        <v>#N/A</v>
      </c>
      <c r="G163" s="7" t="s">
        <v>360</v>
      </c>
      <c r="H163" s="6">
        <f t="shared" si="10"/>
        <v>0</v>
      </c>
      <c r="I163" s="5">
        <f t="shared" si="11"/>
        <v>185</v>
      </c>
      <c r="J163" s="7" t="s">
        <v>3841</v>
      </c>
      <c r="L163" s="41">
        <v>46262</v>
      </c>
      <c r="M163" s="42" t="s">
        <v>3815</v>
      </c>
      <c r="N163" s="48">
        <v>185</v>
      </c>
      <c r="O163" s="49"/>
      <c r="P163" s="48">
        <v>5974243</v>
      </c>
      <c r="Q163" s="42" t="s">
        <v>1130</v>
      </c>
    </row>
    <row r="164" spans="1:17" ht="16.5" customHeight="1" thickBot="1">
      <c r="A164" s="7" t="s">
        <v>162</v>
      </c>
      <c r="B164" s="3">
        <f t="shared" si="8"/>
        <v>46262</v>
      </c>
      <c r="C164" s="4" t="str">
        <f t="shared" si="9"/>
        <v>デビット ９４２１１９</v>
      </c>
      <c r="E164" s="7" t="e">
        <v>#N/A</v>
      </c>
      <c r="G164" s="7" t="s">
        <v>360</v>
      </c>
      <c r="H164" s="6">
        <f t="shared" si="10"/>
        <v>0</v>
      </c>
      <c r="I164" s="5">
        <f t="shared" si="11"/>
        <v>185</v>
      </c>
      <c r="J164" s="7" t="s">
        <v>3841</v>
      </c>
      <c r="L164" s="38">
        <v>46262</v>
      </c>
      <c r="M164" s="39" t="s">
        <v>3816</v>
      </c>
      <c r="N164" s="46">
        <v>185</v>
      </c>
      <c r="O164" s="47"/>
      <c r="P164" s="46">
        <v>5974428</v>
      </c>
      <c r="Q164" s="39" t="s">
        <v>1130</v>
      </c>
    </row>
    <row r="165" spans="1:17" ht="16.5" customHeight="1" thickBot="1">
      <c r="A165" s="7" t="s">
        <v>162</v>
      </c>
      <c r="B165" s="3">
        <f t="shared" si="8"/>
        <v>46262</v>
      </c>
      <c r="C165" s="4" t="str">
        <f t="shared" si="9"/>
        <v>デビット ９４１６１１</v>
      </c>
      <c r="E165" s="7" t="e">
        <v>#N/A</v>
      </c>
      <c r="G165" s="7" t="s">
        <v>360</v>
      </c>
      <c r="H165" s="6">
        <f t="shared" si="10"/>
        <v>0</v>
      </c>
      <c r="I165" s="5">
        <f t="shared" si="11"/>
        <v>185</v>
      </c>
      <c r="J165" s="7" t="s">
        <v>3841</v>
      </c>
      <c r="L165" s="41">
        <v>46262</v>
      </c>
      <c r="M165" s="42" t="s">
        <v>3817</v>
      </c>
      <c r="N165" s="48">
        <v>185</v>
      </c>
      <c r="O165" s="49"/>
      <c r="P165" s="48">
        <v>5974613</v>
      </c>
      <c r="Q165" s="42" t="s">
        <v>1130</v>
      </c>
    </row>
    <row r="166" spans="1:17" ht="16.5" customHeight="1" thickBot="1">
      <c r="A166" s="7" t="s">
        <v>162</v>
      </c>
      <c r="B166" s="3">
        <f t="shared" si="8"/>
        <v>46262</v>
      </c>
      <c r="C166" s="4" t="str">
        <f t="shared" si="9"/>
        <v>デビット ９４０８７３</v>
      </c>
      <c r="E166" s="7" t="e">
        <v>#N/A</v>
      </c>
      <c r="G166" s="7" t="s">
        <v>360</v>
      </c>
      <c r="H166" s="6">
        <f t="shared" si="10"/>
        <v>0</v>
      </c>
      <c r="I166" s="5">
        <f t="shared" si="11"/>
        <v>185</v>
      </c>
      <c r="J166" s="7" t="s">
        <v>3841</v>
      </c>
      <c r="L166" s="38">
        <v>46262</v>
      </c>
      <c r="M166" s="39" t="s">
        <v>3818</v>
      </c>
      <c r="N166" s="46">
        <v>185</v>
      </c>
      <c r="O166" s="47"/>
      <c r="P166" s="46">
        <v>5974798</v>
      </c>
      <c r="Q166" s="39" t="s">
        <v>1130</v>
      </c>
    </row>
    <row r="167" spans="1:17" ht="16.5" customHeight="1" thickBot="1">
      <c r="A167" s="7" t="s">
        <v>162</v>
      </c>
      <c r="B167" s="3">
        <f t="shared" si="8"/>
        <v>46262</v>
      </c>
      <c r="C167" s="4" t="str">
        <f t="shared" si="9"/>
        <v>デビット ９４０１８７</v>
      </c>
      <c r="E167" s="7" t="e">
        <v>#N/A</v>
      </c>
      <c r="G167" s="7" t="s">
        <v>360</v>
      </c>
      <c r="H167" s="6">
        <f t="shared" si="10"/>
        <v>0</v>
      </c>
      <c r="I167" s="5">
        <f t="shared" si="11"/>
        <v>185</v>
      </c>
      <c r="J167" s="7" t="s">
        <v>3841</v>
      </c>
      <c r="L167" s="41">
        <v>46262</v>
      </c>
      <c r="M167" s="42" t="s">
        <v>3819</v>
      </c>
      <c r="N167" s="48">
        <v>185</v>
      </c>
      <c r="O167" s="49"/>
      <c r="P167" s="48">
        <v>5974983</v>
      </c>
      <c r="Q167" s="42" t="s">
        <v>1130</v>
      </c>
    </row>
    <row r="168" spans="1:17" ht="16.5" customHeight="1" thickBot="1">
      <c r="A168" s="7" t="s">
        <v>162</v>
      </c>
      <c r="B168" s="3">
        <f t="shared" si="8"/>
        <v>46262</v>
      </c>
      <c r="C168" s="4" t="str">
        <f t="shared" si="9"/>
        <v>デビット ９３７１３９</v>
      </c>
      <c r="E168" s="7" t="e">
        <v>#N/A</v>
      </c>
      <c r="G168" s="7" t="s">
        <v>360</v>
      </c>
      <c r="H168" s="6">
        <f t="shared" si="10"/>
        <v>0</v>
      </c>
      <c r="I168" s="5">
        <f t="shared" si="11"/>
        <v>185</v>
      </c>
      <c r="J168" s="7" t="s">
        <v>3841</v>
      </c>
      <c r="L168" s="38">
        <v>46262</v>
      </c>
      <c r="M168" s="39" t="s">
        <v>3820</v>
      </c>
      <c r="N168" s="46">
        <v>185</v>
      </c>
      <c r="O168" s="47"/>
      <c r="P168" s="46">
        <v>5975168</v>
      </c>
      <c r="Q168" s="39" t="s">
        <v>1130</v>
      </c>
    </row>
    <row r="169" spans="1:17" ht="16.5" customHeight="1" thickBot="1">
      <c r="A169" s="7" t="s">
        <v>162</v>
      </c>
      <c r="B169" s="3">
        <f t="shared" si="8"/>
        <v>46262</v>
      </c>
      <c r="C169" s="4" t="str">
        <f t="shared" si="9"/>
        <v>デビット ９３５９１４</v>
      </c>
      <c r="E169" s="7" t="e">
        <v>#N/A</v>
      </c>
      <c r="G169" s="7" t="s">
        <v>360</v>
      </c>
      <c r="H169" s="6">
        <f t="shared" si="10"/>
        <v>0</v>
      </c>
      <c r="I169" s="5">
        <f t="shared" si="11"/>
        <v>185</v>
      </c>
      <c r="J169" s="7" t="s">
        <v>3841</v>
      </c>
      <c r="L169" s="41">
        <v>46262</v>
      </c>
      <c r="M169" s="42" t="s">
        <v>3821</v>
      </c>
      <c r="N169" s="48">
        <v>185</v>
      </c>
      <c r="O169" s="49"/>
      <c r="P169" s="48">
        <v>5975353</v>
      </c>
      <c r="Q169" s="42" t="s">
        <v>1130</v>
      </c>
    </row>
    <row r="170" spans="1:17" ht="16.5" customHeight="1" thickBot="1">
      <c r="A170" s="7" t="s">
        <v>162</v>
      </c>
      <c r="B170" s="3">
        <f t="shared" si="8"/>
        <v>46262</v>
      </c>
      <c r="C170" s="4" t="str">
        <f t="shared" si="9"/>
        <v>デビット ９３４７２１</v>
      </c>
      <c r="E170" s="7" t="e">
        <v>#N/A</v>
      </c>
      <c r="G170" s="7" t="s">
        <v>360</v>
      </c>
      <c r="H170" s="6">
        <f t="shared" si="10"/>
        <v>0</v>
      </c>
      <c r="I170" s="5">
        <f t="shared" si="11"/>
        <v>185</v>
      </c>
      <c r="J170" s="7" t="s">
        <v>3841</v>
      </c>
      <c r="L170" s="38">
        <v>46262</v>
      </c>
      <c r="M170" s="39" t="s">
        <v>3822</v>
      </c>
      <c r="N170" s="46">
        <v>185</v>
      </c>
      <c r="O170" s="47"/>
      <c r="P170" s="46">
        <v>5975538</v>
      </c>
      <c r="Q170" s="39" t="s">
        <v>1130</v>
      </c>
    </row>
    <row r="171" spans="1:17" ht="16.5" customHeight="1" thickBot="1">
      <c r="A171" s="7" t="s">
        <v>162</v>
      </c>
      <c r="B171" s="3">
        <f t="shared" si="8"/>
        <v>46262</v>
      </c>
      <c r="C171" s="4" t="str">
        <f t="shared" si="9"/>
        <v>デビット ９３３８０７</v>
      </c>
      <c r="E171" s="7" t="e">
        <v>#N/A</v>
      </c>
      <c r="G171" s="7" t="s">
        <v>360</v>
      </c>
      <c r="H171" s="6">
        <f t="shared" si="10"/>
        <v>0</v>
      </c>
      <c r="I171" s="5">
        <f t="shared" si="11"/>
        <v>185</v>
      </c>
      <c r="J171" s="7" t="s">
        <v>3841</v>
      </c>
      <c r="L171" s="41">
        <v>46262</v>
      </c>
      <c r="M171" s="42" t="s">
        <v>3823</v>
      </c>
      <c r="N171" s="48">
        <v>185</v>
      </c>
      <c r="O171" s="49"/>
      <c r="P171" s="48">
        <v>5975723</v>
      </c>
      <c r="Q171" s="42" t="s">
        <v>1130</v>
      </c>
    </row>
    <row r="172" spans="1:17" ht="16.5" customHeight="1" thickBot="1">
      <c r="A172" s="7" t="s">
        <v>162</v>
      </c>
      <c r="B172" s="3">
        <f t="shared" si="8"/>
        <v>46262</v>
      </c>
      <c r="C172" s="4" t="str">
        <f t="shared" si="9"/>
        <v>デビット ９２３７６９</v>
      </c>
      <c r="E172" s="7" t="e">
        <v>#N/A</v>
      </c>
      <c r="G172" s="7" t="s">
        <v>360</v>
      </c>
      <c r="H172" s="6">
        <f t="shared" si="10"/>
        <v>0</v>
      </c>
      <c r="I172" s="5">
        <f t="shared" si="11"/>
        <v>185</v>
      </c>
      <c r="J172" s="7" t="s">
        <v>3841</v>
      </c>
      <c r="L172" s="38">
        <v>46262</v>
      </c>
      <c r="M172" s="39" t="s">
        <v>3824</v>
      </c>
      <c r="N172" s="46">
        <v>185</v>
      </c>
      <c r="O172" s="47"/>
      <c r="P172" s="46">
        <v>5975908</v>
      </c>
      <c r="Q172" s="39" t="s">
        <v>1130</v>
      </c>
    </row>
    <row r="173" spans="1:17" ht="16.5" customHeight="1" thickBot="1">
      <c r="A173" s="7" t="s">
        <v>162</v>
      </c>
      <c r="B173" s="3">
        <f t="shared" si="8"/>
        <v>46262</v>
      </c>
      <c r="C173" s="4" t="str">
        <f t="shared" si="9"/>
        <v>デビット ９２１０７３</v>
      </c>
      <c r="E173" s="7" t="e">
        <v>#N/A</v>
      </c>
      <c r="G173" s="7" t="s">
        <v>360</v>
      </c>
      <c r="H173" s="6">
        <f t="shared" si="10"/>
        <v>0</v>
      </c>
      <c r="I173" s="5">
        <f t="shared" si="11"/>
        <v>185</v>
      </c>
      <c r="J173" s="7" t="s">
        <v>3841</v>
      </c>
      <c r="L173" s="41">
        <v>46262</v>
      </c>
      <c r="M173" s="42" t="s">
        <v>3825</v>
      </c>
      <c r="N173" s="48">
        <v>185</v>
      </c>
      <c r="O173" s="49"/>
      <c r="P173" s="48">
        <v>5976093</v>
      </c>
      <c r="Q173" s="42" t="s">
        <v>1130</v>
      </c>
    </row>
    <row r="174" spans="1:17" ht="16.5" customHeight="1" thickBot="1">
      <c r="A174" s="7" t="s">
        <v>162</v>
      </c>
      <c r="B174" s="3">
        <f t="shared" si="8"/>
        <v>46262</v>
      </c>
      <c r="C174" s="4" t="str">
        <f t="shared" si="9"/>
        <v>デビット ９１２７２６</v>
      </c>
      <c r="E174" s="7" t="e">
        <v>#N/A</v>
      </c>
      <c r="G174" s="7" t="s">
        <v>360</v>
      </c>
      <c r="H174" s="6">
        <f t="shared" si="10"/>
        <v>0</v>
      </c>
      <c r="I174" s="5">
        <f t="shared" si="11"/>
        <v>185</v>
      </c>
      <c r="J174" s="7" t="s">
        <v>3841</v>
      </c>
      <c r="L174" s="38">
        <v>46262</v>
      </c>
      <c r="M174" s="39" t="s">
        <v>3826</v>
      </c>
      <c r="N174" s="46">
        <v>185</v>
      </c>
      <c r="O174" s="47"/>
      <c r="P174" s="46">
        <v>5976278</v>
      </c>
      <c r="Q174" s="39" t="s">
        <v>1130</v>
      </c>
    </row>
    <row r="175" spans="1:17" ht="16.5" customHeight="1" thickBot="1">
      <c r="A175" s="7" t="s">
        <v>162</v>
      </c>
      <c r="B175" s="3">
        <f t="shared" si="8"/>
        <v>46262</v>
      </c>
      <c r="C175" s="4" t="str">
        <f t="shared" si="9"/>
        <v>デビット ９１０７８７</v>
      </c>
      <c r="E175" s="7" t="e">
        <v>#N/A</v>
      </c>
      <c r="G175" s="7" t="s">
        <v>360</v>
      </c>
      <c r="H175" s="6">
        <f t="shared" si="10"/>
        <v>0</v>
      </c>
      <c r="I175" s="5">
        <f t="shared" si="11"/>
        <v>185</v>
      </c>
      <c r="J175" s="7" t="s">
        <v>3841</v>
      </c>
      <c r="L175" s="41">
        <v>46262</v>
      </c>
      <c r="M175" s="42" t="s">
        <v>3827</v>
      </c>
      <c r="N175" s="48">
        <v>185</v>
      </c>
      <c r="O175" s="49"/>
      <c r="P175" s="48">
        <v>5976463</v>
      </c>
      <c r="Q175" s="42" t="s">
        <v>1130</v>
      </c>
    </row>
    <row r="176" spans="1:17" ht="16.5" customHeight="1" thickBot="1">
      <c r="A176" s="7" t="s">
        <v>162</v>
      </c>
      <c r="B176" s="3">
        <f t="shared" si="8"/>
        <v>46262</v>
      </c>
      <c r="C176" s="4" t="str">
        <f t="shared" si="9"/>
        <v>デビット ９０９１３０</v>
      </c>
      <c r="E176" s="7" t="e">
        <v>#N/A</v>
      </c>
      <c r="G176" s="7" t="s">
        <v>360</v>
      </c>
      <c r="H176" s="6">
        <f t="shared" si="10"/>
        <v>0</v>
      </c>
      <c r="I176" s="5">
        <f t="shared" si="11"/>
        <v>185</v>
      </c>
      <c r="J176" s="7" t="s">
        <v>3841</v>
      </c>
      <c r="L176" s="38">
        <v>46262</v>
      </c>
      <c r="M176" s="39" t="s">
        <v>3828</v>
      </c>
      <c r="N176" s="46">
        <v>185</v>
      </c>
      <c r="O176" s="47"/>
      <c r="P176" s="46">
        <v>5976648</v>
      </c>
      <c r="Q176" s="39" t="s">
        <v>1130</v>
      </c>
    </row>
    <row r="177" spans="1:17" ht="16.5" customHeight="1" thickBot="1">
      <c r="A177" s="7" t="s">
        <v>162</v>
      </c>
      <c r="B177" s="3">
        <f t="shared" si="8"/>
        <v>46262</v>
      </c>
      <c r="C177" s="4" t="str">
        <f t="shared" si="9"/>
        <v>振込＊アライ タカアキ</v>
      </c>
      <c r="E177" s="7" t="s">
        <v>478</v>
      </c>
      <c r="F177" s="7" t="s">
        <v>1129</v>
      </c>
      <c r="G177" s="7" t="s">
        <v>360</v>
      </c>
      <c r="H177" s="6">
        <f t="shared" si="10"/>
        <v>1500000</v>
      </c>
      <c r="I177" s="5">
        <f t="shared" si="11"/>
        <v>0</v>
      </c>
      <c r="J177" s="7" t="s">
        <v>3850</v>
      </c>
      <c r="L177" s="41">
        <v>46262</v>
      </c>
      <c r="M177" s="42" t="s">
        <v>1147</v>
      </c>
      <c r="N177" s="48"/>
      <c r="O177" s="49">
        <v>1500000</v>
      </c>
      <c r="P177" s="48">
        <v>5976833</v>
      </c>
      <c r="Q177" s="42" t="s">
        <v>1130</v>
      </c>
    </row>
    <row r="178" spans="1:17" ht="16.5" customHeight="1" thickBot="1">
      <c r="A178" s="7" t="s">
        <v>162</v>
      </c>
      <c r="B178" s="3">
        <f t="shared" si="8"/>
        <v>46262</v>
      </c>
      <c r="C178" s="4" t="str">
        <f t="shared" si="9"/>
        <v>口座振替 ＺＨゼイリシホウシユウ</v>
      </c>
      <c r="E178" s="7" t="s">
        <v>478</v>
      </c>
      <c r="F178" s="7" t="s">
        <v>1129</v>
      </c>
      <c r="G178" s="7" t="s">
        <v>360</v>
      </c>
      <c r="H178" s="6">
        <f t="shared" si="10"/>
        <v>0</v>
      </c>
      <c r="I178" s="5">
        <f t="shared" si="11"/>
        <v>59874</v>
      </c>
      <c r="J178" s="7" t="s">
        <v>3855</v>
      </c>
      <c r="L178" s="38">
        <v>46262</v>
      </c>
      <c r="M178" s="39" t="s">
        <v>1174</v>
      </c>
      <c r="N178" s="46">
        <v>59874</v>
      </c>
      <c r="O178" s="47"/>
      <c r="P178" s="46">
        <v>4476833</v>
      </c>
      <c r="Q178" s="39" t="s">
        <v>1130</v>
      </c>
    </row>
    <row r="179" spans="1:17" ht="16.5" customHeight="1" thickBot="1">
      <c r="A179" s="7" t="s">
        <v>162</v>
      </c>
      <c r="B179" s="3">
        <f t="shared" si="8"/>
        <v>46263</v>
      </c>
      <c r="C179" s="4" t="str">
        <f t="shared" si="9"/>
        <v>デビット ０９０４４８</v>
      </c>
      <c r="E179" s="7" t="s">
        <v>478</v>
      </c>
      <c r="F179" s="7" t="s">
        <v>1129</v>
      </c>
      <c r="G179" s="7" t="s">
        <v>360</v>
      </c>
      <c r="H179" s="6">
        <f t="shared" si="10"/>
        <v>0</v>
      </c>
      <c r="I179" s="5">
        <f t="shared" si="11"/>
        <v>1863</v>
      </c>
      <c r="J179" s="7" t="s">
        <v>3841</v>
      </c>
      <c r="L179" s="41">
        <v>46263</v>
      </c>
      <c r="M179" s="42" t="s">
        <v>3829</v>
      </c>
      <c r="N179" s="48">
        <v>1863</v>
      </c>
      <c r="O179" s="49"/>
      <c r="P179" s="48">
        <v>5971825</v>
      </c>
      <c r="Q179" s="42" t="s">
        <v>1131</v>
      </c>
    </row>
    <row r="180" spans="1:17" ht="16.5" customHeight="1" thickBot="1">
      <c r="A180" s="7" t="s">
        <v>162</v>
      </c>
      <c r="B180" s="3">
        <f t="shared" si="8"/>
        <v>46265</v>
      </c>
      <c r="C180" s="4" t="str">
        <f t="shared" si="9"/>
        <v>デビット ８５９３６８</v>
      </c>
      <c r="E180" s="7" t="e">
        <v>#N/A</v>
      </c>
      <c r="G180" s="7" t="s">
        <v>360</v>
      </c>
      <c r="H180" s="6">
        <f t="shared" si="10"/>
        <v>0</v>
      </c>
      <c r="I180" s="5">
        <f t="shared" si="11"/>
        <v>185</v>
      </c>
      <c r="J180" s="7" t="s">
        <v>3841</v>
      </c>
      <c r="L180" s="38">
        <v>46265</v>
      </c>
      <c r="M180" s="39" t="s">
        <v>3830</v>
      </c>
      <c r="N180" s="46">
        <v>185</v>
      </c>
      <c r="O180" s="47"/>
      <c r="P180" s="46">
        <v>974306</v>
      </c>
      <c r="Q180" s="39" t="s">
        <v>1130</v>
      </c>
    </row>
    <row r="181" spans="1:17" ht="16.5" customHeight="1" thickBot="1">
      <c r="A181" s="7" t="s">
        <v>162</v>
      </c>
      <c r="B181" s="3">
        <f t="shared" si="8"/>
        <v>46265</v>
      </c>
      <c r="C181" s="4" t="str">
        <f t="shared" si="9"/>
        <v>デビット ８３５４８７</v>
      </c>
      <c r="E181" s="7" t="e">
        <v>#N/A</v>
      </c>
      <c r="G181" s="7" t="s">
        <v>360</v>
      </c>
      <c r="H181" s="6">
        <f t="shared" si="10"/>
        <v>0</v>
      </c>
      <c r="I181" s="5">
        <f t="shared" si="11"/>
        <v>185</v>
      </c>
      <c r="J181" s="7" t="s">
        <v>3841</v>
      </c>
      <c r="L181" s="41">
        <v>46265</v>
      </c>
      <c r="M181" s="42" t="s">
        <v>3831</v>
      </c>
      <c r="N181" s="48">
        <v>185</v>
      </c>
      <c r="O181" s="49"/>
      <c r="P181" s="48">
        <v>974491</v>
      </c>
      <c r="Q181" s="42" t="s">
        <v>1130</v>
      </c>
    </row>
    <row r="182" spans="1:17" ht="16.5" customHeight="1" thickBot="1">
      <c r="A182" s="7" t="s">
        <v>162</v>
      </c>
      <c r="B182" s="3">
        <f t="shared" si="8"/>
        <v>46265</v>
      </c>
      <c r="C182" s="4" t="str">
        <f t="shared" si="9"/>
        <v>デビット ８３１４５５</v>
      </c>
      <c r="E182" s="7" t="e">
        <v>#N/A</v>
      </c>
      <c r="G182" s="7" t="s">
        <v>360</v>
      </c>
      <c r="H182" s="6">
        <f t="shared" si="10"/>
        <v>0</v>
      </c>
      <c r="I182" s="5">
        <f t="shared" si="11"/>
        <v>185</v>
      </c>
      <c r="J182" s="7" t="s">
        <v>3841</v>
      </c>
      <c r="L182" s="38">
        <v>46265</v>
      </c>
      <c r="M182" s="39" t="s">
        <v>3832</v>
      </c>
      <c r="N182" s="46">
        <v>185</v>
      </c>
      <c r="O182" s="47"/>
      <c r="P182" s="46">
        <v>974676</v>
      </c>
      <c r="Q182" s="39" t="s">
        <v>1130</v>
      </c>
    </row>
    <row r="183" spans="1:17" ht="16.5" customHeight="1" thickBot="1">
      <c r="A183" s="7" t="s">
        <v>162</v>
      </c>
      <c r="B183" s="3">
        <f t="shared" si="8"/>
        <v>46265</v>
      </c>
      <c r="C183" s="4" t="str">
        <f t="shared" si="9"/>
        <v>振込手数料</v>
      </c>
      <c r="E183" s="7" t="s">
        <v>478</v>
      </c>
      <c r="F183" s="7" t="s">
        <v>1129</v>
      </c>
      <c r="G183" s="7" t="s">
        <v>360</v>
      </c>
      <c r="H183" s="6">
        <f t="shared" si="10"/>
        <v>0</v>
      </c>
      <c r="I183" s="5">
        <f t="shared" si="11"/>
        <v>140</v>
      </c>
      <c r="J183" s="7" t="s">
        <v>3840</v>
      </c>
      <c r="L183" s="41">
        <v>46265</v>
      </c>
      <c r="M183" s="42" t="s">
        <v>1136</v>
      </c>
      <c r="N183" s="49">
        <v>140</v>
      </c>
      <c r="O183" s="48"/>
      <c r="P183" s="48">
        <v>974861</v>
      </c>
      <c r="Q183" s="42" t="s">
        <v>1130</v>
      </c>
    </row>
    <row r="184" spans="1:17" ht="32.25" customHeight="1" thickBot="1">
      <c r="A184" s="7" t="s">
        <v>162</v>
      </c>
      <c r="B184" s="3">
        <f t="shared" si="8"/>
        <v>46265</v>
      </c>
      <c r="C184" s="4" t="str">
        <f t="shared" si="9"/>
        <v>振込＊エヌテイテイフアイナンス（カ</v>
      </c>
      <c r="E184" s="7" t="s">
        <v>478</v>
      </c>
      <c r="F184" s="7" t="s">
        <v>1129</v>
      </c>
      <c r="G184" s="7" t="s">
        <v>360</v>
      </c>
      <c r="H184" s="6">
        <f t="shared" si="10"/>
        <v>0</v>
      </c>
      <c r="I184" s="5">
        <f t="shared" si="11"/>
        <v>9428</v>
      </c>
      <c r="J184" s="7" t="s">
        <v>3856</v>
      </c>
      <c r="L184" s="38">
        <v>46265</v>
      </c>
      <c r="M184" s="39" t="s">
        <v>3833</v>
      </c>
      <c r="N184" s="46">
        <v>9428</v>
      </c>
      <c r="O184" s="47"/>
      <c r="P184" s="46">
        <v>975001</v>
      </c>
      <c r="Q184" s="39" t="s">
        <v>1130</v>
      </c>
    </row>
    <row r="185" spans="1:17" ht="16.5" customHeight="1" thickBot="1">
      <c r="A185" s="7" t="s">
        <v>162</v>
      </c>
      <c r="B185" s="3">
        <f t="shared" si="8"/>
        <v>46265</v>
      </c>
      <c r="C185" s="4" t="str">
        <f t="shared" si="9"/>
        <v>デビット ８２６１５３</v>
      </c>
      <c r="E185" s="7" t="e">
        <v>#N/A</v>
      </c>
      <c r="G185" s="7" t="s">
        <v>360</v>
      </c>
      <c r="H185" s="6">
        <f t="shared" si="10"/>
        <v>0</v>
      </c>
      <c r="I185" s="5">
        <f t="shared" si="11"/>
        <v>185</v>
      </c>
      <c r="J185" s="7" t="s">
        <v>3841</v>
      </c>
      <c r="L185" s="41">
        <v>46265</v>
      </c>
      <c r="M185" s="42" t="s">
        <v>3834</v>
      </c>
      <c r="N185" s="48">
        <v>185</v>
      </c>
      <c r="O185" s="49"/>
      <c r="P185" s="48">
        <v>984429</v>
      </c>
      <c r="Q185" s="42" t="s">
        <v>1130</v>
      </c>
    </row>
    <row r="186" spans="1:17" ht="16.5" customHeight="1" thickBot="1">
      <c r="A186" s="7" t="s">
        <v>162</v>
      </c>
      <c r="B186" s="3">
        <f t="shared" si="8"/>
        <v>46265</v>
      </c>
      <c r="C186" s="4" t="str">
        <f t="shared" si="9"/>
        <v>デビット ８２１３４２</v>
      </c>
      <c r="E186" s="7" t="e">
        <v>#N/A</v>
      </c>
      <c r="G186" s="7" t="s">
        <v>360</v>
      </c>
      <c r="H186" s="6">
        <f t="shared" si="10"/>
        <v>0</v>
      </c>
      <c r="I186" s="5">
        <f t="shared" si="11"/>
        <v>185</v>
      </c>
      <c r="J186" s="7" t="s">
        <v>3841</v>
      </c>
      <c r="L186" s="38">
        <v>46265</v>
      </c>
      <c r="M186" s="39" t="s">
        <v>3835</v>
      </c>
      <c r="N186" s="46">
        <v>185</v>
      </c>
      <c r="O186" s="47"/>
      <c r="P186" s="46">
        <v>984614</v>
      </c>
      <c r="Q186" s="39" t="s">
        <v>1130</v>
      </c>
    </row>
    <row r="187" spans="1:17" ht="16.5" customHeight="1" thickBot="1">
      <c r="A187" s="7" t="s">
        <v>162</v>
      </c>
      <c r="B187" s="3">
        <f t="shared" si="8"/>
        <v>46265</v>
      </c>
      <c r="C187" s="4" t="str">
        <f t="shared" si="9"/>
        <v>コクゼイチヨウ （22026083114474677344）</v>
      </c>
      <c r="E187" s="7" t="s">
        <v>478</v>
      </c>
      <c r="F187" s="7" t="s">
        <v>1129</v>
      </c>
      <c r="G187" s="7" t="s">
        <v>360</v>
      </c>
      <c r="H187" s="6">
        <f t="shared" si="10"/>
        <v>0</v>
      </c>
      <c r="I187" s="5">
        <f t="shared" si="11"/>
        <v>1000000</v>
      </c>
      <c r="J187" s="7" t="s">
        <v>1179</v>
      </c>
      <c r="L187" s="41">
        <v>46265</v>
      </c>
      <c r="M187" s="42" t="s">
        <v>3836</v>
      </c>
      <c r="N187" s="48">
        <v>1000000</v>
      </c>
      <c r="O187" s="49"/>
      <c r="P187" s="48">
        <v>984799</v>
      </c>
      <c r="Q187" s="42" t="s">
        <v>1130</v>
      </c>
    </row>
    <row r="188" spans="1:17" ht="16.5" customHeight="1" thickBot="1">
      <c r="A188" s="7" t="s">
        <v>162</v>
      </c>
      <c r="B188" s="3">
        <f t="shared" si="8"/>
        <v>46265</v>
      </c>
      <c r="C188" s="4" t="str">
        <f t="shared" si="9"/>
        <v>コクゼイチヨウ （22026083114410827480）</v>
      </c>
      <c r="E188" s="7" t="s">
        <v>478</v>
      </c>
      <c r="F188" s="7" t="s">
        <v>1129</v>
      </c>
      <c r="G188" s="7" t="s">
        <v>360</v>
      </c>
      <c r="H188" s="6">
        <f t="shared" si="10"/>
        <v>0</v>
      </c>
      <c r="I188" s="5">
        <f t="shared" si="11"/>
        <v>110700</v>
      </c>
      <c r="J188" s="7" t="s">
        <v>1179</v>
      </c>
      <c r="L188" s="38">
        <v>46265</v>
      </c>
      <c r="M188" s="39" t="s">
        <v>3837</v>
      </c>
      <c r="N188" s="46">
        <v>110700</v>
      </c>
      <c r="O188" s="47"/>
      <c r="P188" s="46">
        <v>1984799</v>
      </c>
      <c r="Q188" s="39" t="s">
        <v>1130</v>
      </c>
    </row>
    <row r="189" spans="1:17" ht="16.5" customHeight="1" thickBot="1">
      <c r="A189" s="7" t="s">
        <v>162</v>
      </c>
      <c r="B189" s="3">
        <f t="shared" si="8"/>
        <v>46265</v>
      </c>
      <c r="C189" s="4" t="str">
        <f t="shared" si="9"/>
        <v>振込＊ホライズンインベストメント（カ</v>
      </c>
      <c r="E189" s="7" t="e">
        <v>#N/A</v>
      </c>
      <c r="G189" s="7" t="s">
        <v>165</v>
      </c>
      <c r="H189" s="6">
        <f t="shared" si="10"/>
        <v>5830</v>
      </c>
      <c r="I189" s="5">
        <f t="shared" si="11"/>
        <v>0</v>
      </c>
      <c r="J189" s="7" t="s">
        <v>1133</v>
      </c>
      <c r="L189" s="41">
        <v>46265</v>
      </c>
      <c r="M189" s="42" t="s">
        <v>1181</v>
      </c>
      <c r="N189" s="48"/>
      <c r="O189" s="49">
        <v>5830</v>
      </c>
      <c r="P189" s="48">
        <v>2095499</v>
      </c>
      <c r="Q189" s="42" t="s">
        <v>1130</v>
      </c>
    </row>
    <row r="190" spans="1:17" ht="16.5" customHeight="1" thickBot="1">
      <c r="A190" s="7" t="s">
        <v>162</v>
      </c>
      <c r="B190" s="3">
        <f t="shared" si="8"/>
        <v>46265</v>
      </c>
      <c r="C190" s="4" t="str">
        <f t="shared" si="9"/>
        <v>振込手数料</v>
      </c>
      <c r="E190" s="7" t="s">
        <v>478</v>
      </c>
      <c r="F190" s="7" t="s">
        <v>1129</v>
      </c>
      <c r="G190" s="7" t="s">
        <v>360</v>
      </c>
      <c r="H190" s="6">
        <f t="shared" si="10"/>
        <v>0</v>
      </c>
      <c r="I190" s="5">
        <f t="shared" si="11"/>
        <v>140</v>
      </c>
      <c r="J190" s="7" t="s">
        <v>3840</v>
      </c>
      <c r="L190" s="38">
        <v>46265</v>
      </c>
      <c r="M190" s="39" t="s">
        <v>1136</v>
      </c>
      <c r="N190" s="46">
        <v>140</v>
      </c>
      <c r="O190" s="47"/>
      <c r="P190" s="46">
        <v>2089669</v>
      </c>
      <c r="Q190" s="39" t="s">
        <v>1130</v>
      </c>
    </row>
    <row r="191" spans="1:17" ht="16.5" customHeight="1" thickBot="1">
      <c r="A191" s="7" t="s">
        <v>162</v>
      </c>
      <c r="B191" s="3">
        <f t="shared" si="8"/>
        <v>46265</v>
      </c>
      <c r="C191" s="4" t="str">
        <f t="shared" si="9"/>
        <v>振込＊ド）アシスト</v>
      </c>
      <c r="E191" s="7" t="s">
        <v>3851</v>
      </c>
      <c r="G191" s="7" t="s">
        <v>360</v>
      </c>
      <c r="H191" s="6">
        <f t="shared" si="10"/>
        <v>0</v>
      </c>
      <c r="I191" s="5">
        <f t="shared" si="11"/>
        <v>1000000</v>
      </c>
      <c r="J191" s="7" t="s">
        <v>3857</v>
      </c>
      <c r="L191" s="41">
        <v>46265</v>
      </c>
      <c r="M191" s="42" t="s">
        <v>1148</v>
      </c>
      <c r="N191" s="48">
        <v>1000000</v>
      </c>
      <c r="O191" s="49"/>
      <c r="P191" s="48">
        <v>2089809</v>
      </c>
      <c r="Q191" s="42" t="s">
        <v>1130</v>
      </c>
    </row>
    <row r="192" spans="1:17" ht="16.5" customHeight="1" thickBot="1">
      <c r="A192" s="7" t="s">
        <v>162</v>
      </c>
      <c r="B192" s="3">
        <f t="shared" si="8"/>
        <v>46265</v>
      </c>
      <c r="C192" s="4" t="str">
        <f t="shared" si="9"/>
        <v>振込手数料</v>
      </c>
      <c r="E192" s="7" t="s">
        <v>478</v>
      </c>
      <c r="F192" s="7" t="s">
        <v>1129</v>
      </c>
      <c r="G192" s="7" t="s">
        <v>360</v>
      </c>
      <c r="H192" s="6">
        <f t="shared" si="10"/>
        <v>0</v>
      </c>
      <c r="I192" s="5">
        <f t="shared" si="11"/>
        <v>140</v>
      </c>
      <c r="J192" s="7" t="s">
        <v>3840</v>
      </c>
      <c r="L192" s="38">
        <v>46265</v>
      </c>
      <c r="M192" s="39" t="s">
        <v>1136</v>
      </c>
      <c r="N192" s="46">
        <v>140</v>
      </c>
      <c r="O192" s="47"/>
      <c r="P192" s="46">
        <v>3089809</v>
      </c>
      <c r="Q192" s="39" t="s">
        <v>1130</v>
      </c>
    </row>
    <row r="193" spans="1:17" ht="16.5" customHeight="1" thickBot="1">
      <c r="A193" s="7" t="s">
        <v>162</v>
      </c>
      <c r="B193" s="3">
        <f t="shared" si="8"/>
        <v>46265</v>
      </c>
      <c r="C193" s="4" t="str">
        <f t="shared" si="9"/>
        <v>振込＊カ）カレンダー</v>
      </c>
      <c r="E193" s="7" t="s">
        <v>3859</v>
      </c>
      <c r="G193" s="7" t="s">
        <v>360</v>
      </c>
      <c r="H193" s="6">
        <f t="shared" si="10"/>
        <v>0</v>
      </c>
      <c r="I193" s="5">
        <f t="shared" si="11"/>
        <v>1016511</v>
      </c>
      <c r="J193" s="7" t="s">
        <v>3858</v>
      </c>
      <c r="L193" s="41">
        <v>46265</v>
      </c>
      <c r="M193" s="42" t="s">
        <v>1177</v>
      </c>
      <c r="N193" s="48">
        <v>1016511</v>
      </c>
      <c r="O193" s="49"/>
      <c r="P193" s="48">
        <v>3089949</v>
      </c>
      <c r="Q193" s="42" t="s">
        <v>1130</v>
      </c>
    </row>
    <row r="194" spans="1:17" ht="16.5" customHeight="1" thickBot="1">
      <c r="A194" s="7" t="s">
        <v>162</v>
      </c>
      <c r="B194" s="3">
        <f t="shared" si="8"/>
        <v>46265</v>
      </c>
      <c r="C194" s="4" t="str">
        <f t="shared" si="9"/>
        <v>振込手数料</v>
      </c>
      <c r="E194" s="7" t="s">
        <v>478</v>
      </c>
      <c r="F194" s="7" t="s">
        <v>1129</v>
      </c>
      <c r="G194" s="7" t="s">
        <v>360</v>
      </c>
      <c r="H194" s="6">
        <f t="shared" si="10"/>
        <v>0</v>
      </c>
      <c r="I194" s="5">
        <f t="shared" si="11"/>
        <v>140</v>
      </c>
      <c r="J194" s="7" t="s">
        <v>3840</v>
      </c>
      <c r="L194" s="38">
        <v>46265</v>
      </c>
      <c r="M194" s="39" t="s">
        <v>1136</v>
      </c>
      <c r="N194" s="46">
        <v>140</v>
      </c>
      <c r="O194" s="47"/>
      <c r="P194" s="46">
        <v>4106460</v>
      </c>
      <c r="Q194" s="39" t="s">
        <v>1130</v>
      </c>
    </row>
    <row r="195" spans="1:17" ht="16.5" customHeight="1" thickBot="1">
      <c r="A195" s="7" t="s">
        <v>162</v>
      </c>
      <c r="B195" s="3">
        <f t="shared" si="8"/>
        <v>46265</v>
      </c>
      <c r="C195" s="4" t="str">
        <f t="shared" si="9"/>
        <v>振込＊カ．シーキヤスト</v>
      </c>
      <c r="E195" s="7" t="s">
        <v>3847</v>
      </c>
      <c r="G195" s="7" t="s">
        <v>360</v>
      </c>
      <c r="H195" s="6">
        <f t="shared" si="10"/>
        <v>0</v>
      </c>
      <c r="I195" s="5">
        <f t="shared" si="11"/>
        <v>1929582</v>
      </c>
      <c r="J195" s="7" t="s">
        <v>3860</v>
      </c>
      <c r="L195" s="41">
        <v>46265</v>
      </c>
      <c r="M195" s="42" t="s">
        <v>1178</v>
      </c>
      <c r="N195" s="48">
        <v>1929582</v>
      </c>
      <c r="O195" s="49"/>
      <c r="P195" s="48">
        <v>4106600</v>
      </c>
      <c r="Q195" s="42" t="s">
        <v>1130</v>
      </c>
    </row>
    <row r="196" spans="1:17" ht="16.5" customHeight="1" thickBot="1">
      <c r="A196" s="7" t="s">
        <v>162</v>
      </c>
      <c r="B196" s="3">
        <f t="shared" ref="B196:B201" si="12">L196</f>
        <v>46265</v>
      </c>
      <c r="C196" s="4" t="str">
        <f t="shared" ref="C196:C201" si="13">M196</f>
        <v>振込＊カ）エフブイジヤパン</v>
      </c>
      <c r="E196" s="7" t="s">
        <v>3845</v>
      </c>
      <c r="G196" s="7" t="s">
        <v>165</v>
      </c>
      <c r="H196" s="6">
        <f t="shared" ref="H196:H201" si="14">O196</f>
        <v>10890</v>
      </c>
      <c r="I196" s="5">
        <f t="shared" ref="I196:I201" si="15">N196</f>
        <v>0</v>
      </c>
      <c r="J196" s="7" t="s">
        <v>1133</v>
      </c>
      <c r="L196" s="38">
        <v>46265</v>
      </c>
      <c r="M196" s="39" t="s">
        <v>1180</v>
      </c>
      <c r="N196" s="46"/>
      <c r="O196" s="47">
        <v>10890</v>
      </c>
      <c r="P196" s="46">
        <v>6036182</v>
      </c>
      <c r="Q196" s="39" t="s">
        <v>1130</v>
      </c>
    </row>
    <row r="197" spans="1:17" ht="16.5" customHeight="1" thickBot="1">
      <c r="A197" s="7" t="s">
        <v>162</v>
      </c>
      <c r="B197" s="3">
        <f t="shared" si="12"/>
        <v>46265</v>
      </c>
      <c r="C197" s="4" t="str">
        <f t="shared" si="13"/>
        <v>振込＊カ）エムトラ</v>
      </c>
      <c r="E197" s="7" t="s">
        <v>3846</v>
      </c>
      <c r="G197" s="7" t="s">
        <v>165</v>
      </c>
      <c r="H197" s="6">
        <f t="shared" si="14"/>
        <v>23463</v>
      </c>
      <c r="I197" s="5">
        <f t="shared" si="15"/>
        <v>0</v>
      </c>
      <c r="J197" s="7" t="s">
        <v>1133</v>
      </c>
      <c r="L197" s="41">
        <v>46265</v>
      </c>
      <c r="M197" s="42" t="s">
        <v>1132</v>
      </c>
      <c r="N197" s="48"/>
      <c r="O197" s="49">
        <v>23463</v>
      </c>
      <c r="P197" s="48">
        <v>6025292</v>
      </c>
      <c r="Q197" s="42" t="s">
        <v>1130</v>
      </c>
    </row>
    <row r="198" spans="1:17" ht="16.5" customHeight="1" thickBot="1">
      <c r="A198" s="7" t="s">
        <v>162</v>
      </c>
      <c r="B198" s="3">
        <f t="shared" si="12"/>
        <v>46265</v>
      </c>
      <c r="C198" s="4" t="str">
        <f t="shared" si="13"/>
        <v>振込＊カ）シーキヤスト</v>
      </c>
      <c r="E198" s="7" t="s">
        <v>3847</v>
      </c>
      <c r="G198" s="7" t="s">
        <v>165</v>
      </c>
      <c r="H198" s="6">
        <f t="shared" si="14"/>
        <v>23650</v>
      </c>
      <c r="I198" s="5">
        <f t="shared" si="15"/>
        <v>0</v>
      </c>
      <c r="J198" s="7" t="s">
        <v>1133</v>
      </c>
      <c r="L198" s="38">
        <v>46265</v>
      </c>
      <c r="M198" s="39" t="s">
        <v>1182</v>
      </c>
      <c r="N198" s="46"/>
      <c r="O198" s="47">
        <v>23650</v>
      </c>
      <c r="P198" s="46">
        <v>6001829</v>
      </c>
      <c r="Q198" s="39" t="s">
        <v>1130</v>
      </c>
    </row>
    <row r="199" spans="1:17" ht="16.5" customHeight="1" thickBot="1">
      <c r="A199" s="7" t="s">
        <v>162</v>
      </c>
      <c r="B199" s="3">
        <f t="shared" si="12"/>
        <v>46265</v>
      </c>
      <c r="C199" s="4" t="str">
        <f t="shared" si="13"/>
        <v>振込手数料</v>
      </c>
      <c r="E199" s="7" t="s">
        <v>478</v>
      </c>
      <c r="F199" s="7" t="s">
        <v>1129</v>
      </c>
      <c r="G199" s="7" t="s">
        <v>360</v>
      </c>
      <c r="H199" s="6">
        <f t="shared" si="14"/>
        <v>0</v>
      </c>
      <c r="I199" s="5">
        <f t="shared" si="15"/>
        <v>140</v>
      </c>
      <c r="J199" s="7" t="s">
        <v>3840</v>
      </c>
      <c r="L199" s="41">
        <v>46265</v>
      </c>
      <c r="M199" s="42" t="s">
        <v>1136</v>
      </c>
      <c r="N199" s="48">
        <v>140</v>
      </c>
      <c r="O199" s="49"/>
      <c r="P199" s="48">
        <v>5978179</v>
      </c>
      <c r="Q199" s="42" t="s">
        <v>1130</v>
      </c>
    </row>
    <row r="200" spans="1:17" ht="16.5" customHeight="1" thickBot="1">
      <c r="A200" s="7" t="s">
        <v>162</v>
      </c>
      <c r="B200" s="3">
        <f t="shared" si="12"/>
        <v>46265</v>
      </c>
      <c r="C200" s="4" t="str">
        <f t="shared" si="13"/>
        <v>振込＊カ）ルナ</v>
      </c>
      <c r="E200" s="7" t="s">
        <v>3849</v>
      </c>
      <c r="G200" s="7" t="s">
        <v>360</v>
      </c>
      <c r="H200" s="6">
        <f t="shared" si="14"/>
        <v>0</v>
      </c>
      <c r="I200" s="5">
        <f t="shared" si="15"/>
        <v>594000</v>
      </c>
      <c r="J200" s="7" t="s">
        <v>3848</v>
      </c>
      <c r="L200" s="38">
        <v>46265</v>
      </c>
      <c r="M200" s="39" t="s">
        <v>1176</v>
      </c>
      <c r="N200" s="46">
        <v>594000</v>
      </c>
      <c r="O200" s="47"/>
      <c r="P200" s="46">
        <v>5978319</v>
      </c>
      <c r="Q200" s="39" t="s">
        <v>1130</v>
      </c>
    </row>
    <row r="201" spans="1:17" ht="16.5" customHeight="1" thickBot="1">
      <c r="A201" s="7" t="s">
        <v>162</v>
      </c>
      <c r="B201" s="3">
        <f t="shared" si="12"/>
        <v>46265</v>
      </c>
      <c r="C201" s="4" t="str">
        <f t="shared" si="13"/>
        <v>振込＊ジーエムオーペイメントゲートウエイ</v>
      </c>
      <c r="E201" s="7" t="s">
        <v>478</v>
      </c>
      <c r="F201" s="7" t="s">
        <v>1129</v>
      </c>
      <c r="G201" s="7" t="s">
        <v>360</v>
      </c>
      <c r="H201" s="6">
        <f t="shared" si="14"/>
        <v>600494</v>
      </c>
      <c r="I201" s="5">
        <f t="shared" si="15"/>
        <v>0</v>
      </c>
      <c r="J201" s="7" t="s">
        <v>3844</v>
      </c>
      <c r="L201" s="41">
        <v>46265</v>
      </c>
      <c r="M201" s="42" t="s">
        <v>1138</v>
      </c>
      <c r="N201" s="48"/>
      <c r="O201" s="49">
        <v>600494</v>
      </c>
      <c r="P201" s="48">
        <v>6572319</v>
      </c>
      <c r="Q201" s="42" t="s">
        <v>1130</v>
      </c>
    </row>
  </sheetData>
  <autoFilter ref="A2:J201"/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62"/>
  <sheetViews>
    <sheetView workbookViewId="0">
      <selection activeCell="G7" sqref="G7:G8"/>
    </sheetView>
  </sheetViews>
  <sheetFormatPr defaultRowHeight="14.25"/>
  <cols>
    <col min="1" max="1" width="17.375" customWidth="1"/>
    <col min="2" max="3" width="15.5" style="2" customWidth="1"/>
    <col min="4" max="4" width="11.5" customWidth="1"/>
    <col min="5" max="5" width="21.625" customWidth="1"/>
    <col min="7" max="7" width="14.125" customWidth="1"/>
    <col min="8" max="8" width="20.875" customWidth="1"/>
    <col min="9" max="9" width="14.125" customWidth="1"/>
    <col min="10" max="10" width="20.5" style="65" customWidth="1"/>
    <col min="14" max="14" width="18" customWidth="1"/>
    <col min="15" max="15" width="12.5" bestFit="1" customWidth="1"/>
  </cols>
  <sheetData>
    <row r="1" spans="1:16" ht="26.25" customHeight="1">
      <c r="A1" s="95" t="s">
        <v>152</v>
      </c>
      <c r="B1" s="96" t="s">
        <v>2127</v>
      </c>
      <c r="C1" s="96" t="s">
        <v>2128</v>
      </c>
      <c r="D1" s="97"/>
      <c r="E1" s="95" t="s">
        <v>1126</v>
      </c>
      <c r="F1" s="97"/>
      <c r="G1" s="95" t="s">
        <v>155</v>
      </c>
      <c r="H1" s="106" t="s">
        <v>161</v>
      </c>
    </row>
    <row r="2" spans="1:16" ht="31.5" customHeight="1" thickBot="1">
      <c r="A2" s="94"/>
      <c r="B2" s="1">
        <f>SUBTOTAL(9,B3:B1000)</f>
        <v>973300</v>
      </c>
      <c r="C2" s="1">
        <f>SUBTOTAL(9,C3:C1000)</f>
        <v>850000</v>
      </c>
      <c r="D2" s="94"/>
      <c r="E2" s="94"/>
      <c r="F2" s="94"/>
      <c r="G2" s="94"/>
      <c r="H2" s="107"/>
    </row>
    <row r="3" spans="1:16" ht="30.75" customHeight="1" thickBot="1">
      <c r="A3">
        <f>I3</f>
        <v>20260801</v>
      </c>
      <c r="B3" s="2">
        <f>K3</f>
        <v>4000</v>
      </c>
      <c r="C3" s="2">
        <f>L3</f>
        <v>0</v>
      </c>
      <c r="D3" t="str">
        <f>M3</f>
        <v>ことら</v>
      </c>
      <c r="E3" t="str">
        <f>N3</f>
        <v>ﾎｱﾝ ﾃｲ ﾎｱ</v>
      </c>
      <c r="G3" t="s">
        <v>179</v>
      </c>
      <c r="H3" t="s">
        <v>2156</v>
      </c>
      <c r="I3" s="50">
        <v>20260801</v>
      </c>
      <c r="J3" s="59">
        <v>202608010000001</v>
      </c>
      <c r="K3" s="51">
        <v>4000</v>
      </c>
      <c r="L3" s="37"/>
      <c r="M3" s="52" t="s">
        <v>359</v>
      </c>
      <c r="N3" s="52" t="s">
        <v>2136</v>
      </c>
      <c r="O3" s="146">
        <v>301168</v>
      </c>
      <c r="P3" s="147"/>
    </row>
    <row r="4" spans="1:16" ht="15.75" customHeight="1" thickBot="1">
      <c r="A4">
        <f t="shared" ref="A4:A62" si="0">I4</f>
        <v>20260802</v>
      </c>
      <c r="B4" s="2">
        <f t="shared" ref="B4:B62" si="1">K4</f>
        <v>4000</v>
      </c>
      <c r="C4" s="2">
        <f t="shared" ref="C4:C62" si="2">L4</f>
        <v>0</v>
      </c>
      <c r="D4" t="str">
        <f t="shared" ref="D4:D62" si="3">M4</f>
        <v>送金</v>
      </c>
      <c r="E4" t="str">
        <f t="shared" ref="E4:E62" si="4">N4</f>
        <v>ＲＡＪＡＰＡＫＳ</v>
      </c>
      <c r="G4" t="s">
        <v>179</v>
      </c>
      <c r="H4" t="s">
        <v>36</v>
      </c>
      <c r="I4" s="149">
        <v>20260802</v>
      </c>
      <c r="J4" s="159">
        <v>202608020000001</v>
      </c>
      <c r="K4" s="55">
        <v>4000</v>
      </c>
      <c r="L4" s="40"/>
      <c r="M4" s="55" t="s">
        <v>167</v>
      </c>
      <c r="N4" s="55" t="s">
        <v>2130</v>
      </c>
      <c r="O4" s="150">
        <v>305168</v>
      </c>
      <c r="P4" s="147"/>
    </row>
    <row r="5" spans="1:16" ht="30.75" customHeight="1" thickBot="1">
      <c r="A5">
        <f t="shared" si="0"/>
        <v>20260803</v>
      </c>
      <c r="B5" s="2">
        <f t="shared" si="1"/>
        <v>200000</v>
      </c>
      <c r="C5" s="2">
        <f t="shared" si="2"/>
        <v>0</v>
      </c>
      <c r="D5" t="str">
        <f t="shared" si="3"/>
        <v>振込</v>
      </c>
      <c r="E5" t="str">
        <f t="shared" si="4"/>
        <v>ｶ)ｼ-ｷﾔｽﾄ</v>
      </c>
      <c r="G5" t="s">
        <v>360</v>
      </c>
      <c r="I5" s="151">
        <v>20260803</v>
      </c>
      <c r="J5" s="160">
        <v>202608030000001</v>
      </c>
      <c r="K5" s="58">
        <v>200000</v>
      </c>
      <c r="L5" s="43"/>
      <c r="M5" s="58" t="s">
        <v>184</v>
      </c>
      <c r="N5" s="58" t="s">
        <v>2134</v>
      </c>
      <c r="O5" s="152">
        <v>505168</v>
      </c>
      <c r="P5" s="147"/>
    </row>
    <row r="6" spans="1:16" ht="30.75" customHeight="1" thickBot="1">
      <c r="A6">
        <f t="shared" si="0"/>
        <v>20260804</v>
      </c>
      <c r="B6" s="2">
        <f t="shared" si="1"/>
        <v>0</v>
      </c>
      <c r="C6" s="2">
        <f t="shared" si="2"/>
        <v>200000</v>
      </c>
      <c r="D6" t="str">
        <f t="shared" si="3"/>
        <v>通 帳</v>
      </c>
      <c r="E6">
        <f t="shared" si="4"/>
        <v>0</v>
      </c>
      <c r="G6" t="s">
        <v>360</v>
      </c>
      <c r="I6" s="149">
        <v>20260804</v>
      </c>
      <c r="J6" s="159">
        <v>202608040000001</v>
      </c>
      <c r="K6" s="40"/>
      <c r="L6" s="55">
        <v>200000</v>
      </c>
      <c r="M6" s="55" t="s">
        <v>2135</v>
      </c>
      <c r="N6" s="40"/>
      <c r="O6" s="150">
        <v>305168</v>
      </c>
      <c r="P6" s="147"/>
    </row>
    <row r="7" spans="1:16" ht="15.75" customHeight="1" thickBot="1">
      <c r="A7">
        <f t="shared" si="0"/>
        <v>20260804</v>
      </c>
      <c r="B7" s="2">
        <f t="shared" si="1"/>
        <v>1800</v>
      </c>
      <c r="C7" s="2">
        <f t="shared" si="2"/>
        <v>0</v>
      </c>
      <c r="D7" t="str">
        <f t="shared" si="3"/>
        <v>送金</v>
      </c>
      <c r="E7" t="str">
        <f t="shared" si="4"/>
        <v>ＮＧＵＹＥＮ Ｖ</v>
      </c>
      <c r="G7" t="s">
        <v>179</v>
      </c>
      <c r="H7" t="s">
        <v>37</v>
      </c>
      <c r="I7" s="149">
        <v>20260804</v>
      </c>
      <c r="J7" s="159">
        <v>202608040000002</v>
      </c>
      <c r="K7" s="55">
        <v>1800</v>
      </c>
      <c r="L7" s="40"/>
      <c r="M7" s="55" t="s">
        <v>167</v>
      </c>
      <c r="N7" s="55" t="s">
        <v>264</v>
      </c>
      <c r="O7" s="150">
        <v>306968</v>
      </c>
      <c r="P7" s="147"/>
    </row>
    <row r="8" spans="1:16" ht="15.75" customHeight="1" thickBot="1">
      <c r="A8">
        <f t="shared" si="0"/>
        <v>20260805</v>
      </c>
      <c r="B8" s="2">
        <f t="shared" si="1"/>
        <v>4000</v>
      </c>
      <c r="C8" s="2">
        <f t="shared" si="2"/>
        <v>0</v>
      </c>
      <c r="D8" t="str">
        <f t="shared" si="3"/>
        <v>送金</v>
      </c>
      <c r="E8" t="str">
        <f t="shared" si="4"/>
        <v>ＲＩＢＥＩＲＯ</v>
      </c>
      <c r="G8" t="s">
        <v>179</v>
      </c>
      <c r="H8" t="s">
        <v>32</v>
      </c>
      <c r="I8" s="151">
        <v>20260805</v>
      </c>
      <c r="J8" s="160">
        <v>202608050000001</v>
      </c>
      <c r="K8" s="58">
        <v>4000</v>
      </c>
      <c r="L8" s="43"/>
      <c r="M8" s="58" t="s">
        <v>167</v>
      </c>
      <c r="N8" s="58" t="s">
        <v>2133</v>
      </c>
      <c r="O8" s="152">
        <v>310968</v>
      </c>
      <c r="P8" s="147"/>
    </row>
    <row r="9" spans="1:16" ht="15.75" customHeight="1" thickBot="1">
      <c r="A9">
        <f t="shared" si="0"/>
        <v>20260805</v>
      </c>
      <c r="B9" s="2">
        <f t="shared" si="1"/>
        <v>2000</v>
      </c>
      <c r="C9" s="2">
        <f t="shared" si="2"/>
        <v>0</v>
      </c>
      <c r="D9" t="str">
        <f t="shared" si="3"/>
        <v>送金</v>
      </c>
      <c r="E9" t="str">
        <f t="shared" si="4"/>
        <v>ＴＡＫＥＩ ＣＯ</v>
      </c>
      <c r="G9" t="s">
        <v>179</v>
      </c>
      <c r="H9" t="s">
        <v>4011</v>
      </c>
      <c r="I9" s="153">
        <v>20260805</v>
      </c>
      <c r="J9" s="161">
        <v>202608050000002</v>
      </c>
      <c r="K9" s="154">
        <v>2000</v>
      </c>
      <c r="L9" s="121"/>
      <c r="M9" s="154" t="s">
        <v>167</v>
      </c>
      <c r="N9" s="154" t="s">
        <v>2760</v>
      </c>
      <c r="O9" s="155">
        <v>312968</v>
      </c>
      <c r="P9" s="156"/>
    </row>
    <row r="10" spans="1:16" ht="15.75" customHeight="1" thickBot="1">
      <c r="A10">
        <f t="shared" si="0"/>
        <v>20260806</v>
      </c>
      <c r="B10" s="2">
        <f t="shared" si="1"/>
        <v>2000</v>
      </c>
      <c r="C10" s="2">
        <f t="shared" si="2"/>
        <v>0</v>
      </c>
      <c r="D10" t="str">
        <f t="shared" si="3"/>
        <v>送金</v>
      </c>
      <c r="E10" t="str">
        <f t="shared" si="4"/>
        <v>ＨＯＳＳＡＩＮ</v>
      </c>
      <c r="G10" t="s">
        <v>179</v>
      </c>
      <c r="H10" t="s">
        <v>2155</v>
      </c>
      <c r="I10" s="151">
        <v>20260806</v>
      </c>
      <c r="J10" s="160">
        <v>202608060000001</v>
      </c>
      <c r="K10" s="58">
        <v>2000</v>
      </c>
      <c r="L10" s="43"/>
      <c r="M10" s="58" t="s">
        <v>167</v>
      </c>
      <c r="N10" s="58" t="s">
        <v>2132</v>
      </c>
      <c r="O10" s="152">
        <v>314968</v>
      </c>
      <c r="P10" s="147"/>
    </row>
    <row r="11" spans="1:16" ht="15.75" customHeight="1" thickBot="1">
      <c r="A11">
        <f t="shared" si="0"/>
        <v>20260810</v>
      </c>
      <c r="B11" s="2">
        <f t="shared" si="1"/>
        <v>4000</v>
      </c>
      <c r="C11" s="2">
        <f t="shared" si="2"/>
        <v>0</v>
      </c>
      <c r="D11" t="str">
        <f t="shared" si="3"/>
        <v>送金</v>
      </c>
      <c r="E11" t="str">
        <f t="shared" si="4"/>
        <v>ＭＵＮＡＭＢＡＭ</v>
      </c>
      <c r="G11" t="s">
        <v>179</v>
      </c>
      <c r="H11" t="s">
        <v>2154</v>
      </c>
      <c r="I11" s="149">
        <v>20260810</v>
      </c>
      <c r="J11" s="159">
        <v>202608100000001</v>
      </c>
      <c r="K11" s="55">
        <v>4000</v>
      </c>
      <c r="L11" s="40"/>
      <c r="M11" s="55" t="s">
        <v>167</v>
      </c>
      <c r="N11" s="55" t="s">
        <v>2131</v>
      </c>
      <c r="O11" s="150">
        <v>318968</v>
      </c>
      <c r="P11" s="147"/>
    </row>
    <row r="12" spans="1:16" ht="15.75" customHeight="1" thickBot="1">
      <c r="A12">
        <f t="shared" si="0"/>
        <v>20260823</v>
      </c>
      <c r="B12" s="2">
        <f t="shared" si="1"/>
        <v>2000</v>
      </c>
      <c r="C12" s="2">
        <f t="shared" si="2"/>
        <v>0</v>
      </c>
      <c r="D12" t="str">
        <f t="shared" si="3"/>
        <v>送金</v>
      </c>
      <c r="E12" t="str">
        <f t="shared" si="4"/>
        <v>ＭＩＡ ＳＵＪＡ</v>
      </c>
      <c r="G12" t="s">
        <v>179</v>
      </c>
      <c r="H12" t="s">
        <v>45</v>
      </c>
      <c r="I12" s="53">
        <v>20260823</v>
      </c>
      <c r="J12" s="60">
        <v>202608230000001</v>
      </c>
      <c r="K12" s="54">
        <v>2000</v>
      </c>
      <c r="L12" s="40"/>
      <c r="M12" s="55" t="s">
        <v>167</v>
      </c>
      <c r="N12" s="55" t="s">
        <v>2137</v>
      </c>
      <c r="O12" s="157">
        <v>320968</v>
      </c>
      <c r="P12" s="147"/>
    </row>
    <row r="13" spans="1:16" ht="15.75" customHeight="1" thickBot="1">
      <c r="A13">
        <f t="shared" si="0"/>
        <v>20260824</v>
      </c>
      <c r="B13" s="2">
        <f t="shared" si="1"/>
        <v>2000</v>
      </c>
      <c r="C13" s="2">
        <f t="shared" si="2"/>
        <v>0</v>
      </c>
      <c r="D13" t="str">
        <f t="shared" si="3"/>
        <v>送金</v>
      </c>
      <c r="E13" t="str">
        <f t="shared" si="4"/>
        <v>ＮＥＰＡＬＩ Ｓ</v>
      </c>
      <c r="G13" t="s">
        <v>179</v>
      </c>
      <c r="H13" t="s">
        <v>26</v>
      </c>
      <c r="I13" s="56">
        <v>20260824</v>
      </c>
      <c r="J13" s="61">
        <v>202608240000001</v>
      </c>
      <c r="K13" s="57">
        <v>2000</v>
      </c>
      <c r="L13" s="43"/>
      <c r="M13" s="58" t="s">
        <v>167</v>
      </c>
      <c r="N13" s="58" t="s">
        <v>2138</v>
      </c>
      <c r="O13" s="158">
        <v>322968</v>
      </c>
      <c r="P13" s="147"/>
    </row>
    <row r="14" spans="1:16" ht="15.75" customHeight="1" thickBot="1">
      <c r="A14">
        <f t="shared" si="0"/>
        <v>20260824</v>
      </c>
      <c r="B14" s="2">
        <f t="shared" si="1"/>
        <v>2000</v>
      </c>
      <c r="C14" s="2">
        <f t="shared" si="2"/>
        <v>0</v>
      </c>
      <c r="D14" t="str">
        <f t="shared" si="3"/>
        <v>送金</v>
      </c>
      <c r="E14" t="str">
        <f t="shared" si="4"/>
        <v>ＴＯＹＯＮＡＧＡ</v>
      </c>
      <c r="G14" t="s">
        <v>179</v>
      </c>
      <c r="H14" t="s">
        <v>40</v>
      </c>
      <c r="I14" s="53">
        <v>20260824</v>
      </c>
      <c r="J14" s="60">
        <v>202608240000002</v>
      </c>
      <c r="K14" s="54">
        <v>2000</v>
      </c>
      <c r="L14" s="40"/>
      <c r="M14" s="55" t="s">
        <v>167</v>
      </c>
      <c r="N14" s="55" t="s">
        <v>2140</v>
      </c>
      <c r="O14" s="157">
        <v>324968</v>
      </c>
      <c r="P14" s="147"/>
    </row>
    <row r="15" spans="1:16" ht="15.75" customHeight="1" thickBot="1">
      <c r="A15">
        <f t="shared" si="0"/>
        <v>20260825</v>
      </c>
      <c r="B15" s="2">
        <f t="shared" si="1"/>
        <v>1500</v>
      </c>
      <c r="C15" s="2">
        <f t="shared" si="2"/>
        <v>0</v>
      </c>
      <c r="D15" t="str">
        <f t="shared" si="3"/>
        <v>送金</v>
      </c>
      <c r="E15" t="str">
        <f t="shared" si="4"/>
        <v>ＴＯＹＯＤＡ Ｔ</v>
      </c>
      <c r="G15" t="s">
        <v>179</v>
      </c>
      <c r="H15" t="s">
        <v>21</v>
      </c>
      <c r="I15" s="56">
        <v>20260825</v>
      </c>
      <c r="J15" s="61">
        <v>202608250000001</v>
      </c>
      <c r="K15" s="57">
        <v>1500</v>
      </c>
      <c r="L15" s="43"/>
      <c r="M15" s="58" t="s">
        <v>167</v>
      </c>
      <c r="N15" s="58" t="s">
        <v>2139</v>
      </c>
      <c r="O15" s="158">
        <v>326468</v>
      </c>
      <c r="P15" s="147"/>
    </row>
    <row r="16" spans="1:16" ht="15.75" customHeight="1" thickBot="1">
      <c r="A16">
        <f t="shared" si="0"/>
        <v>20260826</v>
      </c>
      <c r="B16" s="2">
        <f t="shared" si="1"/>
        <v>2000</v>
      </c>
      <c r="C16" s="2">
        <f t="shared" si="2"/>
        <v>0</v>
      </c>
      <c r="D16" t="str">
        <f t="shared" si="3"/>
        <v>送金</v>
      </c>
      <c r="E16" t="str">
        <f t="shared" si="4"/>
        <v>ＦＩＲＧＯ ＦＡ</v>
      </c>
      <c r="G16" t="s">
        <v>179</v>
      </c>
      <c r="H16" t="s">
        <v>27</v>
      </c>
      <c r="I16" s="53">
        <v>20260826</v>
      </c>
      <c r="J16" s="60">
        <v>202608260000001</v>
      </c>
      <c r="K16" s="54">
        <v>2000</v>
      </c>
      <c r="L16" s="40"/>
      <c r="M16" s="55" t="s">
        <v>167</v>
      </c>
      <c r="N16" s="55" t="s">
        <v>3864</v>
      </c>
      <c r="O16" s="157">
        <v>328468</v>
      </c>
      <c r="P16" s="147"/>
    </row>
    <row r="17" spans="1:16" ht="15.75" customHeight="1" thickBot="1">
      <c r="A17">
        <f t="shared" si="0"/>
        <v>20260826</v>
      </c>
      <c r="B17" s="2">
        <f t="shared" si="1"/>
        <v>500000</v>
      </c>
      <c r="C17" s="2">
        <f t="shared" si="2"/>
        <v>0</v>
      </c>
      <c r="D17" t="str">
        <f t="shared" si="3"/>
        <v>振込</v>
      </c>
      <c r="E17" t="str">
        <f t="shared" si="4"/>
        <v>ｶ)ｼ-ｷﾔｽﾄ</v>
      </c>
      <c r="G17" t="s">
        <v>360</v>
      </c>
      <c r="I17" s="53">
        <v>20260826</v>
      </c>
      <c r="J17" s="60">
        <v>202608260000002</v>
      </c>
      <c r="K17" s="54">
        <v>500000</v>
      </c>
      <c r="L17" s="40"/>
      <c r="M17" s="55" t="s">
        <v>184</v>
      </c>
      <c r="N17" s="55" t="s">
        <v>2134</v>
      </c>
      <c r="O17" s="157">
        <v>828468</v>
      </c>
      <c r="P17" s="147"/>
    </row>
    <row r="18" spans="1:16" ht="15.75" customHeight="1" thickBot="1">
      <c r="A18">
        <f t="shared" si="0"/>
        <v>20260827</v>
      </c>
      <c r="B18" s="2">
        <f t="shared" si="1"/>
        <v>0</v>
      </c>
      <c r="C18" s="2">
        <f t="shared" si="2"/>
        <v>500000</v>
      </c>
      <c r="D18" t="str">
        <f t="shared" si="3"/>
        <v>通 帳</v>
      </c>
      <c r="E18">
        <f t="shared" si="4"/>
        <v>0</v>
      </c>
      <c r="G18" t="s">
        <v>360</v>
      </c>
      <c r="I18" s="56">
        <v>20260827</v>
      </c>
      <c r="J18" s="61">
        <v>202608270000001</v>
      </c>
      <c r="K18" s="43"/>
      <c r="L18" s="57">
        <v>500000</v>
      </c>
      <c r="M18" s="58" t="s">
        <v>2135</v>
      </c>
      <c r="N18" s="43"/>
      <c r="O18" s="158">
        <v>328468</v>
      </c>
      <c r="P18" s="147"/>
    </row>
    <row r="19" spans="1:16" ht="15.75" customHeight="1" thickBot="1">
      <c r="A19">
        <f t="shared" si="0"/>
        <v>20260827</v>
      </c>
      <c r="B19" s="2">
        <f t="shared" si="1"/>
        <v>2000</v>
      </c>
      <c r="C19" s="2">
        <f t="shared" si="2"/>
        <v>0</v>
      </c>
      <c r="D19" t="str">
        <f t="shared" si="3"/>
        <v>送金</v>
      </c>
      <c r="E19" t="str">
        <f t="shared" si="4"/>
        <v>ＫＯＵＥＭＥＮＩ</v>
      </c>
      <c r="G19" t="s">
        <v>179</v>
      </c>
      <c r="H19" t="s">
        <v>4097</v>
      </c>
      <c r="I19" s="53">
        <v>20260827</v>
      </c>
      <c r="J19" s="60">
        <v>202608270000002</v>
      </c>
      <c r="K19" s="54">
        <v>2000</v>
      </c>
      <c r="L19" s="40"/>
      <c r="M19" s="55" t="s">
        <v>167</v>
      </c>
      <c r="N19" s="55" t="s">
        <v>2143</v>
      </c>
      <c r="O19" s="157">
        <v>330468</v>
      </c>
      <c r="P19" s="147"/>
    </row>
    <row r="20" spans="1:16" ht="30.75" customHeight="1" thickBot="1">
      <c r="A20">
        <f t="shared" si="0"/>
        <v>20260827</v>
      </c>
      <c r="B20" s="2">
        <f t="shared" si="1"/>
        <v>4000</v>
      </c>
      <c r="C20" s="2">
        <f t="shared" si="2"/>
        <v>0</v>
      </c>
      <c r="D20" t="str">
        <f t="shared" si="3"/>
        <v>送金</v>
      </c>
      <c r="E20" t="str">
        <f t="shared" si="4"/>
        <v>ＰＨＡＮ ＴＨＩ</v>
      </c>
      <c r="G20" t="s">
        <v>179</v>
      </c>
      <c r="H20" t="s">
        <v>4080</v>
      </c>
      <c r="I20" s="56">
        <v>20260827</v>
      </c>
      <c r="J20" s="61">
        <v>202608270000003</v>
      </c>
      <c r="K20" s="57">
        <v>4000</v>
      </c>
      <c r="L20" s="43"/>
      <c r="M20" s="58" t="s">
        <v>167</v>
      </c>
      <c r="N20" s="58" t="s">
        <v>417</v>
      </c>
      <c r="O20" s="158">
        <v>334468</v>
      </c>
      <c r="P20" s="147"/>
    </row>
    <row r="21" spans="1:16" ht="15.75" customHeight="1" thickBot="1">
      <c r="A21">
        <f t="shared" si="0"/>
        <v>20260827</v>
      </c>
      <c r="B21" s="2">
        <f t="shared" si="1"/>
        <v>2000</v>
      </c>
      <c r="C21" s="2">
        <f t="shared" si="2"/>
        <v>0</v>
      </c>
      <c r="D21" t="str">
        <f t="shared" si="3"/>
        <v>ことら</v>
      </c>
      <c r="E21" t="str">
        <f t="shared" si="4"/>
        <v>ｸﾞｴﾝ ﾄﾞｳﾂｸ ﾄｳ</v>
      </c>
      <c r="G21" t="s">
        <v>179</v>
      </c>
      <c r="H21" t="s">
        <v>4093</v>
      </c>
      <c r="I21" s="53">
        <v>20260827</v>
      </c>
      <c r="J21" s="60">
        <v>202608270000004</v>
      </c>
      <c r="K21" s="54">
        <v>2000</v>
      </c>
      <c r="L21" s="40"/>
      <c r="M21" s="55" t="s">
        <v>359</v>
      </c>
      <c r="N21" s="55" t="s">
        <v>2450</v>
      </c>
      <c r="O21" s="157">
        <v>336468</v>
      </c>
      <c r="P21" s="147"/>
    </row>
    <row r="22" spans="1:16" ht="15.75" customHeight="1" thickBot="1">
      <c r="A22">
        <f t="shared" si="0"/>
        <v>20260827</v>
      </c>
      <c r="B22" s="2">
        <f t="shared" si="1"/>
        <v>2000</v>
      </c>
      <c r="C22" s="2">
        <f t="shared" si="2"/>
        <v>0</v>
      </c>
      <c r="D22" t="str">
        <f t="shared" si="3"/>
        <v>送金</v>
      </c>
      <c r="E22" t="str">
        <f t="shared" si="4"/>
        <v>ＶＵ ＭＡＮＨ</v>
      </c>
      <c r="G22" t="s">
        <v>179</v>
      </c>
      <c r="H22" t="s">
        <v>4128</v>
      </c>
      <c r="I22" s="56">
        <v>20260827</v>
      </c>
      <c r="J22" s="61">
        <v>202608270000005</v>
      </c>
      <c r="K22" s="57">
        <v>2000</v>
      </c>
      <c r="L22" s="43"/>
      <c r="M22" s="58" t="s">
        <v>167</v>
      </c>
      <c r="N22" s="58" t="s">
        <v>2470</v>
      </c>
      <c r="O22" s="158">
        <v>338468</v>
      </c>
      <c r="P22" s="147"/>
    </row>
    <row r="23" spans="1:16" ht="30.75" customHeight="1" thickBot="1">
      <c r="A23">
        <f t="shared" si="0"/>
        <v>20260827</v>
      </c>
      <c r="B23" s="2">
        <f t="shared" si="1"/>
        <v>2000</v>
      </c>
      <c r="C23" s="2">
        <f t="shared" si="2"/>
        <v>0</v>
      </c>
      <c r="D23" t="str">
        <f t="shared" si="3"/>
        <v>送金</v>
      </c>
      <c r="E23" t="str">
        <f t="shared" si="4"/>
        <v>ＮＧＵＹＥＮ Ｖ</v>
      </c>
      <c r="G23" t="s">
        <v>179</v>
      </c>
      <c r="H23" t="s">
        <v>31</v>
      </c>
      <c r="I23" s="53">
        <v>20260827</v>
      </c>
      <c r="J23" s="60">
        <v>202608270000006</v>
      </c>
      <c r="K23" s="54">
        <v>2000</v>
      </c>
      <c r="L23" s="40"/>
      <c r="M23" s="55" t="s">
        <v>167</v>
      </c>
      <c r="N23" s="55" t="s">
        <v>264</v>
      </c>
      <c r="O23" s="157">
        <v>340468</v>
      </c>
      <c r="P23" s="147"/>
    </row>
    <row r="24" spans="1:16" ht="15.75" customHeight="1" thickBot="1">
      <c r="A24">
        <f t="shared" si="0"/>
        <v>20260827</v>
      </c>
      <c r="B24" s="2">
        <f t="shared" si="1"/>
        <v>3600</v>
      </c>
      <c r="C24" s="2">
        <f t="shared" si="2"/>
        <v>0</v>
      </c>
      <c r="D24" t="str">
        <f t="shared" si="3"/>
        <v>送金</v>
      </c>
      <c r="E24" t="str">
        <f t="shared" si="4"/>
        <v>ＮＧＵＹＥＮ Ｔ</v>
      </c>
      <c r="G24" t="s">
        <v>179</v>
      </c>
      <c r="H24" t="s">
        <v>1743</v>
      </c>
      <c r="I24" s="56">
        <v>20260827</v>
      </c>
      <c r="J24" s="61">
        <v>202608270000007</v>
      </c>
      <c r="K24" s="57">
        <v>3600</v>
      </c>
      <c r="L24" s="43"/>
      <c r="M24" s="58" t="s">
        <v>167</v>
      </c>
      <c r="N24" s="58" t="s">
        <v>208</v>
      </c>
      <c r="O24" s="158">
        <v>344068</v>
      </c>
      <c r="P24" s="147"/>
    </row>
    <row r="25" spans="1:16" ht="15.75" customHeight="1" thickBot="1">
      <c r="A25">
        <f t="shared" si="0"/>
        <v>20260828</v>
      </c>
      <c r="B25" s="2">
        <f t="shared" si="1"/>
        <v>2000</v>
      </c>
      <c r="C25" s="2">
        <f t="shared" si="2"/>
        <v>0</v>
      </c>
      <c r="D25" t="str">
        <f t="shared" si="3"/>
        <v>送金</v>
      </c>
      <c r="E25" t="str">
        <f t="shared" si="4"/>
        <v>ＮＧＵＹＥＮ Ｈ</v>
      </c>
      <c r="G25" t="s">
        <v>179</v>
      </c>
      <c r="H25" t="s">
        <v>22</v>
      </c>
      <c r="I25" s="53">
        <v>20260828</v>
      </c>
      <c r="J25" s="60">
        <v>202608280000001</v>
      </c>
      <c r="K25" s="54">
        <v>2000</v>
      </c>
      <c r="L25" s="40"/>
      <c r="M25" s="55" t="s">
        <v>167</v>
      </c>
      <c r="N25" s="55" t="s">
        <v>205</v>
      </c>
      <c r="O25" s="157">
        <v>346068</v>
      </c>
      <c r="P25" s="148" t="s">
        <v>3865</v>
      </c>
    </row>
    <row r="26" spans="1:16" ht="15.75" customHeight="1" thickBot="1">
      <c r="A26">
        <f t="shared" si="0"/>
        <v>20260828</v>
      </c>
      <c r="B26" s="2">
        <f t="shared" si="1"/>
        <v>2000</v>
      </c>
      <c r="C26" s="2">
        <f t="shared" si="2"/>
        <v>0</v>
      </c>
      <c r="D26" t="str">
        <f t="shared" si="3"/>
        <v>振込</v>
      </c>
      <c r="E26" t="str">
        <f t="shared" si="4"/>
        <v>ｲｶﾞﾗｼｼﾞｴﾆﾌｱ-</v>
      </c>
      <c r="G26" t="s">
        <v>179</v>
      </c>
      <c r="H26" t="s">
        <v>23</v>
      </c>
      <c r="I26" s="56">
        <v>20260828</v>
      </c>
      <c r="J26" s="61">
        <v>202608280000002</v>
      </c>
      <c r="K26" s="57">
        <v>2000</v>
      </c>
      <c r="L26" s="43"/>
      <c r="M26" s="58" t="s">
        <v>184</v>
      </c>
      <c r="N26" s="58" t="s">
        <v>3866</v>
      </c>
      <c r="O26" s="158">
        <v>348068</v>
      </c>
      <c r="P26" s="147"/>
    </row>
    <row r="27" spans="1:16" ht="15.75" customHeight="1" thickBot="1">
      <c r="A27">
        <f t="shared" si="0"/>
        <v>20260828</v>
      </c>
      <c r="B27" s="2">
        <f t="shared" si="1"/>
        <v>2000</v>
      </c>
      <c r="C27" s="2">
        <f t="shared" si="2"/>
        <v>0</v>
      </c>
      <c r="D27" t="str">
        <f t="shared" si="3"/>
        <v>送金</v>
      </c>
      <c r="E27" t="str">
        <f t="shared" si="4"/>
        <v>ＳＹ ＴＨＩ Ｔ</v>
      </c>
      <c r="G27" t="s">
        <v>179</v>
      </c>
      <c r="H27" t="s">
        <v>24</v>
      </c>
      <c r="I27" s="53">
        <v>20260828</v>
      </c>
      <c r="J27" s="60">
        <v>202608280000003</v>
      </c>
      <c r="K27" s="54">
        <v>2000</v>
      </c>
      <c r="L27" s="40"/>
      <c r="M27" s="55" t="s">
        <v>167</v>
      </c>
      <c r="N27" s="55" t="s">
        <v>3867</v>
      </c>
      <c r="O27" s="157">
        <v>350068</v>
      </c>
      <c r="P27" s="147"/>
    </row>
    <row r="28" spans="1:16" ht="15.75" customHeight="1" thickBot="1">
      <c r="A28">
        <f t="shared" si="0"/>
        <v>20260828</v>
      </c>
      <c r="B28" s="2">
        <f t="shared" si="1"/>
        <v>2000</v>
      </c>
      <c r="C28" s="2">
        <f t="shared" si="2"/>
        <v>0</v>
      </c>
      <c r="D28" t="str">
        <f t="shared" si="3"/>
        <v>送金</v>
      </c>
      <c r="E28" t="str">
        <f t="shared" si="4"/>
        <v>ｱﾗｲ ｷﾖｱｷ</v>
      </c>
      <c r="G28" t="s">
        <v>179</v>
      </c>
      <c r="H28" t="s">
        <v>4013</v>
      </c>
      <c r="I28" s="56">
        <v>20260828</v>
      </c>
      <c r="J28" s="61">
        <v>202608280000004</v>
      </c>
      <c r="K28" s="57">
        <v>2000</v>
      </c>
      <c r="L28" s="43"/>
      <c r="M28" s="58" t="s">
        <v>167</v>
      </c>
      <c r="N28" s="58" t="s">
        <v>2142</v>
      </c>
      <c r="O28" s="158">
        <v>352068</v>
      </c>
      <c r="P28" s="147"/>
    </row>
    <row r="29" spans="1:16" ht="15.75" customHeight="1" thickBot="1">
      <c r="A29">
        <f t="shared" si="0"/>
        <v>20260828</v>
      </c>
      <c r="B29" s="2">
        <f t="shared" si="1"/>
        <v>2000</v>
      </c>
      <c r="C29" s="2">
        <f t="shared" si="2"/>
        <v>0</v>
      </c>
      <c r="D29" t="str">
        <f t="shared" si="3"/>
        <v>送金</v>
      </c>
      <c r="E29" t="str">
        <f t="shared" si="4"/>
        <v>ＮＧＵＹＥＮ Ｔ</v>
      </c>
      <c r="G29" t="s">
        <v>179</v>
      </c>
      <c r="H29" t="s">
        <v>4003</v>
      </c>
      <c r="I29" s="53">
        <v>20260828</v>
      </c>
      <c r="J29" s="60">
        <v>202608280000005</v>
      </c>
      <c r="K29" s="54">
        <v>2000</v>
      </c>
      <c r="L29" s="40"/>
      <c r="M29" s="55" t="s">
        <v>167</v>
      </c>
      <c r="N29" s="55" t="s">
        <v>208</v>
      </c>
      <c r="O29" s="157">
        <v>354068</v>
      </c>
      <c r="P29" s="147"/>
    </row>
    <row r="30" spans="1:16" ht="30.75" customHeight="1" thickBot="1">
      <c r="A30">
        <f t="shared" si="0"/>
        <v>20260828</v>
      </c>
      <c r="B30" s="2">
        <f t="shared" si="1"/>
        <v>2000</v>
      </c>
      <c r="C30" s="2">
        <f t="shared" si="2"/>
        <v>0</v>
      </c>
      <c r="D30" t="str">
        <f t="shared" si="3"/>
        <v>送金</v>
      </c>
      <c r="E30" t="str">
        <f t="shared" si="4"/>
        <v>大瀧 嘉賢</v>
      </c>
      <c r="G30" t="s">
        <v>179</v>
      </c>
      <c r="H30" t="s">
        <v>4066</v>
      </c>
      <c r="I30" s="56">
        <v>20260828</v>
      </c>
      <c r="J30" s="61">
        <v>202608280000006</v>
      </c>
      <c r="K30" s="57">
        <v>2000</v>
      </c>
      <c r="L30" s="43"/>
      <c r="M30" s="58" t="s">
        <v>167</v>
      </c>
      <c r="N30" s="58" t="s">
        <v>3868</v>
      </c>
      <c r="O30" s="158">
        <v>356068</v>
      </c>
      <c r="P30" s="147"/>
    </row>
    <row r="31" spans="1:16" ht="30.75" customHeight="1" thickBot="1">
      <c r="A31">
        <f t="shared" si="0"/>
        <v>20260828</v>
      </c>
      <c r="B31" s="2">
        <f t="shared" si="1"/>
        <v>2000</v>
      </c>
      <c r="C31" s="2">
        <f t="shared" si="2"/>
        <v>0</v>
      </c>
      <c r="D31" t="str">
        <f t="shared" si="3"/>
        <v>送金</v>
      </c>
      <c r="E31" t="str">
        <f t="shared" si="4"/>
        <v>ＳＵＹＡＬ ＧＡ</v>
      </c>
      <c r="G31" t="s">
        <v>179</v>
      </c>
      <c r="H31" t="s">
        <v>4033</v>
      </c>
      <c r="I31" s="53">
        <v>20260828</v>
      </c>
      <c r="J31" s="60">
        <v>202608280000007</v>
      </c>
      <c r="K31" s="54">
        <v>2000</v>
      </c>
      <c r="L31" s="40"/>
      <c r="M31" s="55" t="s">
        <v>167</v>
      </c>
      <c r="N31" s="55" t="s">
        <v>2145</v>
      </c>
      <c r="O31" s="157">
        <v>358068</v>
      </c>
      <c r="P31" s="147"/>
    </row>
    <row r="32" spans="1:16" ht="15.75" customHeight="1" thickBot="1">
      <c r="A32">
        <f t="shared" si="0"/>
        <v>20260828</v>
      </c>
      <c r="B32" s="2">
        <f t="shared" si="1"/>
        <v>2000</v>
      </c>
      <c r="C32" s="2">
        <f t="shared" si="2"/>
        <v>0</v>
      </c>
      <c r="D32" t="str">
        <f t="shared" si="3"/>
        <v>送金</v>
      </c>
      <c r="E32" t="str">
        <f t="shared" si="4"/>
        <v>ＢＩＬＬＡＨ Ｍ</v>
      </c>
      <c r="G32" t="s">
        <v>179</v>
      </c>
      <c r="H32" t="s">
        <v>4132</v>
      </c>
      <c r="I32" s="56">
        <v>20260828</v>
      </c>
      <c r="J32" s="61">
        <v>202608280000008</v>
      </c>
      <c r="K32" s="57">
        <v>2000</v>
      </c>
      <c r="L32" s="43"/>
      <c r="M32" s="58" t="s">
        <v>167</v>
      </c>
      <c r="N32" s="58" t="s">
        <v>3869</v>
      </c>
      <c r="O32" s="158">
        <v>360068</v>
      </c>
      <c r="P32" s="147"/>
    </row>
    <row r="33" spans="1:16" ht="15.75" customHeight="1" thickBot="1">
      <c r="A33">
        <f t="shared" si="0"/>
        <v>20260828</v>
      </c>
      <c r="B33" s="2">
        <f t="shared" si="1"/>
        <v>2000</v>
      </c>
      <c r="C33" s="2">
        <f t="shared" si="2"/>
        <v>0</v>
      </c>
      <c r="D33" t="str">
        <f t="shared" si="3"/>
        <v>送金</v>
      </c>
      <c r="E33" t="str">
        <f t="shared" si="4"/>
        <v>ＴＡＫＡＨＡＳＨ</v>
      </c>
      <c r="G33" t="s">
        <v>179</v>
      </c>
      <c r="H33" t="s">
        <v>44</v>
      </c>
      <c r="I33" s="53">
        <v>20260828</v>
      </c>
      <c r="J33" s="60">
        <v>202608280000009</v>
      </c>
      <c r="K33" s="54">
        <v>2000</v>
      </c>
      <c r="L33" s="40"/>
      <c r="M33" s="55" t="s">
        <v>167</v>
      </c>
      <c r="N33" s="55" t="s">
        <v>2147</v>
      </c>
      <c r="O33" s="157">
        <v>362068</v>
      </c>
      <c r="P33" s="147"/>
    </row>
    <row r="34" spans="1:16" ht="15.75" customHeight="1" thickBot="1">
      <c r="A34">
        <f t="shared" si="0"/>
        <v>20260828</v>
      </c>
      <c r="B34" s="2">
        <f t="shared" si="1"/>
        <v>2000</v>
      </c>
      <c r="C34" s="2">
        <f t="shared" si="2"/>
        <v>0</v>
      </c>
      <c r="D34" t="str">
        <f t="shared" si="3"/>
        <v>送金</v>
      </c>
      <c r="E34" t="str">
        <f t="shared" si="4"/>
        <v>ＢＡＵＴＩＳＴＡ</v>
      </c>
      <c r="G34" t="s">
        <v>179</v>
      </c>
      <c r="H34" t="s">
        <v>30</v>
      </c>
      <c r="I34" s="56">
        <v>20260828</v>
      </c>
      <c r="J34" s="61">
        <v>202608280000010</v>
      </c>
      <c r="K34" s="57">
        <v>2000</v>
      </c>
      <c r="L34" s="43"/>
      <c r="M34" s="58" t="s">
        <v>167</v>
      </c>
      <c r="N34" s="58" t="s">
        <v>2141</v>
      </c>
      <c r="O34" s="158">
        <v>364068</v>
      </c>
      <c r="P34" s="147"/>
    </row>
    <row r="35" spans="1:16" ht="15.75" customHeight="1" thickBot="1">
      <c r="A35">
        <f t="shared" si="0"/>
        <v>20260828</v>
      </c>
      <c r="B35" s="2">
        <f t="shared" si="1"/>
        <v>2000</v>
      </c>
      <c r="C35" s="2">
        <f t="shared" si="2"/>
        <v>0</v>
      </c>
      <c r="D35" t="str">
        <f t="shared" si="3"/>
        <v>送金</v>
      </c>
      <c r="E35" t="str">
        <f t="shared" si="4"/>
        <v>ＶＵ ＴＵＮＧ</v>
      </c>
      <c r="G35" t="s">
        <v>179</v>
      </c>
      <c r="H35" t="s">
        <v>41</v>
      </c>
      <c r="I35" s="53">
        <v>20260828</v>
      </c>
      <c r="J35" s="60">
        <v>202608280000011</v>
      </c>
      <c r="K35" s="54">
        <v>2000</v>
      </c>
      <c r="L35" s="40"/>
      <c r="M35" s="55" t="s">
        <v>167</v>
      </c>
      <c r="N35" s="55" t="s">
        <v>836</v>
      </c>
      <c r="O35" s="157">
        <v>366068</v>
      </c>
      <c r="P35" s="147"/>
    </row>
    <row r="36" spans="1:16" ht="15.75" customHeight="1" thickBot="1">
      <c r="A36">
        <f t="shared" si="0"/>
        <v>20260828</v>
      </c>
      <c r="B36" s="2">
        <f t="shared" si="1"/>
        <v>2000</v>
      </c>
      <c r="C36" s="2">
        <f t="shared" si="2"/>
        <v>0</v>
      </c>
      <c r="D36" t="str">
        <f t="shared" si="3"/>
        <v>送金</v>
      </c>
      <c r="E36" t="str">
        <f t="shared" si="4"/>
        <v>ＩＲＶＡＮ ＰＥ</v>
      </c>
      <c r="G36" t="s">
        <v>179</v>
      </c>
      <c r="H36" t="s">
        <v>4000</v>
      </c>
      <c r="I36" s="56">
        <v>20260828</v>
      </c>
      <c r="J36" s="61">
        <v>202608280000012</v>
      </c>
      <c r="K36" s="57">
        <v>2000</v>
      </c>
      <c r="L36" s="43"/>
      <c r="M36" s="58" t="s">
        <v>167</v>
      </c>
      <c r="N36" s="58" t="s">
        <v>3870</v>
      </c>
      <c r="O36" s="158">
        <v>368068</v>
      </c>
      <c r="P36" s="147"/>
    </row>
    <row r="37" spans="1:16" ht="30.75" customHeight="1" thickBot="1">
      <c r="A37">
        <f t="shared" si="0"/>
        <v>20260828</v>
      </c>
      <c r="B37" s="2">
        <f t="shared" si="1"/>
        <v>2000</v>
      </c>
      <c r="C37" s="2">
        <f t="shared" si="2"/>
        <v>0</v>
      </c>
      <c r="D37" t="str">
        <f t="shared" si="3"/>
        <v>送金</v>
      </c>
      <c r="E37" t="str">
        <f t="shared" si="4"/>
        <v>佐藤 由香里</v>
      </c>
      <c r="G37" t="s">
        <v>179</v>
      </c>
      <c r="H37" t="s">
        <v>4016</v>
      </c>
      <c r="I37" s="53">
        <v>20260828</v>
      </c>
      <c r="J37" s="60">
        <v>202608280000013</v>
      </c>
      <c r="K37" s="54">
        <v>2000</v>
      </c>
      <c r="L37" s="40"/>
      <c r="M37" s="55" t="s">
        <v>167</v>
      </c>
      <c r="N37" s="55" t="s">
        <v>3871</v>
      </c>
      <c r="O37" s="157">
        <v>370068</v>
      </c>
      <c r="P37" s="147"/>
    </row>
    <row r="38" spans="1:16" ht="15.75" customHeight="1" thickBot="1">
      <c r="A38">
        <f t="shared" si="0"/>
        <v>20260828</v>
      </c>
      <c r="B38" s="2">
        <f t="shared" si="1"/>
        <v>2000</v>
      </c>
      <c r="C38" s="2">
        <f t="shared" si="2"/>
        <v>0</v>
      </c>
      <c r="D38" t="str">
        <f t="shared" si="3"/>
        <v>送金</v>
      </c>
      <c r="E38" t="str">
        <f t="shared" si="4"/>
        <v>ＤＡＯ ＶＡＮ</v>
      </c>
      <c r="G38" t="s">
        <v>179</v>
      </c>
      <c r="H38" t="s">
        <v>114</v>
      </c>
      <c r="I38" s="56">
        <v>20260828</v>
      </c>
      <c r="J38" s="61">
        <v>202608280000014</v>
      </c>
      <c r="K38" s="57">
        <v>2000</v>
      </c>
      <c r="L38" s="43"/>
      <c r="M38" s="58" t="s">
        <v>167</v>
      </c>
      <c r="N38" s="58" t="s">
        <v>666</v>
      </c>
      <c r="O38" s="158">
        <v>372068</v>
      </c>
      <c r="P38" s="147"/>
    </row>
    <row r="39" spans="1:16" ht="15.75" customHeight="1" thickBot="1">
      <c r="A39">
        <f t="shared" si="0"/>
        <v>20260829</v>
      </c>
      <c r="B39" s="2">
        <f t="shared" si="1"/>
        <v>2000</v>
      </c>
      <c r="C39" s="2">
        <f t="shared" si="2"/>
        <v>0</v>
      </c>
      <c r="D39" t="str">
        <f t="shared" si="3"/>
        <v>送金</v>
      </c>
      <c r="E39" t="str">
        <f t="shared" si="4"/>
        <v>ＰＨＡＭ ＭＩＮ</v>
      </c>
      <c r="G39" t="s">
        <v>179</v>
      </c>
      <c r="H39" t="s">
        <v>4002</v>
      </c>
      <c r="I39" s="53">
        <v>20260829</v>
      </c>
      <c r="J39" s="60">
        <v>202608290000001</v>
      </c>
      <c r="K39" s="54">
        <v>2000</v>
      </c>
      <c r="L39" s="40"/>
      <c r="M39" s="55" t="s">
        <v>167</v>
      </c>
      <c r="N39" s="55" t="s">
        <v>805</v>
      </c>
      <c r="O39" s="157">
        <v>374068</v>
      </c>
      <c r="P39" s="147"/>
    </row>
    <row r="40" spans="1:16" ht="15.75" customHeight="1" thickBot="1">
      <c r="A40">
        <f t="shared" si="0"/>
        <v>20260829</v>
      </c>
      <c r="B40" s="2">
        <f t="shared" si="1"/>
        <v>4000</v>
      </c>
      <c r="C40" s="2">
        <f t="shared" si="2"/>
        <v>0</v>
      </c>
      <c r="D40" t="str">
        <f t="shared" si="3"/>
        <v>送金</v>
      </c>
      <c r="E40" t="str">
        <f t="shared" si="4"/>
        <v>松山 義雅</v>
      </c>
      <c r="G40" t="s">
        <v>179</v>
      </c>
      <c r="H40" t="s">
        <v>39</v>
      </c>
      <c r="I40" s="56">
        <v>20260829</v>
      </c>
      <c r="J40" s="61">
        <v>202608290000002</v>
      </c>
      <c r="K40" s="57">
        <v>4000</v>
      </c>
      <c r="L40" s="43"/>
      <c r="M40" s="58" t="s">
        <v>167</v>
      </c>
      <c r="N40" s="58" t="s">
        <v>3872</v>
      </c>
      <c r="O40" s="158">
        <v>378068</v>
      </c>
      <c r="P40" s="147"/>
    </row>
    <row r="41" spans="1:16" ht="15.75" customHeight="1" thickBot="1">
      <c r="A41">
        <f t="shared" si="0"/>
        <v>20260829</v>
      </c>
      <c r="B41" s="2">
        <f t="shared" si="1"/>
        <v>2000</v>
      </c>
      <c r="C41" s="2">
        <f t="shared" si="2"/>
        <v>0</v>
      </c>
      <c r="D41" t="str">
        <f t="shared" si="3"/>
        <v>振込</v>
      </c>
      <c r="E41" t="str">
        <f t="shared" si="4"/>
        <v>TRUONG JAYDEN</v>
      </c>
      <c r="G41" t="s">
        <v>179</v>
      </c>
      <c r="H41" t="s">
        <v>2157</v>
      </c>
      <c r="I41" s="53">
        <v>20260829</v>
      </c>
      <c r="J41" s="60">
        <v>202608290000003</v>
      </c>
      <c r="K41" s="54">
        <v>2000</v>
      </c>
      <c r="L41" s="40"/>
      <c r="M41" s="55" t="s">
        <v>184</v>
      </c>
      <c r="N41" s="55" t="s">
        <v>3873</v>
      </c>
      <c r="O41" s="157">
        <v>380068</v>
      </c>
      <c r="P41" s="147"/>
    </row>
    <row r="42" spans="1:16" ht="15.75" customHeight="1" thickBot="1">
      <c r="A42">
        <f t="shared" si="0"/>
        <v>20260830</v>
      </c>
      <c r="B42" s="2">
        <f t="shared" si="1"/>
        <v>2000</v>
      </c>
      <c r="C42" s="2">
        <f t="shared" si="2"/>
        <v>0</v>
      </c>
      <c r="D42" t="str">
        <f t="shared" si="3"/>
        <v>送金</v>
      </c>
      <c r="E42" t="str">
        <f t="shared" si="4"/>
        <v>ＮＧＵＹＥＮ Ｖ</v>
      </c>
      <c r="G42" t="s">
        <v>179</v>
      </c>
      <c r="H42" t="s">
        <v>37</v>
      </c>
      <c r="I42" s="56">
        <v>20260830</v>
      </c>
      <c r="J42" s="61">
        <v>202608300000001</v>
      </c>
      <c r="K42" s="57">
        <v>2000</v>
      </c>
      <c r="L42" s="43"/>
      <c r="M42" s="58" t="s">
        <v>167</v>
      </c>
      <c r="N42" s="58" t="s">
        <v>264</v>
      </c>
      <c r="O42" s="158">
        <v>382068</v>
      </c>
      <c r="P42" s="147"/>
    </row>
    <row r="43" spans="1:16" ht="30.75" customHeight="1" thickBot="1">
      <c r="A43">
        <f t="shared" si="0"/>
        <v>20260830</v>
      </c>
      <c r="B43" s="2">
        <f t="shared" si="1"/>
        <v>2000</v>
      </c>
      <c r="C43" s="2">
        <f t="shared" si="2"/>
        <v>0</v>
      </c>
      <c r="D43" t="str">
        <f t="shared" si="3"/>
        <v>送金</v>
      </c>
      <c r="E43" t="str">
        <f t="shared" si="4"/>
        <v>ﾐﾔｻｶ ﾐｹﾞ-ﾙ</v>
      </c>
      <c r="G43" t="s">
        <v>179</v>
      </c>
      <c r="H43" t="s">
        <v>49</v>
      </c>
      <c r="I43" s="53">
        <v>20260830</v>
      </c>
      <c r="J43" s="60">
        <v>202608300000002</v>
      </c>
      <c r="K43" s="54">
        <v>2000</v>
      </c>
      <c r="L43" s="40"/>
      <c r="M43" s="55" t="s">
        <v>167</v>
      </c>
      <c r="N43" s="55" t="s">
        <v>2146</v>
      </c>
      <c r="O43" s="157">
        <v>384068</v>
      </c>
      <c r="P43" s="147"/>
    </row>
    <row r="44" spans="1:16" ht="15.75" customHeight="1" thickBot="1">
      <c r="A44">
        <f t="shared" si="0"/>
        <v>20260830</v>
      </c>
      <c r="B44" s="2">
        <f t="shared" si="1"/>
        <v>2000</v>
      </c>
      <c r="C44" s="2">
        <f t="shared" si="2"/>
        <v>0</v>
      </c>
      <c r="D44" t="str">
        <f t="shared" si="3"/>
        <v>送金</v>
      </c>
      <c r="E44" t="str">
        <f t="shared" si="4"/>
        <v>ｱﾗｲ ｷﾖｱｷ</v>
      </c>
      <c r="G44" t="s">
        <v>179</v>
      </c>
      <c r="H44" t="s">
        <v>28</v>
      </c>
      <c r="I44" s="56">
        <v>20260830</v>
      </c>
      <c r="J44" s="61">
        <v>202608300000003</v>
      </c>
      <c r="K44" s="57">
        <v>2000</v>
      </c>
      <c r="L44" s="43"/>
      <c r="M44" s="58" t="s">
        <v>167</v>
      </c>
      <c r="N44" s="58" t="s">
        <v>2142</v>
      </c>
      <c r="O44" s="158">
        <v>386068</v>
      </c>
      <c r="P44" s="147"/>
    </row>
    <row r="45" spans="1:16" ht="30.75" customHeight="1" thickBot="1">
      <c r="A45">
        <f t="shared" si="0"/>
        <v>20260831</v>
      </c>
      <c r="B45" s="2">
        <f t="shared" si="1"/>
        <v>1000</v>
      </c>
      <c r="C45" s="2">
        <f t="shared" si="2"/>
        <v>0</v>
      </c>
      <c r="D45" t="str">
        <f t="shared" si="3"/>
        <v>送金</v>
      </c>
      <c r="E45" t="str">
        <f t="shared" si="4"/>
        <v>ＴＲＡＮ ＴＨＩ</v>
      </c>
      <c r="G45" t="s">
        <v>179</v>
      </c>
      <c r="H45" t="s">
        <v>38</v>
      </c>
      <c r="I45" s="53">
        <v>20260831</v>
      </c>
      <c r="J45" s="60">
        <v>202608310000001</v>
      </c>
      <c r="K45" s="54">
        <v>1000</v>
      </c>
      <c r="L45" s="40"/>
      <c r="M45" s="55" t="s">
        <v>167</v>
      </c>
      <c r="N45" s="55" t="s">
        <v>193</v>
      </c>
      <c r="O45" s="157">
        <v>387068</v>
      </c>
      <c r="P45" s="147"/>
    </row>
    <row r="46" spans="1:16" ht="15.75" customHeight="1" thickBot="1">
      <c r="A46">
        <f t="shared" si="0"/>
        <v>20260831</v>
      </c>
      <c r="B46" s="2">
        <f t="shared" si="1"/>
        <v>2000</v>
      </c>
      <c r="C46" s="2">
        <f t="shared" si="2"/>
        <v>0</v>
      </c>
      <c r="D46" t="str">
        <f t="shared" si="3"/>
        <v>送金</v>
      </c>
      <c r="E46" t="str">
        <f t="shared" si="4"/>
        <v>ＫＡＭＩＴＡＮＩ</v>
      </c>
      <c r="G46" t="s">
        <v>179</v>
      </c>
      <c r="H46" t="s">
        <v>85</v>
      </c>
      <c r="I46" s="56">
        <v>20260831</v>
      </c>
      <c r="J46" s="61">
        <v>202608310000002</v>
      </c>
      <c r="K46" s="57">
        <v>2000</v>
      </c>
      <c r="L46" s="43"/>
      <c r="M46" s="58" t="s">
        <v>167</v>
      </c>
      <c r="N46" s="58" t="s">
        <v>2129</v>
      </c>
      <c r="O46" s="158">
        <v>389068</v>
      </c>
      <c r="P46" s="147"/>
    </row>
    <row r="47" spans="1:16" ht="15" thickBot="1">
      <c r="A47">
        <f t="shared" si="0"/>
        <v>20260831</v>
      </c>
      <c r="B47" s="2">
        <f t="shared" si="1"/>
        <v>2000</v>
      </c>
      <c r="C47" s="2">
        <f t="shared" si="2"/>
        <v>0</v>
      </c>
      <c r="D47" t="str">
        <f t="shared" si="3"/>
        <v>送金</v>
      </c>
      <c r="E47" t="str">
        <f t="shared" si="4"/>
        <v>ＳＡＮＴＯＳ Ｒ</v>
      </c>
      <c r="G47" t="s">
        <v>179</v>
      </c>
      <c r="H47" t="s">
        <v>4001</v>
      </c>
      <c r="I47" s="53">
        <v>20260831</v>
      </c>
      <c r="J47" s="60">
        <v>202608310000003</v>
      </c>
      <c r="K47" s="54">
        <v>2000</v>
      </c>
      <c r="L47" s="40"/>
      <c r="M47" s="55" t="s">
        <v>167</v>
      </c>
      <c r="N47" s="55" t="s">
        <v>3874</v>
      </c>
      <c r="O47" s="157">
        <v>391068</v>
      </c>
      <c r="P47" s="147"/>
    </row>
    <row r="48" spans="1:16" ht="15" thickBot="1">
      <c r="A48">
        <f t="shared" si="0"/>
        <v>20260831</v>
      </c>
      <c r="B48" s="2">
        <f t="shared" si="1"/>
        <v>150000</v>
      </c>
      <c r="C48" s="2">
        <f t="shared" si="2"/>
        <v>0</v>
      </c>
      <c r="D48" t="str">
        <f t="shared" si="3"/>
        <v>振込</v>
      </c>
      <c r="E48" t="str">
        <f t="shared" si="4"/>
        <v>ｶ)ｼ-ｷﾔｽﾄ</v>
      </c>
      <c r="G48" t="s">
        <v>360</v>
      </c>
      <c r="I48" s="56">
        <v>20260831</v>
      </c>
      <c r="J48" s="61">
        <v>202608310000004</v>
      </c>
      <c r="K48" s="57">
        <v>150000</v>
      </c>
      <c r="L48" s="43"/>
      <c r="M48" s="58" t="s">
        <v>184</v>
      </c>
      <c r="N48" s="58" t="s">
        <v>2134</v>
      </c>
      <c r="O48" s="158">
        <v>541068</v>
      </c>
      <c r="P48" s="147"/>
    </row>
    <row r="49" spans="1:16" ht="15" thickBot="1">
      <c r="A49">
        <f t="shared" si="0"/>
        <v>20260831</v>
      </c>
      <c r="B49" s="2">
        <f t="shared" si="1"/>
        <v>4000</v>
      </c>
      <c r="C49" s="2">
        <f t="shared" si="2"/>
        <v>0</v>
      </c>
      <c r="D49" t="str">
        <f t="shared" si="3"/>
        <v>送金</v>
      </c>
      <c r="E49" t="str">
        <f t="shared" si="4"/>
        <v>ＨＡＳＥＥＢ Ｍ</v>
      </c>
      <c r="G49" t="s">
        <v>179</v>
      </c>
      <c r="H49" t="s">
        <v>4020</v>
      </c>
      <c r="I49" s="53">
        <v>20260831</v>
      </c>
      <c r="J49" s="60">
        <v>202608310000005</v>
      </c>
      <c r="K49" s="54">
        <v>4000</v>
      </c>
      <c r="L49" s="40"/>
      <c r="M49" s="55" t="s">
        <v>167</v>
      </c>
      <c r="N49" s="55" t="s">
        <v>3875</v>
      </c>
      <c r="O49" s="157">
        <v>545068</v>
      </c>
      <c r="P49" s="147"/>
    </row>
    <row r="50" spans="1:16" ht="15" thickBot="1">
      <c r="A50">
        <f t="shared" si="0"/>
        <v>20260831</v>
      </c>
      <c r="B50" s="2">
        <f t="shared" si="1"/>
        <v>2000</v>
      </c>
      <c r="C50" s="2">
        <f t="shared" si="2"/>
        <v>0</v>
      </c>
      <c r="D50" t="str">
        <f t="shared" si="3"/>
        <v>送金</v>
      </c>
      <c r="E50" t="str">
        <f t="shared" si="4"/>
        <v>ＧＥＮＯＮ ＲＯ</v>
      </c>
      <c r="G50" t="s">
        <v>179</v>
      </c>
      <c r="H50" t="s">
        <v>4078</v>
      </c>
      <c r="I50" s="56">
        <v>20260831</v>
      </c>
      <c r="J50" s="61">
        <v>202608310000006</v>
      </c>
      <c r="K50" s="57">
        <v>2000</v>
      </c>
      <c r="L50" s="43"/>
      <c r="M50" s="58" t="s">
        <v>167</v>
      </c>
      <c r="N50" s="58" t="s">
        <v>3876</v>
      </c>
      <c r="O50" s="158">
        <v>547068</v>
      </c>
      <c r="P50" s="147"/>
    </row>
    <row r="51" spans="1:16" ht="15" thickBot="1">
      <c r="A51">
        <f t="shared" si="0"/>
        <v>20260831</v>
      </c>
      <c r="B51" s="2">
        <f t="shared" si="1"/>
        <v>2000</v>
      </c>
      <c r="C51" s="2">
        <f t="shared" si="2"/>
        <v>0</v>
      </c>
      <c r="D51" t="str">
        <f t="shared" si="3"/>
        <v>送金</v>
      </c>
      <c r="E51" t="str">
        <f t="shared" si="4"/>
        <v>ｲｽﾙｱﾖﾏﾙ</v>
      </c>
      <c r="G51" t="s">
        <v>179</v>
      </c>
      <c r="H51" t="s">
        <v>43</v>
      </c>
      <c r="I51" s="53">
        <v>20260831</v>
      </c>
      <c r="J51" s="60">
        <v>202608310000007</v>
      </c>
      <c r="K51" s="54">
        <v>2000</v>
      </c>
      <c r="L51" s="40"/>
      <c r="M51" s="55" t="s">
        <v>167</v>
      </c>
      <c r="N51" s="55" t="s">
        <v>3877</v>
      </c>
      <c r="O51" s="157">
        <v>549068</v>
      </c>
      <c r="P51" s="147"/>
    </row>
    <row r="52" spans="1:16" ht="15" thickBot="1">
      <c r="A52">
        <f t="shared" si="0"/>
        <v>20260831</v>
      </c>
      <c r="B52" s="2">
        <f t="shared" si="1"/>
        <v>2000</v>
      </c>
      <c r="C52" s="2">
        <f t="shared" si="2"/>
        <v>0</v>
      </c>
      <c r="D52" t="str">
        <f t="shared" si="3"/>
        <v>送金</v>
      </c>
      <c r="E52" t="str">
        <f t="shared" si="4"/>
        <v>ＨＡＧＩＨＡＲＡ</v>
      </c>
      <c r="G52" t="s">
        <v>179</v>
      </c>
      <c r="H52" t="s">
        <v>2152</v>
      </c>
      <c r="I52" s="56">
        <v>20260831</v>
      </c>
      <c r="J52" s="61">
        <v>202608310000008</v>
      </c>
      <c r="K52" s="57">
        <v>2000</v>
      </c>
      <c r="L52" s="43"/>
      <c r="M52" s="58" t="s">
        <v>167</v>
      </c>
      <c r="N52" s="58" t="s">
        <v>3878</v>
      </c>
      <c r="O52" s="158">
        <v>551068</v>
      </c>
      <c r="P52" s="147"/>
    </row>
    <row r="53" spans="1:16" ht="15" thickBot="1">
      <c r="A53">
        <f t="shared" si="0"/>
        <v>20260831</v>
      </c>
      <c r="B53" s="2">
        <f t="shared" si="1"/>
        <v>3000</v>
      </c>
      <c r="C53" s="2">
        <f t="shared" si="2"/>
        <v>0</v>
      </c>
      <c r="D53" t="str">
        <f t="shared" si="3"/>
        <v>送金</v>
      </c>
      <c r="E53" t="str">
        <f t="shared" si="4"/>
        <v>ＵＤＵＷＡＮＡＧ</v>
      </c>
      <c r="G53" t="s">
        <v>179</v>
      </c>
      <c r="H53" t="s">
        <v>4045</v>
      </c>
      <c r="I53" s="53">
        <v>20260831</v>
      </c>
      <c r="J53" s="60">
        <v>202608310000009</v>
      </c>
      <c r="K53" s="54">
        <v>3000</v>
      </c>
      <c r="L53" s="40"/>
      <c r="M53" s="55" t="s">
        <v>167</v>
      </c>
      <c r="N53" s="55" t="s">
        <v>3879</v>
      </c>
      <c r="O53" s="157">
        <v>554068</v>
      </c>
      <c r="P53" s="147"/>
    </row>
    <row r="54" spans="1:16" ht="15" thickBot="1">
      <c r="A54">
        <f t="shared" si="0"/>
        <v>20260831</v>
      </c>
      <c r="B54" s="2">
        <f t="shared" si="1"/>
        <v>0</v>
      </c>
      <c r="C54" s="2">
        <f t="shared" si="2"/>
        <v>150000</v>
      </c>
      <c r="D54" t="str">
        <f t="shared" si="3"/>
        <v>通 帳</v>
      </c>
      <c r="E54">
        <f t="shared" si="4"/>
        <v>0</v>
      </c>
      <c r="G54" t="s">
        <v>360</v>
      </c>
      <c r="I54" s="56">
        <v>20260831</v>
      </c>
      <c r="J54" s="61">
        <v>202608310000010</v>
      </c>
      <c r="K54" s="43"/>
      <c r="L54" s="57">
        <v>150000</v>
      </c>
      <c r="M54" s="58" t="s">
        <v>2135</v>
      </c>
      <c r="N54" s="43"/>
      <c r="O54" s="158">
        <v>404068</v>
      </c>
      <c r="P54" s="147"/>
    </row>
    <row r="55" spans="1:16" ht="15" thickBot="1">
      <c r="A55">
        <f t="shared" si="0"/>
        <v>20260831</v>
      </c>
      <c r="B55" s="2">
        <f t="shared" si="1"/>
        <v>2600</v>
      </c>
      <c r="C55" s="2">
        <f t="shared" si="2"/>
        <v>0</v>
      </c>
      <c r="D55" t="str">
        <f t="shared" si="3"/>
        <v>送金</v>
      </c>
      <c r="E55" t="str">
        <f t="shared" si="4"/>
        <v>ＬＥ ＴＨＩ Ｔ</v>
      </c>
      <c r="G55" t="s">
        <v>179</v>
      </c>
      <c r="H55" t="s">
        <v>34</v>
      </c>
      <c r="I55" s="53">
        <v>20260831</v>
      </c>
      <c r="J55" s="60">
        <v>202608310000011</v>
      </c>
      <c r="K55" s="54">
        <v>2600</v>
      </c>
      <c r="L55" s="40"/>
      <c r="M55" s="55" t="s">
        <v>167</v>
      </c>
      <c r="N55" s="55" t="s">
        <v>190</v>
      </c>
      <c r="O55" s="157">
        <v>406668</v>
      </c>
      <c r="P55" s="147"/>
    </row>
    <row r="56" spans="1:16" ht="15" thickBot="1">
      <c r="A56">
        <f t="shared" si="0"/>
        <v>20260831</v>
      </c>
      <c r="B56" s="2">
        <f t="shared" si="1"/>
        <v>2000</v>
      </c>
      <c r="C56" s="2">
        <f t="shared" si="2"/>
        <v>0</v>
      </c>
      <c r="D56" t="str">
        <f t="shared" si="3"/>
        <v>送金</v>
      </c>
      <c r="E56" t="str">
        <f t="shared" si="4"/>
        <v>ＫＡＭＳＡＬＩ</v>
      </c>
      <c r="G56" t="s">
        <v>179</v>
      </c>
      <c r="H56" t="s">
        <v>4041</v>
      </c>
      <c r="I56" s="56">
        <v>20260831</v>
      </c>
      <c r="J56" s="61">
        <v>202608310000012</v>
      </c>
      <c r="K56" s="57">
        <v>2000</v>
      </c>
      <c r="L56" s="43"/>
      <c r="M56" s="58" t="s">
        <v>167</v>
      </c>
      <c r="N56" s="58" t="s">
        <v>3880</v>
      </c>
      <c r="O56" s="158">
        <v>408668</v>
      </c>
      <c r="P56" s="147"/>
    </row>
    <row r="57" spans="1:16" ht="15" thickBot="1">
      <c r="A57">
        <f t="shared" si="0"/>
        <v>20260831</v>
      </c>
      <c r="B57" s="2">
        <f t="shared" si="1"/>
        <v>2000</v>
      </c>
      <c r="C57" s="2">
        <f t="shared" si="2"/>
        <v>0</v>
      </c>
      <c r="D57" t="str">
        <f t="shared" si="3"/>
        <v>送金</v>
      </c>
      <c r="E57" t="str">
        <f t="shared" si="4"/>
        <v>ＡＮＥＫＥ ＫＥ</v>
      </c>
      <c r="G57" t="s">
        <v>179</v>
      </c>
      <c r="H57" t="s">
        <v>48</v>
      </c>
      <c r="I57" s="53">
        <v>20260831</v>
      </c>
      <c r="J57" s="60">
        <v>202608310000013</v>
      </c>
      <c r="K57" s="54">
        <v>2000</v>
      </c>
      <c r="L57" s="40"/>
      <c r="M57" s="55" t="s">
        <v>167</v>
      </c>
      <c r="N57" s="55" t="s">
        <v>3881</v>
      </c>
      <c r="O57" s="157">
        <v>410668</v>
      </c>
      <c r="P57" s="147"/>
    </row>
    <row r="58" spans="1:16" ht="15" thickBot="1">
      <c r="A58">
        <f t="shared" si="0"/>
        <v>20260831</v>
      </c>
      <c r="B58" s="2">
        <f t="shared" si="1"/>
        <v>2000</v>
      </c>
      <c r="C58" s="2">
        <f t="shared" si="2"/>
        <v>0</v>
      </c>
      <c r="D58" t="str">
        <f t="shared" si="3"/>
        <v>送金</v>
      </c>
      <c r="E58" t="str">
        <f t="shared" si="4"/>
        <v>ＴＵＯＮＧ ＴＨ</v>
      </c>
      <c r="G58" t="s">
        <v>179</v>
      </c>
      <c r="H58" t="s">
        <v>63</v>
      </c>
      <c r="I58" s="56">
        <v>20260831</v>
      </c>
      <c r="J58" s="61">
        <v>202608310000014</v>
      </c>
      <c r="K58" s="57">
        <v>2000</v>
      </c>
      <c r="L58" s="43"/>
      <c r="M58" s="58" t="s">
        <v>167</v>
      </c>
      <c r="N58" s="58" t="s">
        <v>3882</v>
      </c>
      <c r="O58" s="158">
        <v>412668</v>
      </c>
      <c r="P58" s="147"/>
    </row>
    <row r="59" spans="1:16" ht="15" thickBot="1">
      <c r="A59">
        <f t="shared" si="0"/>
        <v>20260831</v>
      </c>
      <c r="B59" s="2">
        <f t="shared" si="1"/>
        <v>2000</v>
      </c>
      <c r="C59" s="2">
        <f t="shared" si="2"/>
        <v>0</v>
      </c>
      <c r="D59" t="str">
        <f t="shared" si="3"/>
        <v>振込</v>
      </c>
      <c r="E59" t="str">
        <f t="shared" si="4"/>
        <v>ﾊｶﾞ ﾁｱｷ</v>
      </c>
      <c r="G59" t="s">
        <v>179</v>
      </c>
      <c r="H59" t="s">
        <v>4072</v>
      </c>
      <c r="I59" s="53">
        <v>20260831</v>
      </c>
      <c r="J59" s="60">
        <v>202608310000015</v>
      </c>
      <c r="K59" s="54">
        <v>2000</v>
      </c>
      <c r="L59" s="40"/>
      <c r="M59" s="55" t="s">
        <v>184</v>
      </c>
      <c r="N59" s="55" t="s">
        <v>2144</v>
      </c>
      <c r="O59" s="157">
        <v>414668</v>
      </c>
      <c r="P59" s="147"/>
    </row>
    <row r="60" spans="1:16" ht="15" thickBot="1">
      <c r="A60">
        <f t="shared" si="0"/>
        <v>20260831</v>
      </c>
      <c r="B60" s="2">
        <f t="shared" si="1"/>
        <v>2000</v>
      </c>
      <c r="C60" s="2">
        <f t="shared" si="2"/>
        <v>0</v>
      </c>
      <c r="D60" t="str">
        <f t="shared" si="3"/>
        <v>送金</v>
      </c>
      <c r="E60" t="str">
        <f t="shared" si="4"/>
        <v>ＲＥＺＡ ＭＡＨ</v>
      </c>
      <c r="G60" t="s">
        <v>179</v>
      </c>
      <c r="H60" t="s">
        <v>4005</v>
      </c>
      <c r="I60" s="56">
        <v>20260831</v>
      </c>
      <c r="J60" s="61">
        <v>202608310000016</v>
      </c>
      <c r="K60" s="57">
        <v>2000</v>
      </c>
      <c r="L60" s="43"/>
      <c r="M60" s="58" t="s">
        <v>167</v>
      </c>
      <c r="N60" s="58" t="s">
        <v>3883</v>
      </c>
      <c r="O60" s="158">
        <v>416668</v>
      </c>
      <c r="P60" s="147"/>
    </row>
    <row r="61" spans="1:16" ht="15" thickBot="1">
      <c r="A61">
        <f t="shared" si="0"/>
        <v>20260831</v>
      </c>
      <c r="B61" s="2">
        <f t="shared" si="1"/>
        <v>2000</v>
      </c>
      <c r="C61" s="2">
        <f t="shared" si="2"/>
        <v>0</v>
      </c>
      <c r="D61" t="str">
        <f t="shared" si="3"/>
        <v>送金</v>
      </c>
      <c r="E61" t="str">
        <f t="shared" si="4"/>
        <v>ＰＨＡＮ ＸＵＡ</v>
      </c>
      <c r="G61" t="s">
        <v>179</v>
      </c>
      <c r="H61" t="s">
        <v>4088</v>
      </c>
      <c r="I61" s="53">
        <v>20260831</v>
      </c>
      <c r="J61" s="60">
        <v>202608310000017</v>
      </c>
      <c r="K61" s="54">
        <v>2000</v>
      </c>
      <c r="L61" s="40"/>
      <c r="M61" s="55" t="s">
        <v>167</v>
      </c>
      <c r="N61" s="55" t="s">
        <v>3884</v>
      </c>
      <c r="O61" s="157">
        <v>418668</v>
      </c>
      <c r="P61" s="147"/>
    </row>
    <row r="62" spans="1:16" ht="15" thickBot="1">
      <c r="A62">
        <f t="shared" si="0"/>
        <v>20260831</v>
      </c>
      <c r="B62" s="2">
        <f t="shared" si="1"/>
        <v>1800</v>
      </c>
      <c r="C62" s="2">
        <f t="shared" si="2"/>
        <v>0</v>
      </c>
      <c r="D62" t="str">
        <f t="shared" si="3"/>
        <v>送金</v>
      </c>
      <c r="E62" t="str">
        <f t="shared" si="4"/>
        <v>ＢＵＩ ＴＨＩ</v>
      </c>
      <c r="G62" t="s">
        <v>179</v>
      </c>
      <c r="H62" t="s">
        <v>4115</v>
      </c>
      <c r="I62" s="56">
        <v>20260831</v>
      </c>
      <c r="J62" s="61">
        <v>202608310000018</v>
      </c>
      <c r="K62" s="57">
        <v>1800</v>
      </c>
      <c r="L62" s="43"/>
      <c r="M62" s="58" t="s">
        <v>167</v>
      </c>
      <c r="N62" s="58" t="s">
        <v>406</v>
      </c>
      <c r="O62" s="158">
        <v>420468</v>
      </c>
      <c r="P62" s="147"/>
    </row>
  </sheetData>
  <autoFilter ref="A2:P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</vt:lpstr>
      <vt:lpstr>Tổng hợp tiền thu theo mã U</vt:lpstr>
      <vt:lpstr>Báo cáo cọc</vt:lpstr>
      <vt:lpstr>Yucho Arai</vt:lpstr>
      <vt:lpstr>GMO</vt:lpstr>
      <vt:lpstr>SBI</vt:lpstr>
      <vt:lpstr>Arai 7121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[KT]Nguyễn Lệ Thu</dc:creator>
  <cp:lastModifiedBy>Dell</cp:lastModifiedBy>
  <dcterms:created xsi:type="dcterms:W3CDTF">2026-08-18T02:34:05Z</dcterms:created>
  <dcterms:modified xsi:type="dcterms:W3CDTF">2026-09-22T01:34:45Z</dcterms:modified>
</cp:coreProperties>
</file>