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 sánh" state="visible" r:id="rId4"/>
    <sheet sheetId="2" name="Theo tài khoản" state="visible" r:id="rId5"/>
    <sheet sheetId="3" name="Danh sách lệch" state="visible" r:id="rId6"/>
    <sheet sheetId="4" name="Theo kỳ cước" state="visible" r:id="rId7"/>
  </sheets>
  <calcPr calcId="171027"/>
</workbook>
</file>

<file path=xl/sharedStrings.xml><?xml version="1.0" encoding="utf-8"?>
<sst xmlns="http://schemas.openxmlformats.org/spreadsheetml/2006/main" count="762" uniqueCount="280">
  <si>
    <t>Đối chiếu báo cáo cước phí và báo cáo tài khoản thu</t>
  </si>
  <si>
    <t>Wifi cố định · toàn bộ lịch sử, không cắt mốc tháng · nguồn: đợt thu của CMS, cùng dữ liệu dựng nên thông tin thu cước và thông tin báo cáo khoản thu · chốt lúc 00:32:25 25/9/2026 · xuất lúc 09:06:59 25/9/2026</t>
  </si>
  <si>
    <t>1 · Hai con số theo phê duyệt</t>
  </si>
  <si>
    <t>Nhóm</t>
  </si>
  <si>
    <t>Số đợt</t>
  </si>
  <si>
    <t>Số tiền</t>
  </si>
  <si>
    <t>Ghi chú</t>
  </si>
  <si>
    <t>Đã phê duyệt</t>
  </si>
  <si>
    <t>Đợt duyệt và phiếu cha duyệt — đúng bằng báo cáo cước phí</t>
  </si>
  <si>
    <t>Chưa phê duyệt</t>
  </si>
  <si>
    <t>Đợt hoặc phiếu cha còn chờ duyệt</t>
  </si>
  <si>
    <t>Tổng mọi đợt trong kho</t>
  </si>
  <si>
    <t>2 · Hai báo cáo của CMS</t>
  </si>
  <si>
    <t>Báo cáo</t>
  </si>
  <si>
    <t>Lọc gì</t>
  </si>
  <si>
    <t>(2) Báo cáo thống kê cước phí</t>
  </si>
  <si>
    <t>Bỏ đợt/phiếu chưa duyệt · GIỮ đợt chưa ghi tài khoản</t>
  </si>
  <si>
    <t>(3) Báo cáo tài khoản thu</t>
  </si>
  <si>
    <t>Bỏ đợt chưa ghi tài khoản · GIỮ đợt phiếu cha chưa duyệt</t>
  </si>
  <si>
    <t>Chênh (2) − (3)</t>
  </si>
  <si>
    <t>Không phải sai số — hai báo cáo lọc khác nhau</t>
  </si>
  <si>
    <t>3 · Chênh do đâu</t>
  </si>
  <si>
    <t>Trạng thái</t>
  </si>
  <si>
    <t>Dấu vào chênh</t>
  </si>
  <si>
    <t>Việc cần làm</t>
  </si>
  <si>
    <t>CHƯA GHI KHOẢN THU — Đợt đã duyệt nhưng chưa chọn tài khoản nhận tiền</t>
  </si>
  <si>
    <t>Mở đợt trên CMS, chọn tài khoản đã thực nhận tiền</t>
  </si>
  <si>
    <t>CHƯA APPROVE · phiếu cha — Đợt đã duyệt nhưng phiếu cha còn chờ duyệt</t>
  </si>
  <si>
    <t>Duyệt phiếu cha; soát số tiền lẻ trước khi duyệt</t>
  </si>
  <si>
    <t>CHƯA APPROVE · cả đợt lẫn phiếu cha — Cả đợt lẫn phiếu cha đều còn chờ duyệt</t>
  </si>
  <si>
    <t>Duyệt cả đợt lẫn phiếu cha, hoặc xoá nếu thu nhầm</t>
  </si>
  <si>
    <t>Cộng dấu</t>
  </si>
  <si>
    <t>Khớp đúng con số chênh ở mục 2</t>
  </si>
  <si>
    <t>4 · Sau khi xử lý xong hai nhóm đầu</t>
  </si>
  <si>
    <t>Cả hai báo cáo sẽ cùng bằng</t>
  </si>
  <si>
    <t>Gán tài khoản cho nhóm đỏ, duyệt nhóm vàng</t>
  </si>
  <si>
    <t>Đối chiếu hai báo cáo CMS — theo tài khoản</t>
  </si>
  <si>
    <t>Nguồn: đợt thu của CMS wifi cố định — cùng dữ liệu dựng nên (2) THÔNG TIN THU CƯỚC (report/fee-payment) và (3) THÔNG TIN BÁO CÁO KHOẢN THU (report/collection-account). Toàn bộ lịch sử, không cắt mốc tháng, chốt lúc 00:32:25 25/9/2026. File xuất lúc 09:06:59 25/9/2026.</t>
  </si>
  <si>
    <t>Tài khoản</t>
  </si>
  <si>
    <t>Đã duyệt · đợt</t>
  </si>
  <si>
    <t>Đã duyệt · tiền</t>
  </si>
  <si>
    <t>Chưa duyệt · đợt</t>
  </si>
  <si>
    <t>Chưa duyệt · tiền</t>
  </si>
  <si>
    <t>(2) Cước phí</t>
  </si>
  <si>
    <t>(3) Tài khoản thu</t>
  </si>
  <si>
    <t>Chênh (2)−(3)</t>
  </si>
  <si>
    <t>Youcho Arai</t>
  </si>
  <si>
    <t>cần trừ cọc</t>
  </si>
  <si>
    <t>SBI</t>
  </si>
  <si>
    <t>Combini 3M</t>
  </si>
  <si>
    <t>(chưa ghi tài khoản)</t>
  </si>
  <si>
    <t>youcho thuong</t>
  </si>
  <si>
    <t>Arai cầm tay</t>
  </si>
  <si>
    <t>Tổng</t>
  </si>
  <si>
    <t>Danh sách từng đợt làm hai báo cáo lệch nhau</t>
  </si>
  <si>
    <t>Báo cáo nào tính</t>
  </si>
  <si>
    <t>Diễn giải</t>
  </si>
  <si>
    <t>Mã hợp đồng</t>
  </si>
  <si>
    <t>Địa chỉ lắp</t>
  </si>
  <si>
    <t>Kỳ cước</t>
  </si>
  <si>
    <t>Tháng tiền về</t>
  </si>
  <si>
    <t>Ngày thu</t>
  </si>
  <si>
    <t>Trạng thái đợt</t>
  </si>
  <si>
    <t>Trạng thái phiếu cha</t>
  </si>
  <si>
    <t>ID đợt</t>
  </si>
  <si>
    <t>CHƯA GHI KHOẢN THU</t>
  </si>
  <si>
    <t>Chỉ (2) cước phí tính · (3) tài khoản thu loại</t>
  </si>
  <si>
    <t>Đợt đã duyệt nhưng chưa chọn tài khoản nhận tiền</t>
  </si>
  <si>
    <t>HH000006</t>
  </si>
  <si>
    <t xml:space="preserve">400-0862 〒400-0862 山梨県甲府市朝気1丁目6−5 コーポホワイト
甲府市朝気一丁目6−5
コーポホワイト2F14</t>
  </si>
  <si>
    <t>2025-12</t>
  </si>
  <si>
    <t>2025-11</t>
  </si>
  <si>
    <t>2025-11-30</t>
  </si>
  <si>
    <t>APPROVED</t>
  </si>
  <si>
    <t>5516cfc1-acf2-11f1-bacf-22e9dc9bef86</t>
  </si>
  <si>
    <t>HH000014</t>
  </si>
  <si>
    <t xml:space="preserve">〒370-0532 群馬県邑楽郡大泉町坂田３丁目１４番地５号
大泉昭和ビル棟 ３０６号</t>
  </si>
  <si>
    <t>5515eba2-acf2-11f1-bacf-22e9dc9bef86</t>
  </si>
  <si>
    <t>HD000216</t>
  </si>
  <si>
    <t>210-0024 神奈川県川崎市川崎区日進町  1 番地 68 サンスクエア川崎 8 号棟102 号室</t>
  </si>
  <si>
    <t>55167602-acf2-11f1-bacf-22e9dc9bef86</t>
  </si>
  <si>
    <t>HH000012</t>
  </si>
  <si>
    <t>〒338-0823 埼玉県さいたま市　桜区栄和５丁目　１０－１４　鈴屋コーポ　１０2号</t>
  </si>
  <si>
    <t>55168662-acf2-11f1-bacf-22e9dc9bef86</t>
  </si>
  <si>
    <t>HH000001</t>
  </si>
  <si>
    <t>115-0042 東京都 北区 志茂 ４丁目 ２７−１４ノーザンロード志茂 102</t>
  </si>
  <si>
    <t>5516ba56-acf2-11f1-bacf-22e9dc9bef86</t>
  </si>
  <si>
    <t>HH000002</t>
  </si>
  <si>
    <t>286-0114 千葉県成田市本城25-11サニーフラット 106号室</t>
  </si>
  <si>
    <t>55168e39-acf2-11f1-bacf-22e9dc9bef86</t>
  </si>
  <si>
    <t>2025-10</t>
  </si>
  <si>
    <t>55168a43-acf2-11f1-bacf-22e9dc9bef86</t>
  </si>
  <si>
    <t>55167ca2-acf2-11f1-bacf-22e9dc9bef86</t>
  </si>
  <si>
    <t>HH000019</t>
  </si>
  <si>
    <t>〒369-0315 埼玉県児玉郡上里町大御堂1138-2</t>
  </si>
  <si>
    <t>55168f68-acf2-11f1-bacf-22e9dc9bef86</t>
  </si>
  <si>
    <t>HH000010</t>
  </si>
  <si>
    <t xml:space="preserve">〒370-0535. 群馬県邑楽郡大泉町寄り木戸1235-2コーポブエルデイ
1E</t>
  </si>
  <si>
    <t>5516ae00-acf2-11f1-bacf-22e9dc9bef86</t>
  </si>
  <si>
    <t>HH000013</t>
  </si>
  <si>
    <t>131-0046 東京都墨田区京島2丁目13-4 大島イン 201号室</t>
  </si>
  <si>
    <t>5516c236-acf2-11f1-bacf-22e9dc9bef86</t>
  </si>
  <si>
    <t>HH000020</t>
  </si>
  <si>
    <t>300-4517 茨城県筑西市海老ヶ島1134-1</t>
  </si>
  <si>
    <t>5516b415-acf2-11f1-bacf-22e9dc9bef86</t>
  </si>
  <si>
    <t>HH000015</t>
  </si>
  <si>
    <t>〒300-0818 茨城県土浦市 天川1丁目10-8</t>
  </si>
  <si>
    <t>55167946-acf2-11f1-bacf-22e9dc9bef86</t>
  </si>
  <si>
    <t>HH000017</t>
  </si>
  <si>
    <t>〒367-0022 埼玉県本庄市日の出3-7-39</t>
  </si>
  <si>
    <t>55155a2c-acf2-11f1-bacf-22e9dc9bef86</t>
  </si>
  <si>
    <t>HH000016</t>
  </si>
  <si>
    <t>〒289-1727 千葉県山武郡 横芝光町宮川 １６２８</t>
  </si>
  <si>
    <t>5516d245-acf2-11f1-bacf-22e9dc9bef86</t>
  </si>
  <si>
    <t>HH000018</t>
  </si>
  <si>
    <t>〒355-0812 埼玉県東松山市大字都13-1 滑川都団地3-302</t>
  </si>
  <si>
    <t>5515f808-acf2-11f1-bacf-22e9dc9bef86</t>
  </si>
  <si>
    <t>CHƯA APPROVE · phiếu cha</t>
  </si>
  <si>
    <t>Chỉ (3) tài khoản thu tính · (2) cước phí loại</t>
  </si>
  <si>
    <t>Đợt đã duyệt nhưng phiếu cha còn chờ duyệt</t>
  </si>
  <si>
    <t>HD003075</t>
  </si>
  <si>
    <t>3720827 群馬県伊勢崎市八斗島町　１６１８－４ プレステージ伊勢崎　１０３</t>
  </si>
  <si>
    <t>2026-09</t>
  </si>
  <si>
    <t>2026-09-13</t>
  </si>
  <si>
    <t>PENDING_APPROVAL</t>
  </si>
  <si>
    <t>94e59bd2-1a72-4dd3-abee-3dd84fbb8e97</t>
  </si>
  <si>
    <t>HD003938</t>
  </si>
  <si>
    <t>2850907 千葉県印旛郡　酒々井町下岩橋　２２８－１０ コーポサンロード　２０２号</t>
  </si>
  <si>
    <t>2026-10</t>
  </si>
  <si>
    <t>2026-07</t>
  </si>
  <si>
    <t>2026-07-18</t>
  </si>
  <si>
    <t>9d3b2e31-8925-46f4-b232-0f31d5a9fb7b</t>
  </si>
  <si>
    <t>HD005532</t>
  </si>
  <si>
    <t>2640028 千葉県千葉市　若葉区桜木５丁目　２－９ モデラートシティ　５０４号</t>
  </si>
  <si>
    <t>2026-09-14</t>
  </si>
  <si>
    <t>f5e6f7fd-1bce-4c4a-95e6-a06b8bd1e235</t>
  </si>
  <si>
    <t>HD005383</t>
  </si>
  <si>
    <t>0530816 北海道苫小牧市日吉町４丁目 ８－９ ドルチェ日吉Ａ ２０３号</t>
  </si>
  <si>
    <t>2026-09-15</t>
  </si>
  <si>
    <t>3ce718e5-97b2-4554-bac0-66a38b957665</t>
  </si>
  <si>
    <t>HD004246</t>
  </si>
  <si>
    <t>4080117 山梨県北杜市須玉町　若神子新町　１２０５－２４</t>
  </si>
  <si>
    <t>2026-09-17</t>
  </si>
  <si>
    <t>e4ccceda-469c-4702-9876-2993bda1449d</t>
  </si>
  <si>
    <t>HD005342</t>
  </si>
  <si>
    <t>1920364 東京都八王子市南大沢５丁目 １６ ベルコリーヌ南大沢４号棟 ２０１号</t>
  </si>
  <si>
    <t>2026-11</t>
  </si>
  <si>
    <t>2026-08</t>
  </si>
  <si>
    <t>2026-08-28</t>
  </si>
  <si>
    <t>5bb49e3d-3e0e-4cda-b547-ceffc2135f0c</t>
  </si>
  <si>
    <t>HD005591</t>
  </si>
  <si>
    <t>1210823 東京都足立区伊興５丁目　９－２７ サンビレッジ　２０２号</t>
  </si>
  <si>
    <t>2026-09-09</t>
  </si>
  <si>
    <t>82feba80-9877-4317-9126-f6daab73ed05</t>
  </si>
  <si>
    <t>0ecfa35e-7254-40da-9dce-bf305c7795d1</t>
  </si>
  <si>
    <t>736f975a-6b15-4aa2-abb8-5ecfe5325227</t>
  </si>
  <si>
    <t>HD005341</t>
  </si>
  <si>
    <t>2520804 神奈川県藤沢市湘南台３丁目　１６－１１ プラネッタ　１０４号</t>
  </si>
  <si>
    <t>2026-09-11</t>
  </si>
  <si>
    <t>3df19ba9-101e-420e-9983-4badaa94fc58</t>
  </si>
  <si>
    <t>HD001516</t>
  </si>
  <si>
    <t>1940013 東京都町田市原町田２丁目　２６－１ 都営原町田２丁目アパート　２０４号</t>
  </si>
  <si>
    <t>2026-06</t>
  </si>
  <si>
    <t>2026-06-08</t>
  </si>
  <si>
    <t>NOTE_ONLY</t>
  </si>
  <si>
    <t>2bc4f65f-919c-4371-af1f-d774cd50d5d1</t>
  </si>
  <si>
    <t>HD002559</t>
  </si>
  <si>
    <t>1740071 東京都板橋区常盤台４丁目　１２－６ 亜光ハイム常盤台　３０3号</t>
  </si>
  <si>
    <t>2026-08-27</t>
  </si>
  <si>
    <t>9c5a2bf2-6a00-4e65-bca0-6403cfab314c</t>
  </si>
  <si>
    <t>HD005183</t>
  </si>
  <si>
    <t>3560004 埼玉県ふじみ野市上福岡６丁目　８－２９ コーポ槙　Ｂ号</t>
  </si>
  <si>
    <t>2026-09-22</t>
  </si>
  <si>
    <t>9b054aa2-7c3f-4e08-91a3-34c39594bc60</t>
  </si>
  <si>
    <t>HD005188</t>
  </si>
  <si>
    <t>3070053 茨城県結城市新福寺２丁目　１－７ コーポサカエ　１０２号</t>
  </si>
  <si>
    <t>2026-09-07</t>
  </si>
  <si>
    <t>93985829-2aac-4659-9c62-e082f5d6237e</t>
  </si>
  <si>
    <t>HD004499</t>
  </si>
  <si>
    <t>3480028 埼玉県羽生市大字北袋　４ 県営羽生北袋団地３号棟　３０１号</t>
  </si>
  <si>
    <t>2026-08-05</t>
  </si>
  <si>
    <t>cef08d27-ef83-4d5e-b292-a5005e87c37e</t>
  </si>
  <si>
    <t>HD003162</t>
  </si>
  <si>
    <t>3400154 埼玉県幸手市栄　２ 幸手団地４号棟　３０２号</t>
  </si>
  <si>
    <t>2026-08-30</t>
  </si>
  <si>
    <t>9295a0a9-26f4-41fb-9417-a3f0ca82fbeb</t>
  </si>
  <si>
    <t>HD004794</t>
  </si>
  <si>
    <t>1730016 東京都板橋区中板橋　２０－８ 須藤ビル　３０５号</t>
  </si>
  <si>
    <t>2026-08-06</t>
  </si>
  <si>
    <t>39b305ef-18f5-4be9-917b-887e954bb6a7</t>
  </si>
  <si>
    <t>HD004559</t>
  </si>
  <si>
    <t>1570062 東京都世田谷区南烏山４丁目　９－１６ 第１ノモビル　４０１号</t>
  </si>
  <si>
    <t>2026-08-31</t>
  </si>
  <si>
    <t>d1915cee-4715-4eee-a930-fc9054b408be</t>
  </si>
  <si>
    <t>HD004080</t>
  </si>
  <si>
    <t>2520307 神奈川県相模原市　ｃ南区文京ｂ１丁目　１６－１３ うのもりハウス　１０１号</t>
  </si>
  <si>
    <t>671a7b01-41c8-4e55-9b7d-de6f22d4639d</t>
  </si>
  <si>
    <t>HD004767</t>
  </si>
  <si>
    <t>3501117 埼玉県川越市広栄町　１２－２０ アルファー　サウミィー　コーエイ　１０１号</t>
  </si>
  <si>
    <t>2026-09-16</t>
  </si>
  <si>
    <t>f60cbe78-b4ee-4150-baf7-846d1f59a819</t>
  </si>
  <si>
    <t>HD003936</t>
  </si>
  <si>
    <t>1670021 東京都杉並区井草３丁目　３２－２ 井草関口マンション　５０７号</t>
  </si>
  <si>
    <t>e273768b-4321-44d9-9643-0ba0d34924bd</t>
  </si>
  <si>
    <t>HD005974</t>
  </si>
  <si>
    <t>2701342 千葉県印西市高花１丁目　６ 公団高花４棟　４０２号</t>
  </si>
  <si>
    <t>2477150a-5bb6-48ef-b533-b6a8c5a95a89</t>
  </si>
  <si>
    <t>HD003496</t>
  </si>
  <si>
    <t>3060307 茨城県猿島郡　五霞町大字小福田　５２６</t>
  </si>
  <si>
    <t>2026-09-04</t>
  </si>
  <si>
    <t>55166b5f-acf2-11f1-bacf-22e9dc9bef86</t>
  </si>
  <si>
    <t>CHƯA APPROVE · cả đợt lẫn phiếu cha</t>
  </si>
  <si>
    <t>Không báo cáo nào tính</t>
  </si>
  <si>
    <t>Cả đợt lẫn phiếu cha đều còn chờ duyệt</t>
  </si>
  <si>
    <t>HD001474</t>
  </si>
  <si>
    <t>3690113 埼玉県 鴻巣市 下忍 3883番地6</t>
  </si>
  <si>
    <t>2026-09-24</t>
  </si>
  <si>
    <t>607c6552-3463-4686-b2fc-887bfa58cb8d</t>
  </si>
  <si>
    <t>HD003811</t>
  </si>
  <si>
    <t>3450036 埼玉県北葛飾郡　杉戸町杉戸１丁目　５－１０ メゾンドール　１０５号</t>
  </si>
  <si>
    <t>2026-07-23</t>
  </si>
  <si>
    <t>6b34c3ef-6844-4f3d-bbdb-da0c7f949123</t>
  </si>
  <si>
    <t>2026-08-04</t>
  </si>
  <si>
    <t>89f2479f-37b0-4cc9-b8c7-31d730bed471</t>
  </si>
  <si>
    <t>HD004800</t>
  </si>
  <si>
    <t>3360926 埼玉県さいたま市　緑区東浦和２丁目　７６－２２ ニューシティ１　２０１号</t>
  </si>
  <si>
    <t>64c15045-c0b1-4d2c-b40c-6eb1056a6286</t>
  </si>
  <si>
    <t>HD002738</t>
  </si>
  <si>
    <t>2900066 千葉県市原市五所　１３３９－１ タウンハイツ池田　１０３号</t>
  </si>
  <si>
    <t>23baf02b-edf8-49c4-b767-9c16d8de28c3</t>
  </si>
  <si>
    <t>HD002920</t>
  </si>
  <si>
    <t>3700532 群馬県邑楽郡大泉町坂田３丁目１４番地５号 大泉昭和ビル棟　３０６号</t>
  </si>
  <si>
    <t>03bcbe85-95ae-451e-88d5-1d8821780898</t>
  </si>
  <si>
    <t>HD004055</t>
  </si>
  <si>
    <t>2610011 千葉県千葉市美浜区真砂２－４－３ ビレッジハウス検見川ｎ３号棟５０２</t>
  </si>
  <si>
    <t>318d8655-7b2e-4138-815e-6670d88af16e</t>
  </si>
  <si>
    <t>HD003119</t>
  </si>
  <si>
    <t>2380042 神奈川県横須賀市汐入町2丁目59-5 ザ・ファルティ汐入　３０２号</t>
  </si>
  <si>
    <t>ebb87c0a-8b91-4d77-b455-2a0951eda9e2</t>
  </si>
  <si>
    <t>HD005036</t>
  </si>
  <si>
    <t>3270826 栃木県佐野市茂呂山町　１４－１ ハイムエレガントＣ棟　２０１号</t>
  </si>
  <si>
    <t>2026-09-25</t>
  </si>
  <si>
    <t>3f01b747-ee48-4d88-9f9f-f91f2b33d2f9</t>
  </si>
  <si>
    <t>HD000389</t>
  </si>
  <si>
    <t>〒308-0112 茨城県筑西市藤ヶ谷1615-7 ピレッジハウス関城 1-206</t>
  </si>
  <si>
    <t>e3b8e6dd-dfd1-4157-b8a2-92e6b91be48f</t>
  </si>
  <si>
    <t>HD001229</t>
  </si>
  <si>
    <t>3120012 茨城県ひたちなか市馬渡2976-3</t>
  </si>
  <si>
    <t>125da474-72d8-4ed0-9952-d0f9b743e8cd</t>
  </si>
  <si>
    <t>HD003772</t>
  </si>
  <si>
    <t>3920131 長野県諏訪市大字湖南　３９２７－６ メゾン原　１０１号</t>
  </si>
  <si>
    <t>3673f9c4-be9e-4824-8da2-ef07e8a9015e</t>
  </si>
  <si>
    <t>HD001316</t>
  </si>
  <si>
    <t>3600201 埼玉県熊谷市妻沼1613-7 妻沼ハイツ1-106</t>
  </si>
  <si>
    <t>8c405230-8bc6-49a1-98d2-a19544a3b06e</t>
  </si>
  <si>
    <t>HD005686</t>
  </si>
  <si>
    <t>3230820 栃木県小山市西城南１丁目　２８－２４ マウンテン　２０１号</t>
  </si>
  <si>
    <t>37343ac2-c73d-4b5c-b852-6c928ab7a9ff</t>
  </si>
  <si>
    <t>HD001551</t>
  </si>
  <si>
    <t>3620805 埼玉県北足立郡伊奈町栄2-127 栄ハイツ101</t>
  </si>
  <si>
    <t>92a79712-f7de-47f4-b172-e8c1296a16b2</t>
  </si>
  <si>
    <t>b3585fcf-fe4d-4fdd-94d4-c509543f6a54</t>
  </si>
  <si>
    <t>Đối chiếu theo kỳ cước — hai thước đo khác nhau</t>
  </si>
  <si>
    <t/>
  </si>
  <si>
    <t>BÁO CÁO CƯỚC PHÍ (report/fee-payment)</t>
  </si>
  <si>
    <t>BÁO CÁO KHOẢN THU (report/collection-account)</t>
  </si>
  <si>
    <t>CHÊNH</t>
  </si>
  <si>
    <t>Đã thu</t>
  </si>
  <si>
    <t>Tiền các đợt</t>
  </si>
  <si>
    <t>Chênh</t>
  </si>
  <si>
    <t>2026-01</t>
  </si>
  <si>
    <t>2026-02</t>
  </si>
  <si>
    <t>2026-03</t>
  </si>
  <si>
    <t>2026-04</t>
  </si>
  <si>
    <t>2026-05</t>
  </si>
  <si>
    <t>2026-12</t>
  </si>
  <si>
    <t>2027-01</t>
  </si>
  <si>
    <t>2027-02</t>
  </si>
  <si>
    <t>2027-03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</si>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</sst>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sz val="14"/>
    </font>
    <font>
      <b/>
      <sz val="14"/>
      <name val="Consolas"/>
    </font>
    <font>
      <i/>
      <color rgb="FF888888"/>
    </font>
    <font>
      <i/>
      <color rgb="FF888888"/>
      <name val="Consolas"/>
    </font>
    <font>
      <b/>
      <sz val="11"/>
    </font>
    <font>
      <b/>
      <sz val="11"/>
      <name val="Consolas"/>
    </font>
    <font>
      <b/>
    </font>
    <font>
      <b/>
      <name val="Consolas"/>
    </font>
    <font>
      <name val="Consolas"/>
    </font>
    <font>
      <b/>
      <color rgb="FFC00000"/>
      <name val="Consolas"/>
    </font>
    <font>
      <b/>
      <sz val="13"/>
    </font>
    <font>
      <b/>
      <sz val="13"/>
      <name val="Consolas"/>
    </font>
    <font>
      <i/>
      <color rgb="FF666666"/>
      <sz val="10"/>
    </font>
    <font>
      <i/>
      <color rgb="FF666666"/>
      <sz val="10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3CD"/>
      </patternFill>
    </fill>
    <fill>
      <patternFill patternType="solid">
        <fgColor rgb="FFFCE4E4"/>
      </patternFill>
    </fill>
    <fill>
      <patternFill patternType="solid">
        <fgColor rgb="FFEDE7F6"/>
      </patternFill>
    </fill>
    <fill>
      <patternFill patternType="solid">
        <fgColor rgb="FFFFFFFF"/>
      </patternFill>
    </fill>
    <fill>
      <patternFill patternType="solid">
        <fgColor rgb="FFDCEBF7"/>
      </patternFill>
    </fill>
    <fill>
      <patternFill patternType="solid">
        <fgColor rgb="FFF0E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5" fillId="0" borderId="0" xfId="0" applyFont="1"/>
    <xf numFmtId="0" fontId="6" fillId="2" borderId="0" xfId="0" applyFont="1" applyFill="1"/>
    <xf numFmtId="3" fontId="5" fillId="0" borderId="0" xfId="0" applyNumberFormat="1" applyFont="1"/>
    <xf numFmtId="0" fontId="7" fillId="0" borderId="0" xfId="0" applyFont="1"/>
    <xf numFmtId="0" fontId="8" fillId="0" borderId="0" xfId="0" applyFont="1"/>
    <xf numFmtId="3" fontId="8" fillId="0" borderId="0" xfId="0" applyNumberFormat="1" applyFont="1"/>
    <xf numFmtId="3" fontId="7" fillId="0" borderId="0" xfId="0" applyNumberFormat="1" applyFont="1"/>
    <xf numFmtId="0" fontId="9" fillId="0" borderId="0" xfId="0" applyFont="1"/>
    <xf numFmtId="3" fontId="9" fillId="0" borderId="0" xfId="0" applyNumberFormat="1" applyFont="1"/>
    <xf numFmtId="3" fontId="0" fillId="0" borderId="0" xfId="0" applyNumberFormat="1"/>
    <xf numFmtId="0" fontId="9" fillId="3" borderId="0" xfId="0" applyFont="1" applyFill="1"/>
    <xf numFmtId="3" fontId="9" fillId="3" borderId="0" xfId="0" applyNumberFormat="1" applyFont="1" applyFill="1"/>
    <xf numFmtId="3" fontId="0" fillId="3" borderId="0" xfId="0" applyNumberFormat="1" applyFill="1"/>
    <xf numFmtId="3" fontId="10" fillId="4" borderId="0" xfId="0" applyNumberFormat="1" applyFont="1" applyFill="1"/>
    <xf numFmtId="0" fontId="9" fillId="4" borderId="0" xfId="0" applyFont="1" applyFill="1"/>
    <xf numFmtId="3" fontId="9" fillId="4" borderId="0" xfId="0" applyNumberFormat="1" applyFont="1" applyFill="1"/>
    <xf numFmtId="0" fontId="9" fillId="5" borderId="0" xfId="0" applyFont="1" applyFill="1"/>
    <xf numFmtId="3" fontId="9" fillId="5" borderId="0" xfId="0" applyNumberFormat="1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7" fillId="2" borderId="0" xfId="0" applyFont="1" applyFill="1"/>
    <xf numFmtId="0" fontId="8" fillId="2" borderId="0" xfId="0" applyFont="1" applyFill="1"/>
    <xf numFmtId="3" fontId="8" fillId="2" borderId="0" xfId="0" applyNumberFormat="1" applyFont="1" applyFill="1"/>
    <xf numFmtId="0" fontId="6" fillId="6" borderId="0" xfId="0" applyFont="1" applyFill="1" applyAlignment="1">
      <alignment horizontal="center" vertical="center"/>
    </xf>
    <xf numFmtId="3" fontId="6" fillId="7" borderId="0" xfId="0" applyNumberFormat="1" applyFont="1" applyFill="1" applyAlignment="1">
      <alignment horizontal="center" vertical="center"/>
    </xf>
    <xf numFmtId="3" fontId="6" fillId="8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52" customWidth="1"/>
    <col min="2" max="2" width="12" customWidth="1"/>
    <col min="3" max="4" width="16" customWidth="1"/>
    <col min="5" max="5" width="58" customWidth="1"/>
  </cols>
  <sheetData>
    <row r="1" spans="1:4" s="1" customFormat="1" x14ac:dyDescent="0.25">
      <c r="A1" s="2" t="s">
        <v>0</v>
      </c>
      <c r="C1" s="3"/>
      <c r="D1" s="3"/>
    </row>
    <row r="2" spans="1:4" s="4" customFormat="1" x14ac:dyDescent="0.25">
      <c r="A2" s="5" t="s">
        <v>1</v>
      </c>
      <c r="C2" s="6"/>
      <c r="D2" s="6"/>
    </row>
    <row r="4" spans="1:4" s="7" customFormat="1" x14ac:dyDescent="0.25">
      <c r="A4" s="8" t="s">
        <v>2</v>
      </c>
      <c r="C4" s="9"/>
      <c r="D4" s="9"/>
    </row>
    <row r="5" spans="1:5" s="10" customFormat="1" x14ac:dyDescent="0.25">
      <c r="A5" s="11" t="s">
        <v>3</v>
      </c>
      <c r="B5" s="11" t="s">
        <v>4</v>
      </c>
      <c r="C5" s="12" t="s">
        <v>5</v>
      </c>
      <c r="D5" s="13"/>
      <c r="E5" s="11" t="s">
        <v>6</v>
      </c>
    </row>
    <row r="6" spans="1:5" x14ac:dyDescent="0.25">
      <c r="A6" s="14" t="s">
        <v>7</v>
      </c>
      <c r="B6" s="14">
        <v>2756</v>
      </c>
      <c r="C6" s="15">
        <v>5273402</v>
      </c>
      <c r="D6" s="16"/>
      <c r="E6" s="14" t="s">
        <v>8</v>
      </c>
    </row>
    <row r="7" spans="1:5" x14ac:dyDescent="0.25">
      <c r="A7" s="17" t="s">
        <v>9</v>
      </c>
      <c r="B7" s="17">
        <v>39</v>
      </c>
      <c r="C7" s="18">
        <v>55501</v>
      </c>
      <c r="D7" s="19"/>
      <c r="E7" s="17" t="s">
        <v>10</v>
      </c>
    </row>
    <row r="8" spans="1:4" s="10" customFormat="1" x14ac:dyDescent="0.25">
      <c r="A8" s="11" t="s">
        <v>11</v>
      </c>
      <c r="B8" s="11">
        <v>2795</v>
      </c>
      <c r="C8" s="12">
        <v>5328903</v>
      </c>
      <c r="D8" s="13"/>
    </row>
    <row r="10" spans="1:4" s="7" customFormat="1" x14ac:dyDescent="0.25">
      <c r="A10" s="8" t="s">
        <v>12</v>
      </c>
      <c r="C10" s="9"/>
      <c r="D10" s="9"/>
    </row>
    <row r="11" spans="1:5" s="10" customFormat="1" x14ac:dyDescent="0.25">
      <c r="A11" s="11" t="s">
        <v>13</v>
      </c>
      <c r="B11" s="11" t="s">
        <v>4</v>
      </c>
      <c r="C11" s="12" t="s">
        <v>5</v>
      </c>
      <c r="D11" s="13"/>
      <c r="E11" s="11" t="s">
        <v>14</v>
      </c>
    </row>
    <row r="12" spans="1:5" x14ac:dyDescent="0.25">
      <c r="A12" s="14" t="s">
        <v>15</v>
      </c>
      <c r="B12" s="14">
        <v>2756</v>
      </c>
      <c r="C12" s="15">
        <v>5273402</v>
      </c>
      <c r="D12" s="16"/>
      <c r="E12" s="14" t="s">
        <v>16</v>
      </c>
    </row>
    <row r="13" spans="1:5" x14ac:dyDescent="0.25">
      <c r="A13" s="14" t="s">
        <v>17</v>
      </c>
      <c r="B13" s="14">
        <v>2763</v>
      </c>
      <c r="C13" s="15">
        <v>5279803</v>
      </c>
      <c r="D13" s="16"/>
      <c r="E13" s="14" t="s">
        <v>18</v>
      </c>
    </row>
    <row r="14" spans="1:5" s="10" customFormat="1" x14ac:dyDescent="0.25">
      <c r="A14" s="11" t="s">
        <v>19</v>
      </c>
      <c r="C14" s="20">
        <v>-6401</v>
      </c>
      <c r="D14" s="13"/>
      <c r="E14" s="11" t="s">
        <v>20</v>
      </c>
    </row>
    <row r="16" spans="1:4" s="7" customFormat="1" x14ac:dyDescent="0.25">
      <c r="A16" s="8" t="s">
        <v>21</v>
      </c>
      <c r="C16" s="9"/>
      <c r="D16" s="9"/>
    </row>
    <row r="17" spans="1:5" s="10" customFormat="1" x14ac:dyDescent="0.25">
      <c r="A17" s="11" t="s">
        <v>22</v>
      </c>
      <c r="B17" s="11" t="s">
        <v>4</v>
      </c>
      <c r="C17" s="12" t="s">
        <v>5</v>
      </c>
      <c r="D17" s="12" t="s">
        <v>23</v>
      </c>
      <c r="E17" s="11" t="s">
        <v>24</v>
      </c>
    </row>
    <row r="18" spans="1:5" x14ac:dyDescent="0.25">
      <c r="A18" s="21" t="s">
        <v>25</v>
      </c>
      <c r="B18" s="21">
        <v>16</v>
      </c>
      <c r="C18" s="22">
        <v>17100</v>
      </c>
      <c r="D18" s="22">
        <v>17100</v>
      </c>
      <c r="E18" s="21" t="s">
        <v>26</v>
      </c>
    </row>
    <row r="19" spans="1:5" x14ac:dyDescent="0.25">
      <c r="A19" s="17" t="s">
        <v>27</v>
      </c>
      <c r="B19" s="17">
        <v>23</v>
      </c>
      <c r="C19" s="18">
        <v>23501</v>
      </c>
      <c r="D19" s="18">
        <v>-23501</v>
      </c>
      <c r="E19" s="17" t="s">
        <v>28</v>
      </c>
    </row>
    <row r="20" spans="1:5" x14ac:dyDescent="0.25">
      <c r="A20" s="23" t="s">
        <v>29</v>
      </c>
      <c r="B20" s="23">
        <v>16</v>
      </c>
      <c r="C20" s="24">
        <v>32000</v>
      </c>
      <c r="D20" s="24">
        <v>0</v>
      </c>
      <c r="E20" s="23" t="s">
        <v>30</v>
      </c>
    </row>
    <row r="21" spans="1:5" s="10" customFormat="1" x14ac:dyDescent="0.25">
      <c r="A21" s="11" t="s">
        <v>31</v>
      </c>
      <c r="C21" s="13"/>
      <c r="D21" s="12">
        <v>-6401</v>
      </c>
      <c r="E21" s="11" t="s">
        <v>32</v>
      </c>
    </row>
    <row r="23" spans="1:4" s="7" customFormat="1" x14ac:dyDescent="0.25">
      <c r="A23" s="8" t="s">
        <v>33</v>
      </c>
      <c r="C23" s="9"/>
      <c r="D23" s="9"/>
    </row>
    <row r="24" spans="1:5" s="10" customFormat="1" x14ac:dyDescent="0.25">
      <c r="A24" s="11" t="s">
        <v>34</v>
      </c>
      <c r="C24" s="12">
        <v>5296903</v>
      </c>
      <c r="D24" s="13"/>
      <c r="E24" s="1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6" style="16" customWidth="1"/>
    <col min="4" max="4" width="16" customWidth="1"/>
    <col min="5" max="5" width="17" style="16" customWidth="1"/>
    <col min="6" max="6" width="15" style="16" customWidth="1"/>
    <col min="7" max="7" width="17" style="16" customWidth="1"/>
    <col min="8" max="8" width="15" style="16" customWidth="1"/>
  </cols>
  <sheetData>
    <row r="1" spans="1:8" s="25" customFormat="1" x14ac:dyDescent="0.25">
      <c r="A1" s="26" t="s">
        <v>36</v>
      </c>
      <c r="B1" s="26"/>
      <c r="C1" s="26"/>
      <c r="D1" s="26"/>
      <c r="E1" s="26"/>
      <c r="F1" s="26"/>
      <c r="G1" s="26"/>
      <c r="H1" s="26"/>
    </row>
    <row r="2" spans="1:8" s="27" customFormat="1" x14ac:dyDescent="0.25">
      <c r="A2" s="28" t="s">
        <v>37</v>
      </c>
      <c r="B2" s="28"/>
      <c r="C2" s="28"/>
      <c r="D2" s="28"/>
      <c r="E2" s="28"/>
      <c r="F2" s="28"/>
      <c r="G2" s="28"/>
      <c r="H2" s="28"/>
    </row>
    <row r="3" spans="1:8" s="29" customFormat="1" x14ac:dyDescent="0.25">
      <c r="A3" s="30" t="s">
        <v>38</v>
      </c>
      <c r="B3" s="30" t="s">
        <v>39</v>
      </c>
      <c r="C3" s="31" t="s">
        <v>40</v>
      </c>
      <c r="D3" s="30" t="s">
        <v>41</v>
      </c>
      <c r="E3" s="31" t="s">
        <v>42</v>
      </c>
      <c r="F3" s="31" t="s">
        <v>43</v>
      </c>
      <c r="G3" s="31" t="s">
        <v>44</v>
      </c>
      <c r="H3" s="31" t="s">
        <v>45</v>
      </c>
    </row>
    <row r="4" spans="1:8" x14ac:dyDescent="0.25">
      <c r="A4" s="14" t="s">
        <v>46</v>
      </c>
      <c r="B4" s="14">
        <v>306</v>
      </c>
      <c r="C4" s="15">
        <v>610000</v>
      </c>
      <c r="D4" s="14">
        <v>10</v>
      </c>
      <c r="E4" s="18">
        <v>20000</v>
      </c>
      <c r="F4" s="15">
        <v>610000</v>
      </c>
      <c r="G4" s="15">
        <v>610000</v>
      </c>
      <c r="H4" s="15">
        <v>0</v>
      </c>
    </row>
    <row r="5" spans="1:8" x14ac:dyDescent="0.25">
      <c r="A5" s="14" t="s">
        <v>47</v>
      </c>
      <c r="B5" s="14">
        <v>295</v>
      </c>
      <c r="C5" s="15">
        <v>536600</v>
      </c>
      <c r="D5" s="14">
        <v>15</v>
      </c>
      <c r="E5" s="18">
        <v>16500</v>
      </c>
      <c r="F5" s="15">
        <v>536600</v>
      </c>
      <c r="G5" s="15">
        <v>549100</v>
      </c>
      <c r="H5" s="20">
        <v>-12500</v>
      </c>
    </row>
    <row r="6" spans="1:8" x14ac:dyDescent="0.25">
      <c r="A6" s="14" t="s">
        <v>48</v>
      </c>
      <c r="B6" s="14">
        <v>2</v>
      </c>
      <c r="C6" s="15">
        <v>4000</v>
      </c>
      <c r="D6" s="14">
        <v>0</v>
      </c>
      <c r="E6" s="15">
        <v>0</v>
      </c>
      <c r="F6" s="15">
        <v>4000</v>
      </c>
      <c r="G6" s="15">
        <v>4000</v>
      </c>
      <c r="H6" s="15">
        <v>0</v>
      </c>
    </row>
    <row r="7" spans="1:8" x14ac:dyDescent="0.25">
      <c r="A7" s="14" t="s">
        <v>49</v>
      </c>
      <c r="B7" s="14">
        <v>1442</v>
      </c>
      <c r="C7" s="15">
        <v>2778102</v>
      </c>
      <c r="D7" s="14">
        <v>10</v>
      </c>
      <c r="E7" s="18">
        <v>11001</v>
      </c>
      <c r="F7" s="15">
        <v>2778102</v>
      </c>
      <c r="G7" s="15">
        <v>2789103</v>
      </c>
      <c r="H7" s="20">
        <v>-11001</v>
      </c>
    </row>
    <row r="8" spans="1:8" x14ac:dyDescent="0.25">
      <c r="A8" s="14" t="s">
        <v>50</v>
      </c>
      <c r="B8" s="14">
        <v>16</v>
      </c>
      <c r="C8" s="15">
        <v>17100</v>
      </c>
      <c r="D8" s="14">
        <v>0</v>
      </c>
      <c r="E8" s="15">
        <v>0</v>
      </c>
      <c r="F8" s="15">
        <v>17100</v>
      </c>
      <c r="G8" s="15">
        <v>0</v>
      </c>
      <c r="H8" s="20">
        <v>17100</v>
      </c>
    </row>
    <row r="9" spans="1:8" x14ac:dyDescent="0.25">
      <c r="A9" s="14" t="s">
        <v>51</v>
      </c>
      <c r="B9" s="14">
        <v>695</v>
      </c>
      <c r="C9" s="15">
        <v>1327600</v>
      </c>
      <c r="D9" s="14">
        <v>2</v>
      </c>
      <c r="E9" s="18">
        <v>4000</v>
      </c>
      <c r="F9" s="15">
        <v>1327600</v>
      </c>
      <c r="G9" s="15">
        <v>1327600</v>
      </c>
      <c r="H9" s="15">
        <v>0</v>
      </c>
    </row>
    <row r="10" spans="1:8" x14ac:dyDescent="0.25">
      <c r="A10" s="14" t="s">
        <v>52</v>
      </c>
      <c r="B10" s="14">
        <v>0</v>
      </c>
      <c r="C10" s="15">
        <v>0</v>
      </c>
      <c r="D10" s="14">
        <v>2</v>
      </c>
      <c r="E10" s="18">
        <v>4000</v>
      </c>
      <c r="F10" s="15">
        <v>0</v>
      </c>
      <c r="G10" s="15">
        <v>0</v>
      </c>
      <c r="H10" s="15">
        <v>0</v>
      </c>
    </row>
    <row r="11" spans="1:8" s="10" customFormat="1" x14ac:dyDescent="0.25">
      <c r="A11" s="11" t="s">
        <v>53</v>
      </c>
      <c r="B11" s="11">
        <v>2756</v>
      </c>
      <c r="C11" s="12">
        <v>5273402</v>
      </c>
      <c r="D11" s="11">
        <v>39</v>
      </c>
      <c r="E11" s="12">
        <v>55501</v>
      </c>
      <c r="F11" s="12">
        <v>5273402</v>
      </c>
      <c r="G11" s="12">
        <v>5279803</v>
      </c>
      <c r="H11" s="12">
        <v>-6401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8" customWidth="1"/>
    <col min="3" max="3" width="44" customWidth="1"/>
    <col min="4" max="4" width="15" customWidth="1"/>
    <col min="5" max="5" width="46" customWidth="1"/>
    <col min="6" max="6" width="10" customWidth="1"/>
    <col min="7" max="7" width="14" customWidth="1"/>
    <col min="8" max="8" width="12" customWidth="1"/>
    <col min="9" max="9" width="11" style="16" customWidth="1"/>
    <col min="10" max="10" width="22" customWidth="1"/>
    <col min="11" max="11" width="18" customWidth="1"/>
    <col min="12" max="12" width="20" customWidth="1"/>
    <col min="13" max="13" width="38" customWidth="1"/>
  </cols>
  <sheetData>
    <row r="1" spans="1:13" s="25" customFormat="1" x14ac:dyDescent="0.25">
      <c r="A1" s="26" t="s">
        <v>54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s="27" customFormat="1" x14ac:dyDescent="0.25">
      <c r="A2" s="28" t="s">
        <v>37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s="29" customFormat="1" x14ac:dyDescent="0.25">
      <c r="A3" s="30" t="s">
        <v>22</v>
      </c>
      <c r="B3" s="30" t="s">
        <v>55</v>
      </c>
      <c r="C3" s="30" t="s">
        <v>56</v>
      </c>
      <c r="D3" s="30" t="s">
        <v>57</v>
      </c>
      <c r="E3" s="30" t="s">
        <v>58</v>
      </c>
      <c r="F3" s="30" t="s">
        <v>59</v>
      </c>
      <c r="G3" s="30" t="s">
        <v>60</v>
      </c>
      <c r="H3" s="30" t="s">
        <v>61</v>
      </c>
      <c r="I3" s="31" t="s">
        <v>5</v>
      </c>
      <c r="J3" s="30" t="s">
        <v>38</v>
      </c>
      <c r="K3" s="30" t="s">
        <v>62</v>
      </c>
      <c r="L3" s="30" t="s">
        <v>63</v>
      </c>
      <c r="M3" s="30" t="s">
        <v>64</v>
      </c>
    </row>
    <row r="4" spans="1:13" x14ac:dyDescent="0.25">
      <c r="A4" s="21" t="s">
        <v>65</v>
      </c>
      <c r="B4" s="21" t="s">
        <v>66</v>
      </c>
      <c r="C4" s="21" t="s">
        <v>67</v>
      </c>
      <c r="D4" s="21" t="s">
        <v>68</v>
      </c>
      <c r="E4" s="21" t="s">
        <v>69</v>
      </c>
      <c r="F4" s="21" t="s">
        <v>70</v>
      </c>
      <c r="G4" s="21" t="s">
        <v>71</v>
      </c>
      <c r="H4" s="21" t="s">
        <v>72</v>
      </c>
      <c r="I4" s="22">
        <v>700</v>
      </c>
      <c r="J4" s="21" t="s">
        <v>50</v>
      </c>
      <c r="K4" s="21" t="s">
        <v>73</v>
      </c>
      <c r="L4" s="21" t="s">
        <v>73</v>
      </c>
      <c r="M4" s="21" t="s">
        <v>74</v>
      </c>
    </row>
    <row r="5" spans="1:13" x14ac:dyDescent="0.25">
      <c r="A5" s="21" t="s">
        <v>65</v>
      </c>
      <c r="B5" s="21" t="s">
        <v>66</v>
      </c>
      <c r="C5" s="21" t="s">
        <v>67</v>
      </c>
      <c r="D5" s="21" t="s">
        <v>75</v>
      </c>
      <c r="E5" s="21" t="s">
        <v>76</v>
      </c>
      <c r="F5" s="21" t="s">
        <v>70</v>
      </c>
      <c r="G5" s="21" t="s">
        <v>71</v>
      </c>
      <c r="H5" s="21" t="s">
        <v>72</v>
      </c>
      <c r="I5" s="22">
        <v>600</v>
      </c>
      <c r="J5" s="21" t="s">
        <v>50</v>
      </c>
      <c r="K5" s="21" t="s">
        <v>73</v>
      </c>
      <c r="L5" s="21" t="s">
        <v>73</v>
      </c>
      <c r="M5" s="21" t="s">
        <v>77</v>
      </c>
    </row>
    <row r="6" spans="1:13" x14ac:dyDescent="0.25">
      <c r="A6" s="21" t="s">
        <v>65</v>
      </c>
      <c r="B6" s="21" t="s">
        <v>66</v>
      </c>
      <c r="C6" s="21" t="s">
        <v>67</v>
      </c>
      <c r="D6" s="21" t="s">
        <v>78</v>
      </c>
      <c r="E6" s="21" t="s">
        <v>79</v>
      </c>
      <c r="F6" s="21" t="s">
        <v>70</v>
      </c>
      <c r="G6" s="21" t="s">
        <v>71</v>
      </c>
      <c r="H6" s="21" t="s">
        <v>72</v>
      </c>
      <c r="I6" s="22">
        <v>2000</v>
      </c>
      <c r="J6" s="21" t="s">
        <v>50</v>
      </c>
      <c r="K6" s="21" t="s">
        <v>73</v>
      </c>
      <c r="L6" s="21" t="s">
        <v>73</v>
      </c>
      <c r="M6" s="21" t="s">
        <v>80</v>
      </c>
    </row>
    <row r="7" spans="1:13" x14ac:dyDescent="0.25">
      <c r="A7" s="21" t="s">
        <v>65</v>
      </c>
      <c r="B7" s="21" t="s">
        <v>66</v>
      </c>
      <c r="C7" s="21" t="s">
        <v>67</v>
      </c>
      <c r="D7" s="21" t="s">
        <v>81</v>
      </c>
      <c r="E7" s="21" t="s">
        <v>82</v>
      </c>
      <c r="F7" s="21" t="s">
        <v>70</v>
      </c>
      <c r="G7" s="21" t="s">
        <v>71</v>
      </c>
      <c r="H7" s="21" t="s">
        <v>72</v>
      </c>
      <c r="I7" s="22">
        <v>1400</v>
      </c>
      <c r="J7" s="21" t="s">
        <v>50</v>
      </c>
      <c r="K7" s="21" t="s">
        <v>73</v>
      </c>
      <c r="L7" s="21" t="s">
        <v>73</v>
      </c>
      <c r="M7" s="21" t="s">
        <v>83</v>
      </c>
    </row>
    <row r="8" spans="1:13" x14ac:dyDescent="0.25">
      <c r="A8" s="21" t="s">
        <v>65</v>
      </c>
      <c r="B8" s="21" t="s">
        <v>66</v>
      </c>
      <c r="C8" s="21" t="s">
        <v>67</v>
      </c>
      <c r="D8" s="21" t="s">
        <v>84</v>
      </c>
      <c r="E8" s="21" t="s">
        <v>85</v>
      </c>
      <c r="F8" s="21" t="s">
        <v>70</v>
      </c>
      <c r="G8" s="21" t="s">
        <v>71</v>
      </c>
      <c r="H8" s="21" t="s">
        <v>72</v>
      </c>
      <c r="I8" s="22">
        <v>1100</v>
      </c>
      <c r="J8" s="21" t="s">
        <v>50</v>
      </c>
      <c r="K8" s="21" t="s">
        <v>73</v>
      </c>
      <c r="L8" s="21" t="s">
        <v>73</v>
      </c>
      <c r="M8" s="21" t="s">
        <v>86</v>
      </c>
    </row>
    <row r="9" spans="1:13" x14ac:dyDescent="0.25">
      <c r="A9" s="21" t="s">
        <v>65</v>
      </c>
      <c r="B9" s="21" t="s">
        <v>66</v>
      </c>
      <c r="C9" s="21" t="s">
        <v>67</v>
      </c>
      <c r="D9" s="21" t="s">
        <v>87</v>
      </c>
      <c r="E9" s="21" t="s">
        <v>88</v>
      </c>
      <c r="F9" s="21" t="s">
        <v>70</v>
      </c>
      <c r="G9" s="21" t="s">
        <v>71</v>
      </c>
      <c r="H9" s="21" t="s">
        <v>72</v>
      </c>
      <c r="I9" s="22">
        <v>1100</v>
      </c>
      <c r="J9" s="21" t="s">
        <v>50</v>
      </c>
      <c r="K9" s="21" t="s">
        <v>73</v>
      </c>
      <c r="L9" s="21" t="s">
        <v>73</v>
      </c>
      <c r="M9" s="21" t="s">
        <v>89</v>
      </c>
    </row>
    <row r="10" spans="1:13" x14ac:dyDescent="0.25">
      <c r="A10" s="21" t="s">
        <v>65</v>
      </c>
      <c r="B10" s="21" t="s">
        <v>66</v>
      </c>
      <c r="C10" s="21" t="s">
        <v>67</v>
      </c>
      <c r="D10" s="21" t="s">
        <v>87</v>
      </c>
      <c r="E10" s="21" t="s">
        <v>88</v>
      </c>
      <c r="F10" s="21" t="s">
        <v>90</v>
      </c>
      <c r="G10" s="21" t="s">
        <v>71</v>
      </c>
      <c r="H10" s="21" t="s">
        <v>72</v>
      </c>
      <c r="I10" s="22">
        <v>1100</v>
      </c>
      <c r="J10" s="21" t="s">
        <v>50</v>
      </c>
      <c r="K10" s="21" t="s">
        <v>73</v>
      </c>
      <c r="L10" s="21" t="s">
        <v>73</v>
      </c>
      <c r="M10" s="21" t="s">
        <v>91</v>
      </c>
    </row>
    <row r="11" spans="1:13" x14ac:dyDescent="0.25">
      <c r="A11" s="21" t="s">
        <v>65</v>
      </c>
      <c r="B11" s="21" t="s">
        <v>66</v>
      </c>
      <c r="C11" s="21" t="s">
        <v>67</v>
      </c>
      <c r="D11" s="21" t="s">
        <v>87</v>
      </c>
      <c r="E11" s="21" t="s">
        <v>88</v>
      </c>
      <c r="F11" s="21" t="s">
        <v>71</v>
      </c>
      <c r="G11" s="21" t="s">
        <v>71</v>
      </c>
      <c r="H11" s="21" t="s">
        <v>72</v>
      </c>
      <c r="I11" s="22">
        <v>1100</v>
      </c>
      <c r="J11" s="21" t="s">
        <v>50</v>
      </c>
      <c r="K11" s="21" t="s">
        <v>73</v>
      </c>
      <c r="L11" s="21" t="s">
        <v>73</v>
      </c>
      <c r="M11" s="21" t="s">
        <v>92</v>
      </c>
    </row>
    <row r="12" spans="1:13" x14ac:dyDescent="0.25">
      <c r="A12" s="21" t="s">
        <v>65</v>
      </c>
      <c r="B12" s="21" t="s">
        <v>66</v>
      </c>
      <c r="C12" s="21" t="s">
        <v>67</v>
      </c>
      <c r="D12" s="21" t="s">
        <v>93</v>
      </c>
      <c r="E12" s="21" t="s">
        <v>94</v>
      </c>
      <c r="F12" s="21" t="s">
        <v>70</v>
      </c>
      <c r="G12" s="21" t="s">
        <v>71</v>
      </c>
      <c r="H12" s="21" t="s">
        <v>72</v>
      </c>
      <c r="I12" s="22">
        <v>1000</v>
      </c>
      <c r="J12" s="21" t="s">
        <v>50</v>
      </c>
      <c r="K12" s="21" t="s">
        <v>73</v>
      </c>
      <c r="L12" s="21" t="s">
        <v>73</v>
      </c>
      <c r="M12" s="21" t="s">
        <v>95</v>
      </c>
    </row>
    <row r="13" spans="1:13" x14ac:dyDescent="0.25">
      <c r="A13" s="21" t="s">
        <v>65</v>
      </c>
      <c r="B13" s="21" t="s">
        <v>66</v>
      </c>
      <c r="C13" s="21" t="s">
        <v>67</v>
      </c>
      <c r="D13" s="21" t="s">
        <v>96</v>
      </c>
      <c r="E13" s="21" t="s">
        <v>97</v>
      </c>
      <c r="F13" s="21" t="s">
        <v>70</v>
      </c>
      <c r="G13" s="21" t="s">
        <v>71</v>
      </c>
      <c r="H13" s="21" t="s">
        <v>72</v>
      </c>
      <c r="I13" s="22">
        <v>1000</v>
      </c>
      <c r="J13" s="21" t="s">
        <v>50</v>
      </c>
      <c r="K13" s="21" t="s">
        <v>73</v>
      </c>
      <c r="L13" s="21" t="s">
        <v>73</v>
      </c>
      <c r="M13" s="21" t="s">
        <v>98</v>
      </c>
    </row>
    <row r="14" spans="1:13" x14ac:dyDescent="0.25">
      <c r="A14" s="21" t="s">
        <v>65</v>
      </c>
      <c r="B14" s="21" t="s">
        <v>66</v>
      </c>
      <c r="C14" s="21" t="s">
        <v>67</v>
      </c>
      <c r="D14" s="21" t="s">
        <v>99</v>
      </c>
      <c r="E14" s="21" t="s">
        <v>100</v>
      </c>
      <c r="F14" s="21" t="s">
        <v>70</v>
      </c>
      <c r="G14" s="21" t="s">
        <v>71</v>
      </c>
      <c r="H14" s="21" t="s">
        <v>72</v>
      </c>
      <c r="I14" s="22">
        <v>1000</v>
      </c>
      <c r="J14" s="21" t="s">
        <v>50</v>
      </c>
      <c r="K14" s="21" t="s">
        <v>73</v>
      </c>
      <c r="L14" s="21" t="s">
        <v>73</v>
      </c>
      <c r="M14" s="21" t="s">
        <v>101</v>
      </c>
    </row>
    <row r="15" spans="1:13" x14ac:dyDescent="0.25">
      <c r="A15" s="21" t="s">
        <v>65</v>
      </c>
      <c r="B15" s="21" t="s">
        <v>66</v>
      </c>
      <c r="C15" s="21" t="s">
        <v>67</v>
      </c>
      <c r="D15" s="21" t="s">
        <v>102</v>
      </c>
      <c r="E15" s="21" t="s">
        <v>103</v>
      </c>
      <c r="F15" s="21" t="s">
        <v>70</v>
      </c>
      <c r="G15" s="21" t="s">
        <v>71</v>
      </c>
      <c r="H15" s="21" t="s">
        <v>72</v>
      </c>
      <c r="I15" s="22">
        <v>1000</v>
      </c>
      <c r="J15" s="21" t="s">
        <v>50</v>
      </c>
      <c r="K15" s="21" t="s">
        <v>73</v>
      </c>
      <c r="L15" s="21" t="s">
        <v>73</v>
      </c>
      <c r="M15" s="21" t="s">
        <v>104</v>
      </c>
    </row>
    <row r="16" spans="1:13" x14ac:dyDescent="0.25">
      <c r="A16" s="21" t="s">
        <v>65</v>
      </c>
      <c r="B16" s="21" t="s">
        <v>66</v>
      </c>
      <c r="C16" s="21" t="s">
        <v>67</v>
      </c>
      <c r="D16" s="21" t="s">
        <v>105</v>
      </c>
      <c r="E16" s="21" t="s">
        <v>106</v>
      </c>
      <c r="F16" s="21" t="s">
        <v>70</v>
      </c>
      <c r="G16" s="21" t="s">
        <v>71</v>
      </c>
      <c r="H16" s="21" t="s">
        <v>72</v>
      </c>
      <c r="I16" s="22">
        <v>1000</v>
      </c>
      <c r="J16" s="21" t="s">
        <v>50</v>
      </c>
      <c r="K16" s="21" t="s">
        <v>73</v>
      </c>
      <c r="L16" s="21" t="s">
        <v>73</v>
      </c>
      <c r="M16" s="21" t="s">
        <v>107</v>
      </c>
    </row>
    <row r="17" spans="1:13" x14ac:dyDescent="0.25">
      <c r="A17" s="21" t="s">
        <v>65</v>
      </c>
      <c r="B17" s="21" t="s">
        <v>66</v>
      </c>
      <c r="C17" s="21" t="s">
        <v>67</v>
      </c>
      <c r="D17" s="21" t="s">
        <v>108</v>
      </c>
      <c r="E17" s="21" t="s">
        <v>109</v>
      </c>
      <c r="F17" s="21" t="s">
        <v>70</v>
      </c>
      <c r="G17" s="21" t="s">
        <v>71</v>
      </c>
      <c r="H17" s="21" t="s">
        <v>72</v>
      </c>
      <c r="I17" s="22">
        <v>1000</v>
      </c>
      <c r="J17" s="21" t="s">
        <v>50</v>
      </c>
      <c r="K17" s="21" t="s">
        <v>73</v>
      </c>
      <c r="L17" s="21" t="s">
        <v>73</v>
      </c>
      <c r="M17" s="21" t="s">
        <v>110</v>
      </c>
    </row>
    <row r="18" spans="1:13" x14ac:dyDescent="0.25">
      <c r="A18" s="21" t="s">
        <v>65</v>
      </c>
      <c r="B18" s="21" t="s">
        <v>66</v>
      </c>
      <c r="C18" s="21" t="s">
        <v>67</v>
      </c>
      <c r="D18" s="21" t="s">
        <v>111</v>
      </c>
      <c r="E18" s="21" t="s">
        <v>112</v>
      </c>
      <c r="F18" s="21" t="s">
        <v>70</v>
      </c>
      <c r="G18" s="21" t="s">
        <v>71</v>
      </c>
      <c r="H18" s="21" t="s">
        <v>72</v>
      </c>
      <c r="I18" s="22">
        <v>1000</v>
      </c>
      <c r="J18" s="21" t="s">
        <v>50</v>
      </c>
      <c r="K18" s="21" t="s">
        <v>73</v>
      </c>
      <c r="L18" s="21" t="s">
        <v>73</v>
      </c>
      <c r="M18" s="21" t="s">
        <v>113</v>
      </c>
    </row>
    <row r="19" spans="1:13" x14ac:dyDescent="0.25">
      <c r="A19" s="21" t="s">
        <v>65</v>
      </c>
      <c r="B19" s="21" t="s">
        <v>66</v>
      </c>
      <c r="C19" s="21" t="s">
        <v>67</v>
      </c>
      <c r="D19" s="21" t="s">
        <v>114</v>
      </c>
      <c r="E19" s="21" t="s">
        <v>115</v>
      </c>
      <c r="F19" s="21" t="s">
        <v>70</v>
      </c>
      <c r="G19" s="21" t="s">
        <v>71</v>
      </c>
      <c r="H19" s="21" t="s">
        <v>72</v>
      </c>
      <c r="I19" s="22">
        <v>1000</v>
      </c>
      <c r="J19" s="21" t="s">
        <v>50</v>
      </c>
      <c r="K19" s="21" t="s">
        <v>73</v>
      </c>
      <c r="L19" s="21" t="s">
        <v>73</v>
      </c>
      <c r="M19" s="21" t="s">
        <v>116</v>
      </c>
    </row>
    <row r="20" spans="1:13" x14ac:dyDescent="0.25">
      <c r="A20" s="17" t="s">
        <v>117</v>
      </c>
      <c r="B20" s="17" t="s">
        <v>118</v>
      </c>
      <c r="C20" s="17" t="s">
        <v>119</v>
      </c>
      <c r="D20" s="17" t="s">
        <v>120</v>
      </c>
      <c r="E20" s="17" t="s">
        <v>121</v>
      </c>
      <c r="F20" s="17" t="s">
        <v>122</v>
      </c>
      <c r="G20" s="17" t="s">
        <v>122</v>
      </c>
      <c r="H20" s="17" t="s">
        <v>123</v>
      </c>
      <c r="I20" s="18">
        <v>500</v>
      </c>
      <c r="J20" s="17" t="s">
        <v>49</v>
      </c>
      <c r="K20" s="17" t="s">
        <v>73</v>
      </c>
      <c r="L20" s="17" t="s">
        <v>124</v>
      </c>
      <c r="M20" s="17" t="s">
        <v>125</v>
      </c>
    </row>
    <row r="21" spans="1:13" x14ac:dyDescent="0.25">
      <c r="A21" s="17" t="s">
        <v>117</v>
      </c>
      <c r="B21" s="17" t="s">
        <v>118</v>
      </c>
      <c r="C21" s="17" t="s">
        <v>119</v>
      </c>
      <c r="D21" s="17" t="s">
        <v>126</v>
      </c>
      <c r="E21" s="17" t="s">
        <v>127</v>
      </c>
      <c r="F21" s="17" t="s">
        <v>128</v>
      </c>
      <c r="G21" s="17" t="s">
        <v>129</v>
      </c>
      <c r="H21" s="17" t="s">
        <v>130</v>
      </c>
      <c r="I21" s="18">
        <v>500</v>
      </c>
      <c r="J21" s="17" t="s">
        <v>47</v>
      </c>
      <c r="K21" s="17" t="s">
        <v>73</v>
      </c>
      <c r="L21" s="17" t="s">
        <v>124</v>
      </c>
      <c r="M21" s="17" t="s">
        <v>131</v>
      </c>
    </row>
    <row r="22" spans="1:13" x14ac:dyDescent="0.25">
      <c r="A22" s="17" t="s">
        <v>117</v>
      </c>
      <c r="B22" s="17" t="s">
        <v>118</v>
      </c>
      <c r="C22" s="17" t="s">
        <v>119</v>
      </c>
      <c r="D22" s="17" t="s">
        <v>132</v>
      </c>
      <c r="E22" s="17" t="s">
        <v>133</v>
      </c>
      <c r="F22" s="17" t="s">
        <v>122</v>
      </c>
      <c r="G22" s="17" t="s">
        <v>122</v>
      </c>
      <c r="H22" s="17" t="s">
        <v>134</v>
      </c>
      <c r="I22" s="18">
        <v>2000</v>
      </c>
      <c r="J22" s="17" t="s">
        <v>49</v>
      </c>
      <c r="K22" s="17" t="s">
        <v>73</v>
      </c>
      <c r="L22" s="17" t="s">
        <v>124</v>
      </c>
      <c r="M22" s="17" t="s">
        <v>135</v>
      </c>
    </row>
    <row r="23" spans="1:13" x14ac:dyDescent="0.25">
      <c r="A23" s="17" t="s">
        <v>117</v>
      </c>
      <c r="B23" s="17" t="s">
        <v>118</v>
      </c>
      <c r="C23" s="17" t="s">
        <v>119</v>
      </c>
      <c r="D23" s="17" t="s">
        <v>136</v>
      </c>
      <c r="E23" s="17" t="s">
        <v>137</v>
      </c>
      <c r="F23" s="17" t="s">
        <v>122</v>
      </c>
      <c r="G23" s="17" t="s">
        <v>122</v>
      </c>
      <c r="H23" s="17" t="s">
        <v>138</v>
      </c>
      <c r="I23" s="18">
        <v>2000</v>
      </c>
      <c r="J23" s="17" t="s">
        <v>49</v>
      </c>
      <c r="K23" s="17" t="s">
        <v>73</v>
      </c>
      <c r="L23" s="17" t="s">
        <v>124</v>
      </c>
      <c r="M23" s="17" t="s">
        <v>139</v>
      </c>
    </row>
    <row r="24" spans="1:13" x14ac:dyDescent="0.25">
      <c r="A24" s="17" t="s">
        <v>117</v>
      </c>
      <c r="B24" s="17" t="s">
        <v>118</v>
      </c>
      <c r="C24" s="17" t="s">
        <v>119</v>
      </c>
      <c r="D24" s="17" t="s">
        <v>140</v>
      </c>
      <c r="E24" s="17" t="s">
        <v>141</v>
      </c>
      <c r="F24" s="17" t="s">
        <v>128</v>
      </c>
      <c r="G24" s="17" t="s">
        <v>122</v>
      </c>
      <c r="H24" s="17" t="s">
        <v>142</v>
      </c>
      <c r="I24" s="18">
        <v>1500</v>
      </c>
      <c r="J24" s="17" t="s">
        <v>49</v>
      </c>
      <c r="K24" s="17" t="s">
        <v>73</v>
      </c>
      <c r="L24" s="17" t="s">
        <v>124</v>
      </c>
      <c r="M24" s="17" t="s">
        <v>143</v>
      </c>
    </row>
    <row r="25" spans="1:13" x14ac:dyDescent="0.25">
      <c r="A25" s="17" t="s">
        <v>117</v>
      </c>
      <c r="B25" s="17" t="s">
        <v>118</v>
      </c>
      <c r="C25" s="17" t="s">
        <v>119</v>
      </c>
      <c r="D25" s="17" t="s">
        <v>144</v>
      </c>
      <c r="E25" s="17" t="s">
        <v>145</v>
      </c>
      <c r="F25" s="17" t="s">
        <v>146</v>
      </c>
      <c r="G25" s="17" t="s">
        <v>147</v>
      </c>
      <c r="H25" s="17" t="s">
        <v>148</v>
      </c>
      <c r="I25" s="18">
        <v>1000</v>
      </c>
      <c r="J25" s="17" t="s">
        <v>47</v>
      </c>
      <c r="K25" s="17" t="s">
        <v>73</v>
      </c>
      <c r="L25" s="17" t="s">
        <v>124</v>
      </c>
      <c r="M25" s="17" t="s">
        <v>149</v>
      </c>
    </row>
    <row r="26" spans="1:13" x14ac:dyDescent="0.25">
      <c r="A26" s="17" t="s">
        <v>117</v>
      </c>
      <c r="B26" s="17" t="s">
        <v>118</v>
      </c>
      <c r="C26" s="17" t="s">
        <v>119</v>
      </c>
      <c r="D26" s="17" t="s">
        <v>150</v>
      </c>
      <c r="E26" s="17" t="s">
        <v>151</v>
      </c>
      <c r="F26" s="17" t="s">
        <v>146</v>
      </c>
      <c r="G26" s="17" t="s">
        <v>122</v>
      </c>
      <c r="H26" s="17" t="s">
        <v>152</v>
      </c>
      <c r="I26" s="18">
        <v>1000</v>
      </c>
      <c r="J26" s="17" t="s">
        <v>47</v>
      </c>
      <c r="K26" s="17" t="s">
        <v>73</v>
      </c>
      <c r="L26" s="17" t="s">
        <v>124</v>
      </c>
      <c r="M26" s="17" t="s">
        <v>153</v>
      </c>
    </row>
    <row r="27" spans="1:13" x14ac:dyDescent="0.25">
      <c r="A27" s="17" t="s">
        <v>117</v>
      </c>
      <c r="B27" s="17" t="s">
        <v>118</v>
      </c>
      <c r="C27" s="17" t="s">
        <v>119</v>
      </c>
      <c r="D27" s="17" t="s">
        <v>150</v>
      </c>
      <c r="E27" s="17" t="s">
        <v>151</v>
      </c>
      <c r="F27" s="17" t="s">
        <v>122</v>
      </c>
      <c r="G27" s="17" t="s">
        <v>122</v>
      </c>
      <c r="H27" s="17" t="s">
        <v>152</v>
      </c>
      <c r="I27" s="18">
        <v>1000</v>
      </c>
      <c r="J27" s="17" t="s">
        <v>47</v>
      </c>
      <c r="K27" s="17" t="s">
        <v>73</v>
      </c>
      <c r="L27" s="17" t="s">
        <v>124</v>
      </c>
      <c r="M27" s="17" t="s">
        <v>154</v>
      </c>
    </row>
    <row r="28" spans="1:13" x14ac:dyDescent="0.25">
      <c r="A28" s="17" t="s">
        <v>117</v>
      </c>
      <c r="B28" s="17" t="s">
        <v>118</v>
      </c>
      <c r="C28" s="17" t="s">
        <v>119</v>
      </c>
      <c r="D28" s="17" t="s">
        <v>144</v>
      </c>
      <c r="E28" s="17" t="s">
        <v>145</v>
      </c>
      <c r="F28" s="17" t="s">
        <v>122</v>
      </c>
      <c r="G28" s="17" t="s">
        <v>147</v>
      </c>
      <c r="H28" s="17" t="s">
        <v>148</v>
      </c>
      <c r="I28" s="18">
        <v>1000</v>
      </c>
      <c r="J28" s="17" t="s">
        <v>47</v>
      </c>
      <c r="K28" s="17" t="s">
        <v>73</v>
      </c>
      <c r="L28" s="17" t="s">
        <v>124</v>
      </c>
      <c r="M28" s="17" t="s">
        <v>155</v>
      </c>
    </row>
    <row r="29" spans="1:13" x14ac:dyDescent="0.25">
      <c r="A29" s="17" t="s">
        <v>117</v>
      </c>
      <c r="B29" s="17" t="s">
        <v>118</v>
      </c>
      <c r="C29" s="17" t="s">
        <v>119</v>
      </c>
      <c r="D29" s="17" t="s">
        <v>156</v>
      </c>
      <c r="E29" s="17" t="s">
        <v>157</v>
      </c>
      <c r="F29" s="17" t="s">
        <v>122</v>
      </c>
      <c r="G29" s="17" t="s">
        <v>122</v>
      </c>
      <c r="H29" s="17" t="s">
        <v>158</v>
      </c>
      <c r="I29" s="18">
        <v>1000</v>
      </c>
      <c r="J29" s="17" t="s">
        <v>49</v>
      </c>
      <c r="K29" s="17" t="s">
        <v>73</v>
      </c>
      <c r="L29" s="17" t="s">
        <v>124</v>
      </c>
      <c r="M29" s="17" t="s">
        <v>159</v>
      </c>
    </row>
    <row r="30" spans="1:13" x14ac:dyDescent="0.25">
      <c r="A30" s="17" t="s">
        <v>117</v>
      </c>
      <c r="B30" s="17" t="s">
        <v>118</v>
      </c>
      <c r="C30" s="17" t="s">
        <v>119</v>
      </c>
      <c r="D30" s="17" t="s">
        <v>160</v>
      </c>
      <c r="E30" s="17" t="s">
        <v>161</v>
      </c>
      <c r="F30" s="17" t="s">
        <v>147</v>
      </c>
      <c r="G30" s="17" t="s">
        <v>162</v>
      </c>
      <c r="H30" s="17" t="s">
        <v>163</v>
      </c>
      <c r="I30" s="18">
        <v>1000</v>
      </c>
      <c r="J30" s="17" t="s">
        <v>47</v>
      </c>
      <c r="K30" s="17" t="s">
        <v>73</v>
      </c>
      <c r="L30" s="17" t="s">
        <v>164</v>
      </c>
      <c r="M30" s="17" t="s">
        <v>165</v>
      </c>
    </row>
    <row r="31" spans="1:13" x14ac:dyDescent="0.25">
      <c r="A31" s="17" t="s">
        <v>117</v>
      </c>
      <c r="B31" s="17" t="s">
        <v>118</v>
      </c>
      <c r="C31" s="17" t="s">
        <v>119</v>
      </c>
      <c r="D31" s="17" t="s">
        <v>166</v>
      </c>
      <c r="E31" s="17" t="s">
        <v>167</v>
      </c>
      <c r="F31" s="17" t="s">
        <v>122</v>
      </c>
      <c r="G31" s="17" t="s">
        <v>147</v>
      </c>
      <c r="H31" s="17" t="s">
        <v>168</v>
      </c>
      <c r="I31" s="18">
        <v>1000</v>
      </c>
      <c r="J31" s="17" t="s">
        <v>47</v>
      </c>
      <c r="K31" s="17" t="s">
        <v>73</v>
      </c>
      <c r="L31" s="17" t="s">
        <v>124</v>
      </c>
      <c r="M31" s="17" t="s">
        <v>169</v>
      </c>
    </row>
    <row r="32" spans="1:13" x14ac:dyDescent="0.25">
      <c r="A32" s="17" t="s">
        <v>117</v>
      </c>
      <c r="B32" s="17" t="s">
        <v>118</v>
      </c>
      <c r="C32" s="17" t="s">
        <v>119</v>
      </c>
      <c r="D32" s="17" t="s">
        <v>170</v>
      </c>
      <c r="E32" s="17" t="s">
        <v>171</v>
      </c>
      <c r="F32" s="17" t="s">
        <v>146</v>
      </c>
      <c r="G32" s="17" t="s">
        <v>122</v>
      </c>
      <c r="H32" s="17" t="s">
        <v>172</v>
      </c>
      <c r="I32" s="18">
        <v>1000</v>
      </c>
      <c r="J32" s="17" t="s">
        <v>47</v>
      </c>
      <c r="K32" s="17" t="s">
        <v>73</v>
      </c>
      <c r="L32" s="17" t="s">
        <v>124</v>
      </c>
      <c r="M32" s="17" t="s">
        <v>173</v>
      </c>
    </row>
    <row r="33" spans="1:13" x14ac:dyDescent="0.25">
      <c r="A33" s="17" t="s">
        <v>117</v>
      </c>
      <c r="B33" s="17" t="s">
        <v>118</v>
      </c>
      <c r="C33" s="17" t="s">
        <v>119</v>
      </c>
      <c r="D33" s="17" t="s">
        <v>174</v>
      </c>
      <c r="E33" s="17" t="s">
        <v>175</v>
      </c>
      <c r="F33" s="17" t="s">
        <v>128</v>
      </c>
      <c r="G33" s="17" t="s">
        <v>122</v>
      </c>
      <c r="H33" s="17" t="s">
        <v>176</v>
      </c>
      <c r="I33" s="18">
        <v>1000</v>
      </c>
      <c r="J33" s="17" t="s">
        <v>47</v>
      </c>
      <c r="K33" s="17" t="s">
        <v>73</v>
      </c>
      <c r="L33" s="17" t="s">
        <v>124</v>
      </c>
      <c r="M33" s="17" t="s">
        <v>177</v>
      </c>
    </row>
    <row r="34" spans="1:13" x14ac:dyDescent="0.25">
      <c r="A34" s="17" t="s">
        <v>117</v>
      </c>
      <c r="B34" s="17" t="s">
        <v>118</v>
      </c>
      <c r="C34" s="17" t="s">
        <v>119</v>
      </c>
      <c r="D34" s="17" t="s">
        <v>178</v>
      </c>
      <c r="E34" s="17" t="s">
        <v>179</v>
      </c>
      <c r="F34" s="17" t="s">
        <v>128</v>
      </c>
      <c r="G34" s="17" t="s">
        <v>147</v>
      </c>
      <c r="H34" s="17" t="s">
        <v>180</v>
      </c>
      <c r="I34" s="18">
        <v>1000</v>
      </c>
      <c r="J34" s="17" t="s">
        <v>47</v>
      </c>
      <c r="K34" s="17" t="s">
        <v>73</v>
      </c>
      <c r="L34" s="17" t="s">
        <v>124</v>
      </c>
      <c r="M34" s="17" t="s">
        <v>181</v>
      </c>
    </row>
    <row r="35" spans="1:13" x14ac:dyDescent="0.25">
      <c r="A35" s="17" t="s">
        <v>117</v>
      </c>
      <c r="B35" s="17" t="s">
        <v>118</v>
      </c>
      <c r="C35" s="17" t="s">
        <v>119</v>
      </c>
      <c r="D35" s="17" t="s">
        <v>182</v>
      </c>
      <c r="E35" s="17" t="s">
        <v>183</v>
      </c>
      <c r="F35" s="17" t="s">
        <v>128</v>
      </c>
      <c r="G35" s="17" t="s">
        <v>147</v>
      </c>
      <c r="H35" s="17" t="s">
        <v>184</v>
      </c>
      <c r="I35" s="18">
        <v>1000</v>
      </c>
      <c r="J35" s="17" t="s">
        <v>49</v>
      </c>
      <c r="K35" s="17" t="s">
        <v>73</v>
      </c>
      <c r="L35" s="17" t="s">
        <v>124</v>
      </c>
      <c r="M35" s="17" t="s">
        <v>185</v>
      </c>
    </row>
    <row r="36" spans="1:13" x14ac:dyDescent="0.25">
      <c r="A36" s="17" t="s">
        <v>117</v>
      </c>
      <c r="B36" s="17" t="s">
        <v>118</v>
      </c>
      <c r="C36" s="17" t="s">
        <v>119</v>
      </c>
      <c r="D36" s="17" t="s">
        <v>186</v>
      </c>
      <c r="E36" s="17" t="s">
        <v>187</v>
      </c>
      <c r="F36" s="17" t="s">
        <v>147</v>
      </c>
      <c r="G36" s="17" t="s">
        <v>147</v>
      </c>
      <c r="H36" s="17" t="s">
        <v>188</v>
      </c>
      <c r="I36" s="18">
        <v>1000</v>
      </c>
      <c r="J36" s="17" t="s">
        <v>47</v>
      </c>
      <c r="K36" s="17" t="s">
        <v>73</v>
      </c>
      <c r="L36" s="17" t="s">
        <v>124</v>
      </c>
      <c r="M36" s="17" t="s">
        <v>189</v>
      </c>
    </row>
    <row r="37" spans="1:13" x14ac:dyDescent="0.25">
      <c r="A37" s="17" t="s">
        <v>117</v>
      </c>
      <c r="B37" s="17" t="s">
        <v>118</v>
      </c>
      <c r="C37" s="17" t="s">
        <v>119</v>
      </c>
      <c r="D37" s="17" t="s">
        <v>190</v>
      </c>
      <c r="E37" s="17" t="s">
        <v>191</v>
      </c>
      <c r="F37" s="17" t="s">
        <v>147</v>
      </c>
      <c r="G37" s="17" t="s">
        <v>147</v>
      </c>
      <c r="H37" s="17" t="s">
        <v>192</v>
      </c>
      <c r="I37" s="18">
        <v>1000</v>
      </c>
      <c r="J37" s="17" t="s">
        <v>47</v>
      </c>
      <c r="K37" s="17" t="s">
        <v>73</v>
      </c>
      <c r="L37" s="17" t="s">
        <v>124</v>
      </c>
      <c r="M37" s="17" t="s">
        <v>193</v>
      </c>
    </row>
    <row r="38" spans="1:13" x14ac:dyDescent="0.25">
      <c r="A38" s="17" t="s">
        <v>117</v>
      </c>
      <c r="B38" s="17" t="s">
        <v>118</v>
      </c>
      <c r="C38" s="17" t="s">
        <v>119</v>
      </c>
      <c r="D38" s="17" t="s">
        <v>194</v>
      </c>
      <c r="E38" s="17" t="s">
        <v>195</v>
      </c>
      <c r="F38" s="17" t="s">
        <v>122</v>
      </c>
      <c r="G38" s="17" t="s">
        <v>147</v>
      </c>
      <c r="H38" s="17" t="s">
        <v>184</v>
      </c>
      <c r="I38" s="18">
        <v>1000</v>
      </c>
      <c r="J38" s="17" t="s">
        <v>49</v>
      </c>
      <c r="K38" s="17" t="s">
        <v>73</v>
      </c>
      <c r="L38" s="17" t="s">
        <v>124</v>
      </c>
      <c r="M38" s="17" t="s">
        <v>196</v>
      </c>
    </row>
    <row r="39" spans="1:13" x14ac:dyDescent="0.25">
      <c r="A39" s="17" t="s">
        <v>117</v>
      </c>
      <c r="B39" s="17" t="s">
        <v>118</v>
      </c>
      <c r="C39" s="17" t="s">
        <v>119</v>
      </c>
      <c r="D39" s="17" t="s">
        <v>197</v>
      </c>
      <c r="E39" s="17" t="s">
        <v>198</v>
      </c>
      <c r="F39" s="17" t="s">
        <v>128</v>
      </c>
      <c r="G39" s="17" t="s">
        <v>122</v>
      </c>
      <c r="H39" s="17" t="s">
        <v>199</v>
      </c>
      <c r="I39" s="18">
        <v>1000</v>
      </c>
      <c r="J39" s="17" t="s">
        <v>47</v>
      </c>
      <c r="K39" s="17" t="s">
        <v>73</v>
      </c>
      <c r="L39" s="17" t="s">
        <v>124</v>
      </c>
      <c r="M39" s="17" t="s">
        <v>200</v>
      </c>
    </row>
    <row r="40" spans="1:13" x14ac:dyDescent="0.25">
      <c r="A40" s="17" t="s">
        <v>117</v>
      </c>
      <c r="B40" s="17" t="s">
        <v>118</v>
      </c>
      <c r="C40" s="17" t="s">
        <v>119</v>
      </c>
      <c r="D40" s="17" t="s">
        <v>201</v>
      </c>
      <c r="E40" s="17" t="s">
        <v>202</v>
      </c>
      <c r="F40" s="17" t="s">
        <v>128</v>
      </c>
      <c r="G40" s="17" t="s">
        <v>147</v>
      </c>
      <c r="H40" s="17" t="s">
        <v>180</v>
      </c>
      <c r="I40" s="18">
        <v>1000</v>
      </c>
      <c r="J40" s="17" t="s">
        <v>49</v>
      </c>
      <c r="K40" s="17" t="s">
        <v>73</v>
      </c>
      <c r="L40" s="17" t="s">
        <v>124</v>
      </c>
      <c r="M40" s="17" t="s">
        <v>203</v>
      </c>
    </row>
    <row r="41" spans="1:13" x14ac:dyDescent="0.25">
      <c r="A41" s="17" t="s">
        <v>117</v>
      </c>
      <c r="B41" s="17" t="s">
        <v>118</v>
      </c>
      <c r="C41" s="17" t="s">
        <v>119</v>
      </c>
      <c r="D41" s="17" t="s">
        <v>204</v>
      </c>
      <c r="E41" s="17" t="s">
        <v>205</v>
      </c>
      <c r="F41" s="17" t="s">
        <v>122</v>
      </c>
      <c r="G41" s="17" t="s">
        <v>122</v>
      </c>
      <c r="H41" s="17" t="s">
        <v>142</v>
      </c>
      <c r="I41" s="18">
        <v>1000</v>
      </c>
      <c r="J41" s="17" t="s">
        <v>49</v>
      </c>
      <c r="K41" s="17" t="s">
        <v>73</v>
      </c>
      <c r="L41" s="17" t="s">
        <v>124</v>
      </c>
      <c r="M41" s="17" t="s">
        <v>206</v>
      </c>
    </row>
    <row r="42" spans="1:13" x14ac:dyDescent="0.25">
      <c r="A42" s="17" t="s">
        <v>117</v>
      </c>
      <c r="B42" s="17" t="s">
        <v>118</v>
      </c>
      <c r="C42" s="17" t="s">
        <v>119</v>
      </c>
      <c r="D42" s="17" t="s">
        <v>207</v>
      </c>
      <c r="E42" s="17" t="s">
        <v>208</v>
      </c>
      <c r="F42" s="17" t="s">
        <v>128</v>
      </c>
      <c r="G42" s="17" t="s">
        <v>122</v>
      </c>
      <c r="H42" s="17" t="s">
        <v>209</v>
      </c>
      <c r="I42" s="18">
        <v>1</v>
      </c>
      <c r="J42" s="17" t="s">
        <v>49</v>
      </c>
      <c r="K42" s="17" t="s">
        <v>73</v>
      </c>
      <c r="L42" s="17" t="s">
        <v>124</v>
      </c>
      <c r="M42" s="17" t="s">
        <v>210</v>
      </c>
    </row>
    <row r="43" spans="1:13" x14ac:dyDescent="0.25">
      <c r="A43" s="23" t="s">
        <v>211</v>
      </c>
      <c r="B43" s="23" t="s">
        <v>212</v>
      </c>
      <c r="C43" s="23" t="s">
        <v>213</v>
      </c>
      <c r="D43" s="23" t="s">
        <v>214</v>
      </c>
      <c r="E43" s="23" t="s">
        <v>215</v>
      </c>
      <c r="F43" s="23" t="s">
        <v>128</v>
      </c>
      <c r="G43" s="23" t="s">
        <v>122</v>
      </c>
      <c r="H43" s="23" t="s">
        <v>216</v>
      </c>
      <c r="I43" s="24">
        <v>2000</v>
      </c>
      <c r="J43" s="23" t="s">
        <v>46</v>
      </c>
      <c r="K43" s="23" t="s">
        <v>124</v>
      </c>
      <c r="L43" s="23" t="s">
        <v>124</v>
      </c>
      <c r="M43" s="23" t="s">
        <v>217</v>
      </c>
    </row>
    <row r="44" spans="1:13" x14ac:dyDescent="0.25">
      <c r="A44" s="23" t="s">
        <v>211</v>
      </c>
      <c r="B44" s="23" t="s">
        <v>212</v>
      </c>
      <c r="C44" s="23" t="s">
        <v>213</v>
      </c>
      <c r="D44" s="23" t="s">
        <v>218</v>
      </c>
      <c r="E44" s="23" t="s">
        <v>219</v>
      </c>
      <c r="F44" s="23" t="s">
        <v>129</v>
      </c>
      <c r="G44" s="23" t="s">
        <v>129</v>
      </c>
      <c r="H44" s="23" t="s">
        <v>220</v>
      </c>
      <c r="I44" s="24">
        <v>2000</v>
      </c>
      <c r="J44" s="23" t="s">
        <v>52</v>
      </c>
      <c r="K44" s="23" t="s">
        <v>124</v>
      </c>
      <c r="L44" s="23" t="s">
        <v>124</v>
      </c>
      <c r="M44" s="23" t="s">
        <v>221</v>
      </c>
    </row>
    <row r="45" spans="1:13" x14ac:dyDescent="0.25">
      <c r="A45" s="23" t="s">
        <v>211</v>
      </c>
      <c r="B45" s="23" t="s">
        <v>212</v>
      </c>
      <c r="C45" s="23" t="s">
        <v>213</v>
      </c>
      <c r="D45" s="23" t="s">
        <v>218</v>
      </c>
      <c r="E45" s="23" t="s">
        <v>219</v>
      </c>
      <c r="F45" s="23" t="s">
        <v>147</v>
      </c>
      <c r="G45" s="23" t="s">
        <v>147</v>
      </c>
      <c r="H45" s="23" t="s">
        <v>222</v>
      </c>
      <c r="I45" s="24">
        <v>2000</v>
      </c>
      <c r="J45" s="23" t="s">
        <v>52</v>
      </c>
      <c r="K45" s="23" t="s">
        <v>124</v>
      </c>
      <c r="L45" s="23" t="s">
        <v>124</v>
      </c>
      <c r="M45" s="23" t="s">
        <v>223</v>
      </c>
    </row>
    <row r="46" spans="1:13" x14ac:dyDescent="0.25">
      <c r="A46" s="23" t="s">
        <v>211</v>
      </c>
      <c r="B46" s="23" t="s">
        <v>212</v>
      </c>
      <c r="C46" s="23" t="s">
        <v>213</v>
      </c>
      <c r="D46" s="23" t="s">
        <v>224</v>
      </c>
      <c r="E46" s="23" t="s">
        <v>225</v>
      </c>
      <c r="F46" s="23" t="s">
        <v>128</v>
      </c>
      <c r="G46" s="23" t="s">
        <v>122</v>
      </c>
      <c r="H46" s="23" t="s">
        <v>216</v>
      </c>
      <c r="I46" s="24">
        <v>2000</v>
      </c>
      <c r="J46" s="23" t="s">
        <v>46</v>
      </c>
      <c r="K46" s="23" t="s">
        <v>124</v>
      </c>
      <c r="L46" s="23" t="s">
        <v>124</v>
      </c>
      <c r="M46" s="23" t="s">
        <v>226</v>
      </c>
    </row>
    <row r="47" spans="1:13" x14ac:dyDescent="0.25">
      <c r="A47" s="23" t="s">
        <v>211</v>
      </c>
      <c r="B47" s="23" t="s">
        <v>212</v>
      </c>
      <c r="C47" s="23" t="s">
        <v>213</v>
      </c>
      <c r="D47" s="23" t="s">
        <v>227</v>
      </c>
      <c r="E47" s="23" t="s">
        <v>228</v>
      </c>
      <c r="F47" s="23" t="s">
        <v>128</v>
      </c>
      <c r="G47" s="23" t="s">
        <v>122</v>
      </c>
      <c r="H47" s="23" t="s">
        <v>216</v>
      </c>
      <c r="I47" s="24">
        <v>2000</v>
      </c>
      <c r="J47" s="23" t="s">
        <v>46</v>
      </c>
      <c r="K47" s="23" t="s">
        <v>124</v>
      </c>
      <c r="L47" s="23" t="s">
        <v>124</v>
      </c>
      <c r="M47" s="23" t="s">
        <v>229</v>
      </c>
    </row>
    <row r="48" spans="1:13" x14ac:dyDescent="0.25">
      <c r="A48" s="23" t="s">
        <v>211</v>
      </c>
      <c r="B48" s="23" t="s">
        <v>212</v>
      </c>
      <c r="C48" s="23" t="s">
        <v>213</v>
      </c>
      <c r="D48" s="23" t="s">
        <v>230</v>
      </c>
      <c r="E48" s="23" t="s">
        <v>231</v>
      </c>
      <c r="F48" s="23" t="s">
        <v>128</v>
      </c>
      <c r="G48" s="23" t="s">
        <v>122</v>
      </c>
      <c r="H48" s="23" t="s">
        <v>216</v>
      </c>
      <c r="I48" s="24">
        <v>2000</v>
      </c>
      <c r="J48" s="23" t="s">
        <v>46</v>
      </c>
      <c r="K48" s="23" t="s">
        <v>124</v>
      </c>
      <c r="L48" s="23" t="s">
        <v>124</v>
      </c>
      <c r="M48" s="23" t="s">
        <v>232</v>
      </c>
    </row>
    <row r="49" spans="1:13" x14ac:dyDescent="0.25">
      <c r="A49" s="23" t="s">
        <v>211</v>
      </c>
      <c r="B49" s="23" t="s">
        <v>212</v>
      </c>
      <c r="C49" s="23" t="s">
        <v>213</v>
      </c>
      <c r="D49" s="23" t="s">
        <v>233</v>
      </c>
      <c r="E49" s="23" t="s">
        <v>234</v>
      </c>
      <c r="F49" s="23" t="s">
        <v>128</v>
      </c>
      <c r="G49" s="23" t="s">
        <v>122</v>
      </c>
      <c r="H49" s="23" t="s">
        <v>216</v>
      </c>
      <c r="I49" s="24">
        <v>2000</v>
      </c>
      <c r="J49" s="23" t="s">
        <v>46</v>
      </c>
      <c r="K49" s="23" t="s">
        <v>124</v>
      </c>
      <c r="L49" s="23" t="s">
        <v>124</v>
      </c>
      <c r="M49" s="23" t="s">
        <v>235</v>
      </c>
    </row>
    <row r="50" spans="1:13" x14ac:dyDescent="0.25">
      <c r="A50" s="23" t="s">
        <v>211</v>
      </c>
      <c r="B50" s="23" t="s">
        <v>212</v>
      </c>
      <c r="C50" s="23" t="s">
        <v>213</v>
      </c>
      <c r="D50" s="23" t="s">
        <v>236</v>
      </c>
      <c r="E50" s="23" t="s">
        <v>237</v>
      </c>
      <c r="F50" s="23" t="s">
        <v>128</v>
      </c>
      <c r="G50" s="23" t="s">
        <v>122</v>
      </c>
      <c r="H50" s="23" t="s">
        <v>216</v>
      </c>
      <c r="I50" s="24">
        <v>2000</v>
      </c>
      <c r="J50" s="23" t="s">
        <v>46</v>
      </c>
      <c r="K50" s="23" t="s">
        <v>124</v>
      </c>
      <c r="L50" s="23" t="s">
        <v>124</v>
      </c>
      <c r="M50" s="23" t="s">
        <v>238</v>
      </c>
    </row>
    <row r="51" spans="1:13" x14ac:dyDescent="0.25">
      <c r="A51" s="23" t="s">
        <v>211</v>
      </c>
      <c r="B51" s="23" t="s">
        <v>212</v>
      </c>
      <c r="C51" s="23" t="s">
        <v>213</v>
      </c>
      <c r="D51" s="23" t="s">
        <v>239</v>
      </c>
      <c r="E51" s="23" t="s">
        <v>240</v>
      </c>
      <c r="F51" s="23" t="s">
        <v>128</v>
      </c>
      <c r="G51" s="23" t="s">
        <v>122</v>
      </c>
      <c r="H51" s="23" t="s">
        <v>241</v>
      </c>
      <c r="I51" s="24">
        <v>2000</v>
      </c>
      <c r="J51" s="23" t="s">
        <v>46</v>
      </c>
      <c r="K51" s="23" t="s">
        <v>124</v>
      </c>
      <c r="L51" s="23" t="s">
        <v>124</v>
      </c>
      <c r="M51" s="23" t="s">
        <v>242</v>
      </c>
    </row>
    <row r="52" spans="1:13" x14ac:dyDescent="0.25">
      <c r="A52" s="23" t="s">
        <v>211</v>
      </c>
      <c r="B52" s="23" t="s">
        <v>212</v>
      </c>
      <c r="C52" s="23" t="s">
        <v>213</v>
      </c>
      <c r="D52" s="23" t="s">
        <v>243</v>
      </c>
      <c r="E52" s="23" t="s">
        <v>244</v>
      </c>
      <c r="F52" s="23" t="s">
        <v>128</v>
      </c>
      <c r="G52" s="23" t="s">
        <v>122</v>
      </c>
      <c r="H52" s="23" t="s">
        <v>216</v>
      </c>
      <c r="I52" s="24">
        <v>2000</v>
      </c>
      <c r="J52" s="23" t="s">
        <v>51</v>
      </c>
      <c r="K52" s="23" t="s">
        <v>124</v>
      </c>
      <c r="L52" s="23" t="s">
        <v>124</v>
      </c>
      <c r="M52" s="23" t="s">
        <v>245</v>
      </c>
    </row>
    <row r="53" spans="1:13" x14ac:dyDescent="0.25">
      <c r="A53" s="23" t="s">
        <v>211</v>
      </c>
      <c r="B53" s="23" t="s">
        <v>212</v>
      </c>
      <c r="C53" s="23" t="s">
        <v>213</v>
      </c>
      <c r="D53" s="23" t="s">
        <v>246</v>
      </c>
      <c r="E53" s="23" t="s">
        <v>247</v>
      </c>
      <c r="F53" s="23" t="s">
        <v>128</v>
      </c>
      <c r="G53" s="23" t="s">
        <v>122</v>
      </c>
      <c r="H53" s="23" t="s">
        <v>216</v>
      </c>
      <c r="I53" s="24">
        <v>2000</v>
      </c>
      <c r="J53" s="23" t="s">
        <v>46</v>
      </c>
      <c r="K53" s="23" t="s">
        <v>124</v>
      </c>
      <c r="L53" s="23" t="s">
        <v>124</v>
      </c>
      <c r="M53" s="23" t="s">
        <v>248</v>
      </c>
    </row>
    <row r="54" spans="1:13" x14ac:dyDescent="0.25">
      <c r="A54" s="23" t="s">
        <v>211</v>
      </c>
      <c r="B54" s="23" t="s">
        <v>212</v>
      </c>
      <c r="C54" s="23" t="s">
        <v>213</v>
      </c>
      <c r="D54" s="23" t="s">
        <v>249</v>
      </c>
      <c r="E54" s="23" t="s">
        <v>250</v>
      </c>
      <c r="F54" s="23" t="s">
        <v>128</v>
      </c>
      <c r="G54" s="23" t="s">
        <v>122</v>
      </c>
      <c r="H54" s="23" t="s">
        <v>216</v>
      </c>
      <c r="I54" s="24">
        <v>2000</v>
      </c>
      <c r="J54" s="23" t="s">
        <v>46</v>
      </c>
      <c r="K54" s="23" t="s">
        <v>124</v>
      </c>
      <c r="L54" s="23" t="s">
        <v>124</v>
      </c>
      <c r="M54" s="23" t="s">
        <v>251</v>
      </c>
    </row>
    <row r="55" spans="1:13" x14ac:dyDescent="0.25">
      <c r="A55" s="23" t="s">
        <v>211</v>
      </c>
      <c r="B55" s="23" t="s">
        <v>212</v>
      </c>
      <c r="C55" s="23" t="s">
        <v>213</v>
      </c>
      <c r="D55" s="23" t="s">
        <v>252</v>
      </c>
      <c r="E55" s="23" t="s">
        <v>253</v>
      </c>
      <c r="F55" s="23" t="s">
        <v>128</v>
      </c>
      <c r="G55" s="23" t="s">
        <v>122</v>
      </c>
      <c r="H55" s="23" t="s">
        <v>142</v>
      </c>
      <c r="I55" s="24">
        <v>2000</v>
      </c>
      <c r="J55" s="23" t="s">
        <v>51</v>
      </c>
      <c r="K55" s="23" t="s">
        <v>124</v>
      </c>
      <c r="L55" s="23" t="s">
        <v>124</v>
      </c>
      <c r="M55" s="23" t="s">
        <v>254</v>
      </c>
    </row>
    <row r="56" spans="1:13" x14ac:dyDescent="0.25">
      <c r="A56" s="23" t="s">
        <v>211</v>
      </c>
      <c r="B56" s="23" t="s">
        <v>212</v>
      </c>
      <c r="C56" s="23" t="s">
        <v>213</v>
      </c>
      <c r="D56" s="23" t="s">
        <v>255</v>
      </c>
      <c r="E56" s="23" t="s">
        <v>256</v>
      </c>
      <c r="F56" s="23" t="s">
        <v>146</v>
      </c>
      <c r="G56" s="23" t="s">
        <v>122</v>
      </c>
      <c r="H56" s="23" t="s">
        <v>216</v>
      </c>
      <c r="I56" s="24">
        <v>2000</v>
      </c>
      <c r="J56" s="23" t="s">
        <v>47</v>
      </c>
      <c r="K56" s="23" t="s">
        <v>124</v>
      </c>
      <c r="L56" s="23" t="s">
        <v>124</v>
      </c>
      <c r="M56" s="23" t="s">
        <v>257</v>
      </c>
    </row>
    <row r="57" spans="1:13" x14ac:dyDescent="0.25">
      <c r="A57" s="23" t="s">
        <v>211</v>
      </c>
      <c r="B57" s="23" t="s">
        <v>212</v>
      </c>
      <c r="C57" s="23" t="s">
        <v>213</v>
      </c>
      <c r="D57" s="23" t="s">
        <v>258</v>
      </c>
      <c r="E57" s="23" t="s">
        <v>259</v>
      </c>
      <c r="F57" s="23" t="s">
        <v>128</v>
      </c>
      <c r="G57" s="23" t="s">
        <v>122</v>
      </c>
      <c r="H57" s="23" t="s">
        <v>216</v>
      </c>
      <c r="I57" s="24">
        <v>2000</v>
      </c>
      <c r="J57" s="23" t="s">
        <v>46</v>
      </c>
      <c r="K57" s="23" t="s">
        <v>124</v>
      </c>
      <c r="L57" s="23" t="s">
        <v>124</v>
      </c>
      <c r="M57" s="23" t="s">
        <v>260</v>
      </c>
    </row>
    <row r="58" spans="1:13" x14ac:dyDescent="0.25">
      <c r="A58" s="23" t="s">
        <v>211</v>
      </c>
      <c r="B58" s="23" t="s">
        <v>212</v>
      </c>
      <c r="C58" s="23" t="s">
        <v>213</v>
      </c>
      <c r="D58" s="23" t="s">
        <v>255</v>
      </c>
      <c r="E58" s="23" t="s">
        <v>256</v>
      </c>
      <c r="F58" s="23" t="s">
        <v>128</v>
      </c>
      <c r="G58" s="23" t="s">
        <v>122</v>
      </c>
      <c r="H58" s="23" t="s">
        <v>216</v>
      </c>
      <c r="I58" s="24">
        <v>2000</v>
      </c>
      <c r="J58" s="23" t="s">
        <v>47</v>
      </c>
      <c r="K58" s="23" t="s">
        <v>124</v>
      </c>
      <c r="L58" s="23" t="s">
        <v>124</v>
      </c>
      <c r="M58" s="23" t="s">
        <v>261</v>
      </c>
    </row>
  </sheetData>
  <autoFilter ref="A3:M3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4" width="16" style="16" customWidth="1"/>
  </cols>
  <sheetData>
    <row r="1" spans="1:4" s="25" customFormat="1" x14ac:dyDescent="0.25">
      <c r="A1" s="26" t="s">
        <v>262</v>
      </c>
      <c r="B1" s="26"/>
      <c r="C1" s="26"/>
      <c r="D1" s="26"/>
    </row>
    <row r="2" spans="1:4" s="27" customFormat="1" x14ac:dyDescent="0.25">
      <c r="A2" s="28" t="s">
        <v>37</v>
      </c>
      <c r="B2" s="28"/>
      <c r="C2" s="28"/>
      <c r="D2" s="28"/>
    </row>
    <row r="3" ht="20" customHeight="1" spans="1:4" x14ac:dyDescent="0.25">
      <c r="A3" s="32" t="s">
        <v>263</v>
      </c>
      <c r="B3" s="33" t="s">
        <v>264</v>
      </c>
      <c r="C3" s="33" t="s">
        <v>265</v>
      </c>
      <c r="D3" s="34" t="s">
        <v>266</v>
      </c>
    </row>
    <row r="4" spans="1:4" s="29" customFormat="1" x14ac:dyDescent="0.25">
      <c r="A4" s="30" t="s">
        <v>59</v>
      </c>
      <c r="B4" s="31" t="s">
        <v>267</v>
      </c>
      <c r="C4" s="31" t="s">
        <v>268</v>
      </c>
      <c r="D4" s="31" t="s">
        <v>269</v>
      </c>
    </row>
    <row r="5" spans="1:4" x14ac:dyDescent="0.25">
      <c r="A5" s="14" t="s">
        <v>90</v>
      </c>
      <c r="B5" s="15">
        <v>4400</v>
      </c>
      <c r="C5" s="15">
        <v>3300</v>
      </c>
      <c r="D5" s="20">
        <f>B5-C5</f>
        <v>1100</v>
      </c>
    </row>
    <row r="6" spans="1:4" x14ac:dyDescent="0.25">
      <c r="A6" s="14" t="s">
        <v>71</v>
      </c>
      <c r="B6" s="15">
        <v>4400</v>
      </c>
      <c r="C6" s="15">
        <v>3300</v>
      </c>
      <c r="D6" s="20">
        <f>B6-C6</f>
        <v>1100</v>
      </c>
    </row>
    <row r="7" spans="1:4" x14ac:dyDescent="0.25">
      <c r="A7" s="14" t="s">
        <v>70</v>
      </c>
      <c r="B7" s="15">
        <v>27100</v>
      </c>
      <c r="C7" s="15">
        <v>12200</v>
      </c>
      <c r="D7" s="20">
        <f>B7-C7</f>
        <v>14900</v>
      </c>
    </row>
    <row r="8" spans="1:4" x14ac:dyDescent="0.25">
      <c r="A8" s="14" t="s">
        <v>270</v>
      </c>
      <c r="B8" s="15">
        <v>65700</v>
      </c>
      <c r="C8" s="15">
        <v>65700</v>
      </c>
      <c r="D8" s="15">
        <f>B8-C8</f>
        <v>0</v>
      </c>
    </row>
    <row r="9" spans="1:4" x14ac:dyDescent="0.25">
      <c r="A9" s="14" t="s">
        <v>271</v>
      </c>
      <c r="B9" s="15">
        <v>116900</v>
      </c>
      <c r="C9" s="15">
        <v>116900</v>
      </c>
      <c r="D9" s="15">
        <f>B9-C9</f>
        <v>0</v>
      </c>
    </row>
    <row r="10" spans="1:4" x14ac:dyDescent="0.25">
      <c r="A10" s="14" t="s">
        <v>272</v>
      </c>
      <c r="B10" s="15">
        <v>160200</v>
      </c>
      <c r="C10" s="15">
        <v>160200</v>
      </c>
      <c r="D10" s="15">
        <f>B10-C10</f>
        <v>0</v>
      </c>
    </row>
    <row r="11" spans="1:4" x14ac:dyDescent="0.25">
      <c r="A11" s="14" t="s">
        <v>273</v>
      </c>
      <c r="B11" s="15">
        <v>278050</v>
      </c>
      <c r="C11" s="15">
        <v>278050</v>
      </c>
      <c r="D11" s="15">
        <f>B11-C11</f>
        <v>0</v>
      </c>
    </row>
    <row r="12" spans="1:4" x14ac:dyDescent="0.25">
      <c r="A12" s="14" t="s">
        <v>274</v>
      </c>
      <c r="B12" s="15">
        <v>456900</v>
      </c>
      <c r="C12" s="15">
        <v>456900</v>
      </c>
      <c r="D12" s="15">
        <f>B12-C12</f>
        <v>0</v>
      </c>
    </row>
    <row r="13" spans="1:4" x14ac:dyDescent="0.25">
      <c r="A13" s="14" t="s">
        <v>162</v>
      </c>
      <c r="B13" s="15">
        <v>592600</v>
      </c>
      <c r="C13" s="15">
        <v>592600</v>
      </c>
      <c r="D13" s="15">
        <f>B13-C13</f>
        <v>0</v>
      </c>
    </row>
    <row r="14" spans="1:4" x14ac:dyDescent="0.25">
      <c r="A14" s="14" t="s">
        <v>129</v>
      </c>
      <c r="B14" s="15">
        <v>795600</v>
      </c>
      <c r="C14" s="15">
        <v>795600</v>
      </c>
      <c r="D14" s="15">
        <f>B14-C14</f>
        <v>0</v>
      </c>
    </row>
    <row r="15" spans="1:4" x14ac:dyDescent="0.25">
      <c r="A15" s="14" t="s">
        <v>147</v>
      </c>
      <c r="B15" s="15">
        <v>1033300</v>
      </c>
      <c r="C15" s="15">
        <v>1033300</v>
      </c>
      <c r="D15" s="15">
        <f>B15-C15</f>
        <v>0</v>
      </c>
    </row>
    <row r="16" spans="1:4" x14ac:dyDescent="0.25">
      <c r="A16" s="14" t="s">
        <v>122</v>
      </c>
      <c r="B16" s="15">
        <v>1149652</v>
      </c>
      <c r="C16" s="15">
        <v>1149652</v>
      </c>
      <c r="D16" s="15">
        <f>B16-C16</f>
        <v>0</v>
      </c>
    </row>
    <row r="17" spans="1:4" x14ac:dyDescent="0.25">
      <c r="A17" s="14" t="s">
        <v>128</v>
      </c>
      <c r="B17" s="15">
        <v>447101</v>
      </c>
      <c r="C17" s="15">
        <v>447101</v>
      </c>
      <c r="D17" s="15">
        <f>B17-C17</f>
        <v>0</v>
      </c>
    </row>
    <row r="18" spans="1:4" x14ac:dyDescent="0.25">
      <c r="A18" s="14" t="s">
        <v>146</v>
      </c>
      <c r="B18" s="15">
        <v>83000</v>
      </c>
      <c r="C18" s="15">
        <v>83000</v>
      </c>
      <c r="D18" s="15">
        <f>B18-C18</f>
        <v>0</v>
      </c>
    </row>
    <row r="19" spans="1:4" x14ac:dyDescent="0.25">
      <c r="A19" s="14" t="s">
        <v>275</v>
      </c>
      <c r="B19" s="15">
        <v>48000</v>
      </c>
      <c r="C19" s="15">
        <v>48000</v>
      </c>
      <c r="D19" s="15">
        <f>B19-C19</f>
        <v>0</v>
      </c>
    </row>
    <row r="20" spans="1:4" x14ac:dyDescent="0.25">
      <c r="A20" s="14" t="s">
        <v>276</v>
      </c>
      <c r="B20" s="15">
        <v>16000</v>
      </c>
      <c r="C20" s="15">
        <v>16000</v>
      </c>
      <c r="D20" s="15">
        <f>B20-C20</f>
        <v>0</v>
      </c>
    </row>
    <row r="21" spans="1:4" x14ac:dyDescent="0.25">
      <c r="A21" s="14" t="s">
        <v>277</v>
      </c>
      <c r="B21" s="15">
        <v>12000</v>
      </c>
      <c r="C21" s="15">
        <v>12000</v>
      </c>
      <c r="D21" s="15">
        <f>B21-C21</f>
        <v>0</v>
      </c>
    </row>
    <row r="22" spans="1:4" x14ac:dyDescent="0.25">
      <c r="A22" s="14" t="s">
        <v>278</v>
      </c>
      <c r="B22" s="15">
        <v>6000</v>
      </c>
      <c r="C22" s="15">
        <v>6000</v>
      </c>
      <c r="D22" s="15">
        <f>B22-C22</f>
        <v>0</v>
      </c>
    </row>
    <row r="24" spans="1:4" s="10" customFormat="1" x14ac:dyDescent="0.25">
      <c r="A24" s="30" t="s">
        <v>279</v>
      </c>
      <c r="B24" s="31">
        <f>SUM(B5:B22)</f>
        <v>5296903</v>
      </c>
      <c r="C24" s="31">
        <f>SUM(C5:C22)</f>
        <v>5279803</v>
      </c>
      <c r="D24" s="31">
        <f>SUM(D5:D22)</f>
        <v>17100</v>
      </c>
    </row>
  </sheetData>
  <autoFilter ref="A4:D4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 sánh</vt:lpstr>
      <vt:lpstr>Theo tài khoản</vt:lpstr>
      <vt:lpstr>Danh sách lệch</vt:lpstr>
      <vt:lpstr>Theo kỳ cước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2026-09-25T02:06:59Z</dcterms:created>
  <dcterms:modified xsi:type="dcterms:W3CDTF">2026-09-25T02:06:59Z</dcterms:modified>
</cp:coreProperties>
</file>